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entes antes de Publicar" sheetId="1" r:id="rId5"/>
    <sheet state="visible" name="Aug26" sheetId="2" r:id="rId6"/>
    <sheet state="visible" name="Jul26" sheetId="3" r:id="rId7"/>
    <sheet state="visible" name="Jun26" sheetId="4" r:id="rId8"/>
    <sheet state="visible" name="May26" sheetId="5" r:id="rId9"/>
    <sheet state="visible" name="Abr26" sheetId="6" r:id="rId10"/>
    <sheet state="visible" name="Mar26" sheetId="7" r:id="rId11"/>
    <sheet state="visible" name="Feb26" sheetId="8" r:id="rId12"/>
    <sheet state="visible" name="Jan26" sheetId="9" r:id="rId13"/>
    <sheet state="visible" name="Dec25" sheetId="10" r:id="rId14"/>
    <sheet state="visible" name="Nov25" sheetId="11" r:id="rId15"/>
    <sheet state="visible" name="Oct25" sheetId="12" r:id="rId16"/>
  </sheets>
  <definedNames>
    <definedName name="RawData">#REF!</definedName>
    <definedName hidden="1" localSheetId="1" name="_xlnm._FilterDatabase">'Aug26'!$U$50:$AB$64</definedName>
    <definedName hidden="1" localSheetId="2" name="_xlnm._FilterDatabase">'Jul26'!$U$50:$AB$64</definedName>
    <definedName hidden="1" localSheetId="3" name="_xlnm._FilterDatabase">'Jun26'!$U$50:$AB$65</definedName>
    <definedName hidden="1" localSheetId="4" name="_xlnm._FilterDatabase">'May26'!$U$50:$AB$65</definedName>
    <definedName hidden="1" localSheetId="5" name="_xlnm._FilterDatabase">'Abr26'!$U$50:$AB$66</definedName>
    <definedName hidden="1" localSheetId="6" name="_xlnm._FilterDatabase">'Mar26'!$J$50:$R$65</definedName>
    <definedName hidden="1" localSheetId="7" name="_xlnm._FilterDatabase">'Feb26'!$J$50:$R$65</definedName>
    <definedName hidden="1" localSheetId="8" name="_xlnm._FilterDatabase">'Jan26'!$J$50:$R$65</definedName>
    <definedName hidden="1" localSheetId="9" name="_xlnm._FilterDatabase">'Dec25'!$J$45:$R$58</definedName>
    <definedName hidden="1" localSheetId="10" name="_xlnm._FilterDatabase">'Nov25'!$J$45:$R$57</definedName>
    <definedName hidden="1" localSheetId="11" name="_xlnm._FilterDatabase">'Oct25'!$J$45:$R$57</definedName>
  </definedNames>
  <calcPr/>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s>
</workbook>
</file>

<file path=xl/sharedStrings.xml><?xml version="1.0" encoding="utf-8"?>
<sst xmlns="http://schemas.openxmlformats.org/spreadsheetml/2006/main" count="7006" uniqueCount="176">
  <si>
    <t>PENDIENTES ANTES DE PUBLICAR</t>
  </si>
  <si>
    <t>4-257</t>
  </si>
  <si>
    <t>4-263</t>
  </si>
  <si>
    <t>4-240</t>
  </si>
  <si>
    <t>2  Rows without  KPIs (2 days without KPIs and 8 w/calls)</t>
  </si>
  <si>
    <t>1 Rows without KPIs</t>
  </si>
  <si>
    <t>Cambiar nombres  a Alias Ficticios (Stacy , John, Trevor, Emily , Etc)</t>
  </si>
  <si>
    <t>Agregar una Hoja de Graficos</t>
  </si>
  <si>
    <t>Evaluar otras cosas como meses altos y bajos   ,      productividad  horarios 4x12 vs 5x8 ,   Relacion productividad y Cantidad de Trackers quizas?</t>
  </si>
  <si>
    <t xml:space="preserve">Prom Sem </t>
  </si>
  <si>
    <t>Dar formato final para publicacion</t>
  </si>
  <si>
    <t>237 Registers</t>
  </si>
  <si>
    <t>254 Registers</t>
  </si>
  <si>
    <t>Bloquear celdas contra copia y modificacion?</t>
  </si>
  <si>
    <t>260 Registers</t>
  </si>
  <si>
    <r>
      <rPr>
        <rFont val="Arial"/>
        <color theme="1"/>
      </rPr>
      <t xml:space="preserve">Glogal </t>
    </r>
    <r>
      <rPr>
        <rFont val="Arial"/>
        <b/>
        <color rgb="FF38761D"/>
        <sz val="13.0"/>
      </rPr>
      <t xml:space="preserve">Daily </t>
    </r>
    <r>
      <rPr>
        <rFont val="Arial"/>
        <color theme="1"/>
      </rPr>
      <t>Averages</t>
    </r>
  </si>
  <si>
    <r>
      <rPr>
        <rFont val="Arial"/>
        <color theme="1"/>
      </rPr>
      <t xml:space="preserve">Glogal </t>
    </r>
    <r>
      <rPr>
        <rFont val="Arial"/>
        <b/>
        <color rgb="FF38761D"/>
        <sz val="13.0"/>
      </rPr>
      <t xml:space="preserve">Daily </t>
    </r>
    <r>
      <rPr>
        <rFont val="Arial"/>
        <color theme="1"/>
      </rPr>
      <t>Averages</t>
    </r>
  </si>
  <si>
    <r>
      <rPr>
        <rFont val="Arial"/>
        <color theme="1"/>
      </rPr>
      <t xml:space="preserve">Glogal </t>
    </r>
    <r>
      <rPr>
        <rFont val="Arial"/>
        <b/>
        <color rgb="FF38761D"/>
        <sz val="13.0"/>
      </rPr>
      <t xml:space="preserve">Daily </t>
    </r>
    <r>
      <rPr>
        <rFont val="Arial"/>
        <color theme="1"/>
      </rPr>
      <t>Averages</t>
    </r>
  </si>
  <si>
    <t>Average/Hr</t>
  </si>
  <si>
    <t>Week Average</t>
  </si>
  <si>
    <t>Hrs per Shift</t>
  </si>
  <si>
    <t>Week Day</t>
  </si>
  <si>
    <t>Month</t>
  </si>
  <si>
    <t>Date</t>
  </si>
  <si>
    <t>Tracker</t>
  </si>
  <si>
    <t>Check Calls</t>
  </si>
  <si>
    <t>Status Updates</t>
  </si>
  <si>
    <t>Inbound (Received)</t>
  </si>
  <si>
    <t xml:space="preserve">Outbound </t>
  </si>
  <si>
    <t>Ttracker</t>
  </si>
  <si>
    <t>Inbound Calls (Received)</t>
  </si>
  <si>
    <t>Outbound Calls</t>
  </si>
  <si>
    <t>Days per Week</t>
  </si>
  <si>
    <t>SUM of Check Calls</t>
  </si>
  <si>
    <t>SUM of Status Updates</t>
  </si>
  <si>
    <t>SUM of Inbound (Received)</t>
  </si>
  <si>
    <t xml:space="preserve">SUM of Outbound </t>
  </si>
  <si>
    <t>Stat Upd</t>
  </si>
  <si>
    <t>Suma total</t>
  </si>
  <si>
    <t>Lindsey</t>
  </si>
  <si>
    <t>Pedro</t>
  </si>
  <si>
    <t>Julia</t>
  </si>
  <si>
    <t>Moriah</t>
  </si>
  <si>
    <t>Berta</t>
  </si>
  <si>
    <t>Regina</t>
  </si>
  <si>
    <t>KPIs:</t>
  </si>
  <si>
    <t>Johan</t>
  </si>
  <si>
    <t>Touches/Hr</t>
  </si>
  <si>
    <t>1650/1367=3017</t>
  </si>
  <si>
    <t>4-237</t>
  </si>
  <si>
    <t>264 Registers</t>
  </si>
  <si>
    <t>Melody</t>
  </si>
  <si>
    <t>Jonny</t>
  </si>
  <si>
    <t>Euclides</t>
  </si>
  <si>
    <r>
      <rPr>
        <rFont val="Arial"/>
        <color theme="1"/>
      </rPr>
      <t xml:space="preserve">Glogal </t>
    </r>
    <r>
      <rPr>
        <rFont val="Arial"/>
        <b/>
        <color rgb="FF38761D"/>
        <sz val="13.0"/>
      </rPr>
      <t xml:space="preserve">Daily </t>
    </r>
    <r>
      <rPr>
        <rFont val="Arial"/>
        <color theme="1"/>
      </rPr>
      <t>Averages</t>
    </r>
  </si>
  <si>
    <t>AttenReginace:</t>
  </si>
  <si>
    <t>Occurences</t>
  </si>
  <si>
    <t>160 hrs worked</t>
  </si>
  <si>
    <t>Anthony</t>
  </si>
  <si>
    <t>Petronila</t>
  </si>
  <si>
    <t>Mohamend</t>
  </si>
  <si>
    <t>Calls:</t>
  </si>
  <si>
    <t>Calls</t>
  </si>
  <si>
    <t>95/75</t>
  </si>
  <si>
    <t>Pacco</t>
  </si>
  <si>
    <t>Damien</t>
  </si>
  <si>
    <t>Tanisha</t>
  </si>
  <si>
    <t>Sussy</t>
  </si>
  <si>
    <t>Cesar</t>
  </si>
  <si>
    <t>General Avg</t>
  </si>
  <si>
    <r>
      <rPr>
        <rFont val="Arial"/>
        <color theme="1"/>
      </rPr>
      <t>***</t>
    </r>
    <r>
      <rPr>
        <rFont val="Arial"/>
        <b/>
        <color theme="1"/>
      </rPr>
      <t>Note</t>
    </r>
    <r>
      <rPr>
        <rFont val="Arial"/>
        <color theme="1"/>
      </rPr>
      <t xml:space="preserve">:  </t>
    </r>
  </si>
  <si>
    <t>Sussy Days off this month</t>
  </si>
  <si>
    <r>
      <rPr>
        <rFont val="Arial"/>
        <color theme="1"/>
      </rPr>
      <t>***</t>
    </r>
    <r>
      <rPr>
        <rFont val="Arial"/>
        <b/>
        <color theme="1"/>
      </rPr>
      <t>Note</t>
    </r>
    <r>
      <rPr>
        <rFont val="Arial"/>
        <color theme="1"/>
      </rPr>
      <t xml:space="preserve">:  </t>
    </r>
  </si>
  <si>
    <t>TOPs</t>
  </si>
  <si>
    <t>AVG per Day (Global)</t>
  </si>
  <si>
    <t>Avg/hr</t>
  </si>
  <si>
    <t>Avg/week</t>
  </si>
  <si>
    <t>No KPIs</t>
  </si>
  <si>
    <t>Independence Day USA</t>
  </si>
  <si>
    <t>Inbound Calls</t>
  </si>
  <si>
    <t>Mi viaje a Col</t>
  </si>
  <si>
    <r>
      <rPr>
        <rFont val="Arial"/>
        <color theme="1"/>
      </rPr>
      <t>***</t>
    </r>
    <r>
      <rPr>
        <rFont val="Arial"/>
        <b/>
        <color theme="1"/>
      </rPr>
      <t>Note</t>
    </r>
    <r>
      <rPr>
        <rFont val="Arial"/>
        <color theme="1"/>
      </rPr>
      <t xml:space="preserve">:  </t>
    </r>
  </si>
  <si>
    <t>Tanishahary</t>
  </si>
  <si>
    <t>Johan M.</t>
  </si>
  <si>
    <t>Johan R.</t>
  </si>
  <si>
    <r>
      <rPr>
        <rFont val="Arial"/>
        <color theme="1"/>
      </rPr>
      <t>***</t>
    </r>
    <r>
      <rPr>
        <rFont val="Arial"/>
        <b/>
        <color theme="1"/>
      </rPr>
      <t>Note</t>
    </r>
    <r>
      <rPr>
        <rFont val="Arial"/>
        <color theme="1"/>
      </rPr>
      <t xml:space="preserve">:  </t>
    </r>
  </si>
  <si>
    <r>
      <rPr>
        <rFont val="Arial"/>
        <color theme="1"/>
      </rPr>
      <t xml:space="preserve">Glogal </t>
    </r>
    <r>
      <rPr>
        <rFont val="Arial"/>
        <b/>
        <color rgb="FF38761D"/>
        <sz val="13.0"/>
      </rPr>
      <t xml:space="preserve">Daily </t>
    </r>
    <r>
      <rPr>
        <rFont val="Arial"/>
        <color theme="1"/>
      </rPr>
      <t>Averages</t>
    </r>
  </si>
  <si>
    <t>Tanishah</t>
  </si>
  <si>
    <r>
      <rPr>
        <rFont val="Arial"/>
        <color theme="1"/>
      </rPr>
      <t xml:space="preserve">Glogal </t>
    </r>
    <r>
      <rPr>
        <rFont val="Arial"/>
        <b/>
        <color rgb="FF38761D"/>
        <sz val="13.0"/>
      </rPr>
      <t xml:space="preserve">Daily </t>
    </r>
    <r>
      <rPr>
        <rFont val="Arial"/>
        <color theme="1"/>
      </rPr>
      <t>Averages</t>
    </r>
  </si>
  <si>
    <t>Deyska</t>
  </si>
  <si>
    <t>Eva</t>
  </si>
  <si>
    <r>
      <rPr>
        <rFont val="Arial"/>
        <color theme="1"/>
      </rPr>
      <t>***</t>
    </r>
    <r>
      <rPr>
        <rFont val="Arial"/>
        <b/>
        <color theme="1"/>
      </rPr>
      <t>Note</t>
    </r>
    <r>
      <rPr>
        <rFont val="Arial"/>
        <color theme="1"/>
      </rPr>
      <t xml:space="preserve">:  </t>
    </r>
  </si>
  <si>
    <r>
      <rPr>
        <rFont val="Arial"/>
        <color theme="1"/>
      </rPr>
      <t xml:space="preserve">Glogal </t>
    </r>
    <r>
      <rPr>
        <rFont val="Arial"/>
        <b/>
        <color rgb="FF38761D"/>
        <sz val="13.0"/>
      </rPr>
      <t xml:space="preserve">Daily </t>
    </r>
    <r>
      <rPr>
        <rFont val="Arial"/>
        <color theme="1"/>
      </rPr>
      <t>Averages</t>
    </r>
  </si>
  <si>
    <t>Lorena</t>
  </si>
  <si>
    <t>Reginaiel</t>
  </si>
  <si>
    <r>
      <rPr>
        <rFont val="Arial"/>
        <color theme="1"/>
      </rPr>
      <t>***</t>
    </r>
    <r>
      <rPr>
        <rFont val="Arial"/>
        <b/>
        <color theme="1"/>
      </rPr>
      <t>Note</t>
    </r>
    <r>
      <rPr>
        <rFont val="Arial"/>
        <color theme="1"/>
      </rPr>
      <t xml:space="preserve">:  </t>
    </r>
  </si>
  <si>
    <r>
      <rPr>
        <rFont val="Arial"/>
        <color theme="1"/>
      </rPr>
      <t xml:space="preserve">Glogal </t>
    </r>
    <r>
      <rPr>
        <rFont val="Arial"/>
        <b/>
        <color rgb="FF38761D"/>
        <sz val="13.0"/>
      </rPr>
      <t xml:space="preserve">Daily </t>
    </r>
    <r>
      <rPr>
        <rFont val="Arial"/>
        <color theme="1"/>
      </rPr>
      <t>Averages</t>
    </r>
  </si>
  <si>
    <r>
      <rPr>
        <rFont val="Arial"/>
        <color theme="1"/>
      </rPr>
      <t>***</t>
    </r>
    <r>
      <rPr>
        <rFont val="Arial"/>
        <b/>
        <color theme="1"/>
      </rPr>
      <t>Note</t>
    </r>
    <r>
      <rPr>
        <rFont val="Arial"/>
        <color theme="1"/>
      </rPr>
      <t xml:space="preserve">:  </t>
    </r>
  </si>
  <si>
    <t>Grand Total</t>
  </si>
  <si>
    <r>
      <rPr>
        <rFont val="Arial"/>
        <color theme="1"/>
      </rPr>
      <t>***</t>
    </r>
    <r>
      <rPr>
        <rFont val="Arial"/>
        <b/>
        <color theme="1"/>
      </rPr>
      <t>Note</t>
    </r>
    <r>
      <rPr>
        <rFont val="Arial"/>
        <color theme="1"/>
      </rPr>
      <t xml:space="preserve">:  </t>
    </r>
  </si>
  <si>
    <t>Memorial Day HOLIDAY</t>
  </si>
  <si>
    <t>4-314</t>
  </si>
  <si>
    <t>0 Rows without KPIs</t>
  </si>
  <si>
    <t>322 Registers</t>
  </si>
  <si>
    <r>
      <rPr>
        <rFont val="Arial"/>
        <color theme="1"/>
      </rPr>
      <t xml:space="preserve">Glogal </t>
    </r>
    <r>
      <rPr>
        <rFont val="Arial"/>
        <b/>
        <color rgb="FF38761D"/>
        <sz val="13.0"/>
      </rPr>
      <t xml:space="preserve">Daily </t>
    </r>
    <r>
      <rPr>
        <rFont val="Arial"/>
        <color theme="1"/>
      </rPr>
      <t>Averages</t>
    </r>
  </si>
  <si>
    <t>311 Registers</t>
  </si>
  <si>
    <r>
      <rPr>
        <rFont val="Arial"/>
        <color theme="1"/>
      </rPr>
      <t xml:space="preserve">Glogal </t>
    </r>
    <r>
      <rPr>
        <rFont val="Arial"/>
        <b/>
        <color rgb="FF38761D"/>
        <sz val="13.0"/>
      </rPr>
      <t xml:space="preserve">Daily </t>
    </r>
    <r>
      <rPr>
        <rFont val="Arial"/>
        <color theme="1"/>
      </rPr>
      <t>Averages</t>
    </r>
  </si>
  <si>
    <t>Anel</t>
  </si>
  <si>
    <t>Cesar O.</t>
  </si>
  <si>
    <t>4-276</t>
  </si>
  <si>
    <t>273 Registers</t>
  </si>
  <si>
    <r>
      <rPr>
        <rFont val="Arial"/>
        <color theme="1"/>
      </rPr>
      <t xml:space="preserve">Glogal </t>
    </r>
    <r>
      <rPr>
        <rFont val="Arial"/>
        <b/>
        <color rgb="FF38761D"/>
        <sz val="13.0"/>
      </rPr>
      <t xml:space="preserve">Daily </t>
    </r>
    <r>
      <rPr>
        <rFont val="Arial"/>
        <color theme="1"/>
      </rPr>
      <t>Averages</t>
    </r>
  </si>
  <si>
    <t>4-294</t>
  </si>
  <si>
    <t>4 Rows without KPIs</t>
  </si>
  <si>
    <t>291 Registers</t>
  </si>
  <si>
    <r>
      <rPr>
        <rFont val="Arial"/>
        <color theme="1"/>
      </rPr>
      <t xml:space="preserve">Glogal </t>
    </r>
    <r>
      <rPr>
        <rFont val="Arial"/>
        <b/>
        <color rgb="FF38761D"/>
        <sz val="13.0"/>
      </rPr>
      <t xml:space="preserve">Daily </t>
    </r>
    <r>
      <rPr>
        <rFont val="Arial"/>
        <color theme="1"/>
      </rPr>
      <t>Averages</t>
    </r>
  </si>
  <si>
    <t>Alexandra</t>
  </si>
  <si>
    <t>Cristhian</t>
  </si>
  <si>
    <t>JorRegina: Due to it being a slow night &amp; holiday ill give you guys the vote on KPIs. We definitely didnt have a lot of loads for the amount of people we have but it wasnt mega slow like Christmas lol. So if you guys want them ill send them if not then im good with that too lol</t>
  </si>
  <si>
    <r>
      <rPr>
        <rFont val="Arial"/>
        <color theme="1"/>
      </rPr>
      <t>***</t>
    </r>
    <r>
      <rPr>
        <rFont val="Arial"/>
        <b/>
        <color theme="1"/>
      </rPr>
      <t>Note</t>
    </r>
    <r>
      <rPr>
        <rFont val="Arial"/>
        <color theme="1"/>
      </rPr>
      <t xml:space="preserve">:  </t>
    </r>
  </si>
  <si>
    <t>Brian: Hello team, for the sake of my sanity, hit me up on the side if you want your KPI's</t>
  </si>
  <si>
    <r>
      <rPr>
        <rFont val="Arial"/>
        <color theme="1"/>
      </rPr>
      <t>***</t>
    </r>
    <r>
      <rPr>
        <rFont val="Arial"/>
        <b/>
        <color theme="1"/>
      </rPr>
      <t>Note</t>
    </r>
    <r>
      <rPr>
        <rFont val="Arial"/>
        <color theme="1"/>
      </rPr>
      <t xml:space="preserve">:  </t>
    </r>
  </si>
  <si>
    <r>
      <rPr>
        <rFont val="Arial"/>
        <color theme="1"/>
      </rPr>
      <t>***</t>
    </r>
    <r>
      <rPr>
        <rFont val="Arial"/>
        <b/>
        <color theme="1"/>
      </rPr>
      <t>Note</t>
    </r>
    <r>
      <rPr>
        <rFont val="Arial"/>
        <color theme="1"/>
      </rPr>
      <t xml:space="preserve">:  </t>
    </r>
  </si>
  <si>
    <r>
      <rPr>
        <rFont val="Arial"/>
        <color theme="1"/>
      </rPr>
      <t xml:space="preserve">Glogal </t>
    </r>
    <r>
      <rPr>
        <rFont val="Arial"/>
        <b/>
        <color rgb="FF38761D"/>
        <sz val="13.0"/>
      </rPr>
      <t xml:space="preserve">Daily </t>
    </r>
    <r>
      <rPr>
        <rFont val="Arial"/>
        <color theme="1"/>
      </rPr>
      <t>Averages</t>
    </r>
  </si>
  <si>
    <r>
      <rPr>
        <rFont val="Arial"/>
        <color theme="1"/>
      </rPr>
      <t>***</t>
    </r>
    <r>
      <rPr>
        <rFont val="Arial"/>
        <b/>
        <color theme="1"/>
      </rPr>
      <t>Note</t>
    </r>
    <r>
      <rPr>
        <rFont val="Arial"/>
        <color theme="1"/>
      </rPr>
      <t xml:space="preserve">:  </t>
    </r>
  </si>
  <si>
    <r>
      <rPr>
        <rFont val="Arial"/>
        <color theme="1"/>
      </rPr>
      <t xml:space="preserve">Glogal </t>
    </r>
    <r>
      <rPr>
        <rFont val="Arial"/>
        <b/>
        <color rgb="FF38761D"/>
        <sz val="13.0"/>
      </rPr>
      <t xml:space="preserve">Daily </t>
    </r>
    <r>
      <rPr>
        <rFont val="Arial"/>
        <color theme="1"/>
      </rPr>
      <t>Averages</t>
    </r>
  </si>
  <si>
    <r>
      <rPr>
        <rFont val="Arial"/>
        <color theme="1"/>
      </rPr>
      <t>***</t>
    </r>
    <r>
      <rPr>
        <rFont val="Arial"/>
        <b/>
        <color theme="1"/>
      </rPr>
      <t>Note</t>
    </r>
    <r>
      <rPr>
        <rFont val="Arial"/>
        <color theme="1"/>
      </rPr>
      <t xml:space="preserve">:  </t>
    </r>
  </si>
  <si>
    <t>Marlen</t>
  </si>
  <si>
    <r>
      <rPr>
        <rFont val="Arial"/>
        <color theme="1"/>
      </rPr>
      <t xml:space="preserve">Glogal </t>
    </r>
    <r>
      <rPr>
        <rFont val="Arial"/>
        <b/>
        <color rgb="FF38761D"/>
        <sz val="13.0"/>
      </rPr>
      <t xml:space="preserve">Daily </t>
    </r>
    <r>
      <rPr>
        <rFont val="Arial"/>
        <color theme="1"/>
      </rPr>
      <t>Averages</t>
    </r>
  </si>
  <si>
    <r>
      <rPr>
        <rFont val="Arial"/>
        <color theme="1"/>
      </rPr>
      <t>***</t>
    </r>
    <r>
      <rPr>
        <rFont val="Arial"/>
        <b/>
        <color theme="1"/>
      </rPr>
      <t>Note</t>
    </r>
    <r>
      <rPr>
        <rFont val="Arial"/>
        <color theme="1"/>
      </rPr>
      <t xml:space="preserve">:  </t>
    </r>
  </si>
  <si>
    <r>
      <rPr>
        <rFont val="Arial"/>
        <color theme="1"/>
      </rPr>
      <t xml:space="preserve">Glogal </t>
    </r>
    <r>
      <rPr>
        <rFont val="Arial"/>
        <b/>
        <color rgb="FF38761D"/>
        <sz val="13.0"/>
      </rPr>
      <t xml:space="preserve">Daily </t>
    </r>
    <r>
      <rPr>
        <rFont val="Arial"/>
        <color theme="1"/>
      </rPr>
      <t>Averages</t>
    </r>
  </si>
  <si>
    <r>
      <rPr>
        <rFont val="Arial"/>
        <color theme="1"/>
      </rPr>
      <t>***</t>
    </r>
    <r>
      <rPr>
        <rFont val="Arial"/>
        <b/>
        <color theme="1"/>
      </rPr>
      <t>Note</t>
    </r>
    <r>
      <rPr>
        <rFont val="Arial"/>
        <color theme="1"/>
      </rPr>
      <t xml:space="preserve">:  </t>
    </r>
  </si>
  <si>
    <r>
      <rPr>
        <rFont val="Arial"/>
        <color theme="1"/>
      </rPr>
      <t>***</t>
    </r>
    <r>
      <rPr>
        <rFont val="Arial"/>
        <b/>
        <color theme="1"/>
      </rPr>
      <t>Note</t>
    </r>
    <r>
      <rPr>
        <rFont val="Arial"/>
        <color theme="1"/>
      </rPr>
      <t xml:space="preserve">:  </t>
    </r>
  </si>
  <si>
    <t>4-264</t>
  </si>
  <si>
    <t>6 Rows without KPIs</t>
  </si>
  <si>
    <t>December 2025</t>
  </si>
  <si>
    <t>261 Registers</t>
  </si>
  <si>
    <r>
      <rPr>
        <rFont val="Arial"/>
        <color theme="1"/>
      </rPr>
      <t xml:space="preserve">Glogal </t>
    </r>
    <r>
      <rPr>
        <rFont val="Arial"/>
        <b/>
        <color rgb="FF38761D"/>
        <sz val="13.0"/>
      </rPr>
      <t xml:space="preserve">Daily </t>
    </r>
    <r>
      <rPr>
        <rFont val="Arial"/>
        <color theme="1"/>
      </rPr>
      <t>Averages</t>
    </r>
  </si>
  <si>
    <t>4-270</t>
  </si>
  <si>
    <t>Fecha</t>
  </si>
  <si>
    <t>267 Registers</t>
  </si>
  <si>
    <r>
      <rPr>
        <rFont val="Arial"/>
        <color theme="1"/>
      </rPr>
      <t xml:space="preserve">Glogal </t>
    </r>
    <r>
      <rPr>
        <rFont val="Arial"/>
        <b/>
        <color rgb="FF38761D"/>
        <sz val="13.0"/>
      </rPr>
      <t xml:space="preserve">Daily </t>
    </r>
    <r>
      <rPr>
        <rFont val="Arial"/>
        <color theme="1"/>
      </rPr>
      <t>Averages</t>
    </r>
  </si>
  <si>
    <t>Monday</t>
  </si>
  <si>
    <t>December</t>
  </si>
  <si>
    <t>November</t>
  </si>
  <si>
    <t>Joel</t>
  </si>
  <si>
    <t>Oscar</t>
  </si>
  <si>
    <t>4-326</t>
  </si>
  <si>
    <t>323 Registers</t>
  </si>
  <si>
    <r>
      <rPr>
        <rFont val="Arial"/>
        <color theme="1"/>
      </rPr>
      <t xml:space="preserve">Glogal </t>
    </r>
    <r>
      <rPr>
        <rFont val="Arial"/>
        <b/>
        <color rgb="FF38761D"/>
        <sz val="13.0"/>
      </rPr>
      <t xml:space="preserve">Daily </t>
    </r>
    <r>
      <rPr>
        <rFont val="Arial"/>
        <color theme="1"/>
      </rPr>
      <t>Averages</t>
    </r>
  </si>
  <si>
    <t>Tuesday</t>
  </si>
  <si>
    <r>
      <rPr>
        <rFont val="Arial"/>
        <color theme="1"/>
      </rPr>
      <t>***</t>
    </r>
    <r>
      <rPr>
        <rFont val="Arial"/>
        <b/>
        <color theme="1"/>
      </rPr>
      <t>Note</t>
    </r>
    <r>
      <rPr>
        <rFont val="Arial"/>
        <color theme="1"/>
      </rPr>
      <t xml:space="preserve">:  </t>
    </r>
  </si>
  <si>
    <r>
      <rPr>
        <rFont val="Arial"/>
        <color theme="1"/>
      </rPr>
      <t>***</t>
    </r>
    <r>
      <rPr>
        <rFont val="Arial"/>
        <b/>
        <color theme="1"/>
      </rPr>
      <t>Note</t>
    </r>
    <r>
      <rPr>
        <rFont val="Arial"/>
        <color theme="1"/>
      </rPr>
      <t xml:space="preserve">:  </t>
    </r>
  </si>
  <si>
    <t>Wednesday</t>
  </si>
  <si>
    <r>
      <rPr>
        <rFont val="Arial"/>
        <color theme="1"/>
      </rPr>
      <t xml:space="preserve">Glogal </t>
    </r>
    <r>
      <rPr>
        <rFont val="Arial"/>
        <b/>
        <color rgb="FF38761D"/>
        <sz val="13.0"/>
      </rPr>
      <t xml:space="preserve">Daily </t>
    </r>
    <r>
      <rPr>
        <rFont val="Arial"/>
        <color theme="1"/>
      </rPr>
      <t>Averages</t>
    </r>
  </si>
  <si>
    <t>Thursday</t>
  </si>
  <si>
    <r>
      <rPr>
        <rFont val="Arial"/>
        <color theme="1"/>
      </rPr>
      <t>***</t>
    </r>
    <r>
      <rPr>
        <rFont val="Arial"/>
        <b/>
        <color theme="1"/>
      </rPr>
      <t>Note</t>
    </r>
    <r>
      <rPr>
        <rFont val="Arial"/>
        <color theme="1"/>
      </rPr>
      <t xml:space="preserve">:  </t>
    </r>
  </si>
  <si>
    <t>Oscar C.</t>
  </si>
  <si>
    <r>
      <rPr>
        <rFont val="Arial"/>
        <color theme="1"/>
      </rPr>
      <t xml:space="preserve">Glogal </t>
    </r>
    <r>
      <rPr>
        <rFont val="Arial"/>
        <b/>
        <color rgb="FF38761D"/>
        <sz val="13.0"/>
      </rPr>
      <t xml:space="preserve">Daily </t>
    </r>
    <r>
      <rPr>
        <rFont val="Arial"/>
        <color theme="1"/>
      </rPr>
      <t>Averages</t>
    </r>
  </si>
  <si>
    <r>
      <rPr>
        <rFont val="Arial"/>
        <color theme="1"/>
      </rPr>
      <t>***</t>
    </r>
    <r>
      <rPr>
        <rFont val="Arial"/>
        <b/>
        <color theme="1"/>
      </rPr>
      <t>Note</t>
    </r>
    <r>
      <rPr>
        <rFont val="Arial"/>
        <color theme="1"/>
      </rPr>
      <t xml:space="preserve">:  </t>
    </r>
  </si>
  <si>
    <t>Friday</t>
  </si>
  <si>
    <r>
      <rPr>
        <rFont val="Arial"/>
        <color theme="1"/>
      </rPr>
      <t xml:space="preserve">Glogal </t>
    </r>
    <r>
      <rPr>
        <rFont val="Arial"/>
        <b/>
        <color rgb="FF38761D"/>
        <sz val="13.0"/>
      </rPr>
      <t xml:space="preserve">Daily </t>
    </r>
    <r>
      <rPr>
        <rFont val="Arial"/>
        <color theme="1"/>
      </rPr>
      <t>Averages</t>
    </r>
  </si>
  <si>
    <t>January</t>
  </si>
  <si>
    <t>Saturday</t>
  </si>
  <si>
    <t>Melody No KPIs for check calls and stat upd this Saturday....only calls</t>
  </si>
  <si>
    <r>
      <rPr>
        <rFont val="Arial"/>
        <color theme="1"/>
      </rPr>
      <t>***</t>
    </r>
    <r>
      <rPr>
        <rFont val="Arial"/>
        <b/>
        <color theme="1"/>
      </rPr>
      <t>Note</t>
    </r>
    <r>
      <rPr>
        <rFont val="Arial"/>
        <color theme="1"/>
      </rPr>
      <t xml:space="preserve">:  </t>
    </r>
  </si>
  <si>
    <t>Sunday</t>
  </si>
  <si>
    <r>
      <rPr>
        <rFont val="Arial"/>
        <color theme="1"/>
      </rPr>
      <t>***</t>
    </r>
    <r>
      <rPr>
        <rFont val="Arial"/>
        <b/>
        <color theme="1"/>
      </rPr>
      <t>Note</t>
    </r>
    <r>
      <rPr>
        <rFont val="Arial"/>
        <color theme="1"/>
      </rPr>
      <t xml:space="preserve">:  </t>
    </r>
  </si>
  <si>
    <t>AiRegina</t>
  </si>
  <si>
    <t>Alex</t>
  </si>
  <si>
    <t>February</t>
  </si>
  <si>
    <t xml:space="preserve">Brian: Great job tonight 3rd shift, NO KPIstonight, enjoy your day and your weekend, see you all next week!! </t>
  </si>
  <si>
    <t>JorRegina: I will not be posting KPIS tonight or the rest of the weekend due  to holiday</t>
  </si>
  <si>
    <t>March</t>
  </si>
  <si>
    <t>No KPIs Xmass</t>
  </si>
  <si>
    <t>No KPIs Xmass (JorRegina "I will not be doing KPIS this weekend due to Holiday"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</si>
</sst>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quot;-&quot;d"/>
    <numFmt numFmtId="166" formatCode="yyyy&quot;-&quot;mm&quot;-&quot;dd"/>
    <numFmt numFmtId="167" formatCode="mmmm yyyy"/>
  </numFmts>
  <fonts count="30">
    <font>
      <sz val="10.0"/>
      <color rgb="FF000000"/>
      <name val="Arial"/>
      <scheme val="minor"/>
    </font>
    <font>
      <b/>
      <u/>
      <sz val="22.0"/>
      <color theme="1"/>
      <name val="Arial"/>
      <scheme val="minor"/>
    </font>
    <font>
      <u/>
      <color theme="1"/>
      <name val="Arial"/>
    </font>
    <font>
      <sz val="22.0"/>
      <color theme="1"/>
      <name val="Arial"/>
      <scheme val="minor"/>
    </font>
    <font>
      <sz val="11.0"/>
      <color theme="1"/>
      <name val="Arial"/>
    </font>
    <font>
      <color theme="1"/>
      <name val="Arial"/>
    </font>
    <font>
      <b/>
      <color rgb="FF999999"/>
      <name val="Arial"/>
    </font>
    <font>
      <sz val="17.0"/>
      <color rgb="FF674EA7"/>
      <name val="Lobster"/>
    </font>
    <font>
      <sz val="16.0"/>
      <color rgb="FF674EA7"/>
      <name val="Lobster"/>
    </font>
    <font>
      <sz val="11.0"/>
      <color theme="1"/>
      <name val="Arial"/>
      <scheme val="minor"/>
    </font>
    <font>
      <b/>
      <sz val="11.0"/>
      <color rgb="FF999999"/>
      <name val="Arial"/>
    </font>
    <font>
      <b/>
      <sz val="13.0"/>
      <color rgb="FF38761D"/>
      <name val="Arial"/>
    </font>
    <font>
      <b/>
      <sz val="9.0"/>
      <color theme="1"/>
      <name val="Arial"/>
    </font>
    <font>
      <b/>
      <sz val="8.0"/>
      <color theme="1"/>
      <name val="Arial"/>
    </font>
    <font>
      <color theme="1"/>
      <name val="Arial"/>
      <scheme val="minor"/>
    </font>
    <font>
      <u/>
      <color theme="1"/>
      <name val="Arial"/>
    </font>
    <font>
      <b/>
      <color theme="1"/>
      <name val="Arial"/>
    </font>
    <font>
      <b/>
      <i/>
      <color rgb="FF1155CC"/>
      <name val="Arial"/>
    </font>
    <font>
      <b/>
      <i/>
      <color theme="1"/>
      <name val="Arial"/>
    </font>
    <font>
      <sz val="12.0"/>
      <color theme="1"/>
      <name val="Arial"/>
    </font>
    <font>
      <sz val="13.0"/>
      <color theme="1"/>
      <name val="Oswald"/>
    </font>
    <font>
      <b/>
      <sz val="14.0"/>
      <color rgb="FF6AA84F"/>
      <name val="Arial"/>
    </font>
    <font>
      <b/>
      <sz val="11.0"/>
      <color theme="1"/>
      <name val="Arial"/>
    </font>
    <font>
      <b/>
      <color rgb="FF6AA84F"/>
      <name val="Arial"/>
    </font>
    <font>
      <b/>
      <sz val="10.0"/>
      <color rgb="FF0000FF"/>
      <name val="Arial"/>
    </font>
    <font>
      <color rgb="FF666666"/>
      <name val="Arial"/>
    </font>
    <font>
      <sz val="9.0"/>
      <color theme="1"/>
      <name val="Arial"/>
    </font>
    <font>
      <sz val="9.0"/>
      <color rgb="FF666666"/>
      <name val="Arial"/>
    </font>
    <font>
      <color rgb="FF45818E"/>
      <name val="Arial"/>
    </font>
    <font>
      <b/>
      <sz val="11.0"/>
      <color rgb="FF0000FF"/>
      <name val="Arial"/>
    </font>
  </fonts>
  <fills count="7">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6AA84F"/>
        <bgColor rgb="FF6AA84F"/>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Font="1"/>
    <xf borderId="0" fillId="0" fontId="6" numFmtId="0" xfId="0" applyFont="1"/>
    <xf borderId="0" fillId="0" fontId="3" numFmtId="0" xfId="0" applyAlignment="1" applyFont="1">
      <alignment readingOrder="0"/>
    </xf>
    <xf borderId="0" fillId="0" fontId="7" numFmtId="167" xfId="0" applyAlignment="1" applyFont="1" applyNumberFormat="1">
      <alignment shrinkToFit="0" wrapText="1"/>
    </xf>
    <xf borderId="0" fillId="0" fontId="8" numFmtId="167" xfId="0" applyAlignment="1" applyFont="1" applyNumberFormat="1">
      <alignment shrinkToFit="0" wrapText="1"/>
    </xf>
    <xf borderId="0" fillId="0" fontId="9" numFmtId="0" xfId="0" applyAlignment="1" applyFont="1">
      <alignment horizontal="center" readingOrder="0"/>
    </xf>
    <xf borderId="0" fillId="0" fontId="10" numFmtId="0" xfId="0" applyFont="1"/>
    <xf borderId="0" fillId="2" fontId="5" numFmtId="0" xfId="0" applyAlignment="1" applyFill="1" applyFont="1">
      <alignment horizontal="center"/>
    </xf>
    <xf borderId="0" fillId="2" fontId="11" numFmtId="0" xfId="0" applyAlignment="1" applyFill="1" applyFont="1">
      <alignment horizontal="center"/>
    </xf>
    <xf borderId="0" fillId="0" fontId="5" numFmtId="0" xfId="0" applyAlignment="1" applyFont="1">
      <alignment horizontal="center" shrinkToFit="0" wrapText="0"/>
    </xf>
    <xf borderId="0" fillId="0" fontId="12" numFmtId="0" xfId="0" applyAlignment="1" applyFont="1">
      <alignment vertical="bottom"/>
    </xf>
    <xf borderId="0" fillId="0" fontId="12" numFmtId="0" xfId="0" applyAlignment="1" applyFont="1">
      <alignment horizontal="center" vertical="bottom"/>
    </xf>
    <xf borderId="0" fillId="2" fontId="5" numFmtId="0" xfId="0" applyFill="1" applyFont="1"/>
    <xf borderId="0" fillId="2" fontId="13" numFmtId="0" xfId="0" applyAlignment="1" applyFill="1" applyFont="1">
      <alignment horizontal="center"/>
    </xf>
    <xf borderId="0" fillId="0" fontId="14" numFmtId="0" xfId="0" applyFont="1"/>
    <xf borderId="0" fillId="0" fontId="4" numFmtId="0" xfId="0" applyAlignment="1" applyFont="1">
      <alignment horizontal="center" readingOrder="0"/>
    </xf>
    <xf borderId="0" fillId="0" fontId="5" numFmtId="167" xfId="0" applyFont="1" applyNumberFormat="1"/>
    <xf borderId="0" fillId="0" fontId="5" numFmtId="0" xfId="0" applyAlignment="1" applyFont="1">
      <alignment vertical="bottom"/>
    </xf>
    <xf borderId="0" fillId="0" fontId="5" numFmtId="1" xfId="0" applyFont="1" applyNumberFormat="1"/>
    <xf borderId="0" fillId="0" fontId="5" numFmtId="164" xfId="0" applyAlignment="1" applyFont="1" applyNumberFormat="1">
      <alignment vertical="bottom"/>
    </xf>
    <xf borderId="0" fillId="0" fontId="5" numFmtId="165" xfId="0" applyAlignment="1" applyFont="1" applyNumberFormat="1">
      <alignment horizontal="center" vertical="bottom"/>
    </xf>
    <xf borderId="0" fillId="0" fontId="5" numFmtId="0" xfId="0" applyAlignment="1" applyFont="1">
      <alignment readingOrder="0" vertical="bottom"/>
    </xf>
    <xf borderId="0" fillId="0" fontId="5" numFmtId="0" xfId="0" applyAlignment="1" applyFont="1">
      <alignment horizontal="right" vertical="bottom"/>
    </xf>
    <xf borderId="0" fillId="0" fontId="5" numFmtId="0" xfId="0" applyAlignment="1" applyFont="1">
      <alignment readingOrder="0"/>
    </xf>
    <xf borderId="0" fillId="3" fontId="12" numFmtId="1" xfId="0" applyAlignment="1" applyFill="1" applyFont="1" applyNumberFormat="1">
      <alignment horizontal="center"/>
    </xf>
    <xf borderId="0" fillId="0" fontId="5" numFmtId="0" xfId="0" applyAlignment="1" applyFont="1">
      <alignment horizontal="center"/>
    </xf>
    <xf borderId="1" fillId="4" fontId="5" numFmtId="1" xfId="0" applyAlignment="1" applyBorder="1" applyFill="1" applyFont="1" applyNumberFormat="1">
      <alignment vertical="bottom"/>
    </xf>
    <xf borderId="2" fillId="4" fontId="15" numFmtId="1" xfId="0" applyAlignment="1" applyBorder="1" applyFill="1" applyFont="1" applyNumberFormat="1">
      <alignment horizontal="right" vertical="bottom"/>
    </xf>
    <xf borderId="3" fillId="4" fontId="5" numFmtId="1" xfId="0" applyAlignment="1" applyBorder="1" applyFill="1" applyFont="1" applyNumberFormat="1">
      <alignment vertical="bottom"/>
    </xf>
    <xf borderId="0" fillId="0" fontId="4" numFmtId="1" xfId="0" applyAlignment="1" applyFont="1" applyNumberFormat="1">
      <alignment vertical="bottom"/>
    </xf>
    <xf borderId="1" fillId="4" fontId="5" numFmtId="1" xfId="0" applyAlignment="1" applyBorder="1" applyFill="1" applyFont="1" applyNumberFormat="1">
      <alignment readingOrder="0" vertical="bottom"/>
    </xf>
    <xf borderId="0" fillId="0" fontId="5" numFmtId="1" xfId="0" applyAlignment="1" applyFont="1" applyNumberFormat="1">
      <alignment vertical="bottom"/>
    </xf>
    <xf borderId="0" fillId="0" fontId="5" numFmtId="166" xfId="0" applyFont="1" applyNumberFormat="1"/>
    <xf borderId="0" fillId="0" fontId="16" numFmtId="0" xfId="0" applyAlignment="1" applyFont="1">
      <alignment horizontal="center"/>
    </xf>
    <xf borderId="0" fillId="0" fontId="17" numFmtId="1" xfId="0" applyAlignment="1" applyFont="1" applyNumberFormat="1">
      <alignment horizontal="center" vertical="bottom"/>
    </xf>
    <xf borderId="0" fillId="0" fontId="18" numFmtId="1" xfId="0" applyAlignment="1" applyFont="1" applyNumberFormat="1">
      <alignment horizontal="center" vertical="bottom"/>
    </xf>
    <xf borderId="0" fillId="0" fontId="19" numFmtId="0" xfId="0" applyAlignment="1" applyFont="1">
      <alignment readingOrder="0"/>
    </xf>
    <xf borderId="0" fillId="0" fontId="20" numFmtId="0" xfId="0" applyAlignment="1" applyFont="1">
      <alignment horizontal="center"/>
    </xf>
    <xf borderId="0" fillId="0" fontId="21" numFmtId="0" xfId="0" applyAlignment="1" applyFont="1">
      <alignment readingOrder="0"/>
    </xf>
    <xf borderId="0" fillId="0" fontId="22" numFmtId="0" xfId="0" applyAlignment="1" applyFont="1">
      <alignment horizontal="center"/>
    </xf>
    <xf borderId="0" fillId="5" fontId="22" numFmtId="0" xfId="0" applyAlignment="1" applyFill="1" applyFont="1">
      <alignment horizontal="center"/>
    </xf>
    <xf borderId="0" fillId="0" fontId="23" numFmtId="1" xfId="0" applyFont="1" applyNumberFormat="1"/>
    <xf borderId="0" fillId="0" fontId="24" numFmtId="0" xfId="0" applyFont="1"/>
    <xf borderId="0" fillId="0" fontId="24" numFmtId="0" xfId="0" applyAlignment="1" applyFont="1">
      <alignment horizontal="center"/>
    </xf>
    <xf borderId="0" fillId="0" fontId="12" numFmtId="0" xfId="0" applyAlignment="1" applyFont="1">
      <alignment horizontal="center" readingOrder="0" vertical="bottom"/>
    </xf>
    <xf borderId="0" fillId="0" fontId="16" numFmtId="0" xfId="0" applyAlignment="1" applyFont="1">
      <alignment horizontal="center" readingOrder="0"/>
    </xf>
    <xf borderId="0" fillId="0" fontId="25" numFmtId="0" xfId="0" applyAlignment="1" applyFont="1">
      <alignment horizontal="center"/>
    </xf>
    <xf borderId="0" fillId="0" fontId="26" numFmtId="0" xfId="0" applyAlignment="1" applyFont="1">
      <alignment horizontal="center" readingOrder="0" vertical="bottom"/>
    </xf>
    <xf borderId="0" fillId="0" fontId="26" numFmtId="0" xfId="0" applyAlignment="1" applyFont="1">
      <alignment horizontal="center" vertical="bottom"/>
    </xf>
    <xf borderId="0" fillId="0" fontId="27" numFmtId="0" xfId="0" applyAlignment="1" applyFont="1">
      <alignment horizontal="center" readingOrder="0" vertical="bottom"/>
    </xf>
    <xf borderId="0" fillId="0" fontId="27" numFmtId="0" xfId="0" applyAlignment="1" applyFont="1">
      <alignment horizontal="center" vertical="bottom"/>
    </xf>
    <xf borderId="0" fillId="0" fontId="26" numFmtId="1" xfId="0" applyAlignment="1" applyFont="1" applyNumberFormat="1">
      <alignment horizontal="center" vertical="bottom"/>
    </xf>
    <xf borderId="0" fillId="0" fontId="5" numFmtId="1" xfId="0" applyAlignment="1" applyFont="1" applyNumberFormat="1">
      <alignment horizontal="center"/>
    </xf>
    <xf borderId="0" fillId="0" fontId="27" numFmtId="1" xfId="0" applyAlignment="1" applyFont="1" applyNumberFormat="1">
      <alignment horizontal="center" vertical="bottom"/>
    </xf>
    <xf borderId="0" fillId="0" fontId="14" numFmtId="1" xfId="0" applyFont="1" applyNumberFormat="1"/>
    <xf borderId="0" fillId="0" fontId="28" numFmtId="0" xfId="0" applyAlignment="1" applyFont="1">
      <alignment readingOrder="0"/>
    </xf>
    <xf borderId="0" fillId="0" fontId="28" numFmtId="0" xfId="0" applyFont="1"/>
    <xf borderId="0" fillId="0" fontId="29" numFmtId="0" xfId="0" applyFont="1"/>
    <xf borderId="0" fillId="0" fontId="29" numFmtId="1" xfId="0" applyAlignment="1" applyFont="1" applyNumberFormat="1">
      <alignment horizontal="center"/>
    </xf>
    <xf borderId="0" fillId="0" fontId="29" numFmtId="1" xfId="0" applyFont="1" applyNumberFormat="1"/>
    <xf borderId="0" fillId="0" fontId="5" numFmtId="0" xfId="0" applyAlignment="1" applyFont="1">
      <alignment horizontal="center" readingOrder="0"/>
    </xf>
    <xf borderId="0" fillId="0" fontId="5" numFmtId="1" xfId="0" applyAlignment="1" applyFont="1" applyNumberFormat="1">
      <alignment horizontal="right" vertical="bottom"/>
    </xf>
    <xf borderId="0" fillId="0" fontId="25" numFmtId="0" xfId="0" applyAlignment="1" applyFont="1">
      <alignment horizontal="center" readingOrder="0"/>
    </xf>
    <xf borderId="0" fillId="6" fontId="5" numFmtId="1" xfId="0" applyFill="1" applyFont="1" applyNumberFormat="1"/>
    <xf borderId="0" fillId="0" fontId="8" numFmtId="0" xfId="0" applyFont="1"/>
    <xf borderId="0" fillId="0" fontId="16" numFmtId="0" xfId="0" applyFont="1"/>
    <xf borderId="0" fillId="0" fontId="8"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4.xml"/><Relationship Id="rId22" Type="http://schemas.openxmlformats.org/officeDocument/2006/relationships/pivotCacheDefinition" Target="pivotCache/pivotCacheDefinition6.xml"/><Relationship Id="rId21" Type="http://schemas.openxmlformats.org/officeDocument/2006/relationships/pivotCacheDefinition" Target="pivotCache/pivotCacheDefinition5.xml"/><Relationship Id="rId24" Type="http://schemas.openxmlformats.org/officeDocument/2006/relationships/pivotCacheDefinition" Target="pivotCache/pivotCacheDefinition8.xml"/><Relationship Id="rId23" Type="http://schemas.openxmlformats.org/officeDocument/2006/relationships/pivotCacheDefinition" Target="pivotCache/pivotCacheDefinition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10.xml"/><Relationship Id="rId25" Type="http://schemas.openxmlformats.org/officeDocument/2006/relationships/pivotCacheDefinition" Target="pivotCache/pivotCacheDefinition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19" Type="http://schemas.openxmlformats.org/officeDocument/2006/relationships/pivotCacheDefinition" Target="pivotCache/pivotCacheDefinition3.xml"/><Relationship Id="rId18"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72" sheet="Aug26"/>
  </cacheSource>
  <cacheFields>
    <cacheField name="Week Day" numFmtId="0">
      <sharedItems containsBlank="1">
        <s v="sábado"/>
        <s v="domingo"/>
        <s v="lunes"/>
        <s v="martes"/>
        <s v="miércoles"/>
        <s v="jueves"/>
        <s v="viernes"/>
        <m/>
      </sharedItems>
    </cacheField>
    <cacheField name="Month" numFmtId="164">
      <sharedItems containsBlank="1">
        <s v="agosto"/>
        <m/>
      </sharedItems>
    </cacheField>
    <cacheField name="Date" numFmtId="165">
      <sharedItems containsDate="1" containsString="0" containsBlank="1">
        <d v="2026-08-01T00:00:00Z"/>
        <d v="2026-08-02T00:00:00Z"/>
        <d v="2026-08-03T00:00:00Z"/>
        <d v="2026-08-04T00:00:00Z"/>
        <d v="2026-08-05T00:00:00Z"/>
        <d v="2026-08-06T00:00:00Z"/>
        <d v="2026-08-07T00:00:00Z"/>
        <d v="2026-08-08T00:00:00Z"/>
        <d v="2026-08-09T00:00:00Z"/>
        <d v="2026-08-10T00:00:00Z"/>
        <d v="2026-08-11T00:00:00Z"/>
        <d v="2026-08-12T00:00:00Z"/>
        <d v="2026-08-13T00:00:00Z"/>
        <d v="2026-08-14T00:00:00Z"/>
        <d v="2026-08-15T00:00:00Z"/>
        <d v="2026-08-16T00:00:00Z"/>
        <d v="2026-08-17T00:00:00Z"/>
        <d v="2026-08-18T00:00:00Z"/>
        <d v="2026-08-19T00:00:00Z"/>
        <d v="2026-08-20T00:00:00Z"/>
        <d v="2026-08-21T00:00:00Z"/>
        <d v="2026-08-22T00:00:00Z"/>
        <d v="2026-08-23T00:00:00Z"/>
        <d v="2026-08-24T00:00:00Z"/>
        <d v="2026-08-25T00:00:00Z"/>
        <d v="2026-08-26T00:00:00Z"/>
        <d v="2026-08-27T00:00:00Z"/>
        <d v="2026-08-28T00:00:00Z"/>
        <d v="2026-08-29T00:00:00Z"/>
        <d v="2026-08-30T00:00:00Z"/>
        <d v="2026-08-31T00:00:00Z"/>
        <m/>
      </sharedItems>
    </cacheField>
    <cacheField name="Tracker" numFmtId="0">
      <sharedItems containsBlank="1">
        <s v="Pedro"/>
        <s v="Berta"/>
        <s v="Johan"/>
        <s v="Euclides"/>
        <s v="Mohamend"/>
        <s v="Lindsey"/>
        <s v="Jonny"/>
        <s v="Julia"/>
        <s v="Moriah"/>
        <s v="Regina"/>
        <s v="Sussy"/>
        <s v="Anthony"/>
        <s v="Pacco"/>
        <s v="Damien"/>
        <s v="Tanisha"/>
        <s v="Johan M."/>
        <s v="Johan R."/>
        <s v="Melody"/>
        <m/>
      </sharedItems>
    </cacheField>
    <cacheField name="Check Calls" numFmtId="0">
      <sharedItems containsString="0" containsBlank="1" containsNumber="1" containsInteger="1">
        <n v="57.0"/>
        <n v="59.0"/>
        <n v="80.0"/>
        <n v="105.0"/>
        <n v="171.0"/>
        <n v="126.0"/>
        <n v="73.0"/>
        <n v="77.0"/>
        <n v="91.0"/>
        <n v="55.0"/>
        <n v="108.0"/>
        <n v="166.0"/>
        <n v="82.0"/>
        <n v="63.0"/>
        <n v="102.0"/>
        <n v="66.0"/>
        <n v="87.0"/>
        <n v="58.0"/>
        <n v="115.0"/>
        <n v="81.0"/>
        <n v="101.0"/>
        <n v="70.0"/>
        <n v="98.0"/>
        <n v="103.0"/>
        <n v="52.0"/>
        <n v="62.0"/>
        <n v="54.0"/>
        <n v="89.0"/>
        <n v="74.0"/>
        <n v="86.0"/>
        <n v="67.0"/>
        <n v="45.0"/>
        <n v="167.0"/>
        <n v="125.0"/>
        <n v="83.0"/>
        <n v="56.0"/>
        <n v="71.0"/>
        <n v="72.0"/>
        <n v="60.0"/>
        <n v="33.0"/>
        <n v="109.0"/>
        <n v="69.0"/>
        <n v="76.0"/>
        <n v="110.0"/>
        <n v="127.0"/>
        <n v="75.0"/>
        <n v="68.0"/>
        <n v="99.0"/>
        <n v="129.0"/>
        <n v="84.0"/>
        <n v="48.0"/>
        <n v="53.0"/>
        <n v="95.0"/>
        <n v="64.0"/>
        <n v="93.0"/>
        <n v="78.0"/>
        <n v="116.0"/>
        <n v="104.0"/>
        <n v="94.0"/>
        <n v="190.0"/>
        <n v="79.0"/>
        <n v="65.0"/>
        <n v="40.0"/>
        <n v="42.0"/>
        <n v="124.0"/>
        <n v="39.0"/>
        <n v="41.0"/>
        <n v="164.0"/>
        <n v="85.0"/>
        <n v="177.0"/>
        <n v="187.0"/>
        <n v="118.0"/>
        <n v="107.0"/>
        <n v="114.0"/>
        <n v="97.0"/>
        <n v="50.0"/>
        <n v="47.0"/>
        <n v="61.0"/>
        <n v="92.0"/>
        <n v="31.0"/>
        <n v="134.0"/>
        <n v="145.0"/>
        <n v="51.0"/>
        <n v="38.0"/>
        <n v="120.0"/>
        <n v="133.0"/>
        <n v="117.0"/>
        <n v="153.0"/>
        <n v="138.0"/>
        <n v="88.0"/>
        <n v="106.0"/>
        <n v="143.0"/>
        <n v="44.0"/>
        <n v="130.0"/>
        <n v="43.0"/>
        <n v="199.0"/>
        <n v="144.0"/>
        <n v="123.0"/>
        <n v="203.0"/>
        <n v="96.0"/>
        <n v="49.0"/>
        <m/>
      </sharedItems>
    </cacheField>
    <cacheField name="Status Updates" numFmtId="0">
      <sharedItems containsString="0" containsBlank="1" containsNumber="1" containsInteger="1">
        <n v="33.0"/>
        <n v="28.0"/>
        <n v="52.0"/>
        <n v="71.0"/>
        <n v="111.0"/>
        <n v="84.0"/>
        <n v="34.0"/>
        <n v="24.0"/>
        <n v="42.0"/>
        <n v="39.0"/>
        <n v="60.0"/>
        <n v="96.0"/>
        <n v="65.0"/>
        <n v="50.0"/>
        <n v="57.0"/>
        <n v="49.0"/>
        <n v="41.0"/>
        <n v="44.0"/>
        <n v="45.0"/>
        <n v="47.0"/>
        <n v="58.0"/>
        <n v="76.0"/>
        <n v="54.0"/>
        <n v="66.0"/>
        <n v="43.0"/>
        <n v="36.0"/>
        <n v="53.0"/>
        <n v="64.0"/>
        <n v="62.0"/>
        <n v="56.0"/>
        <n v="67.0"/>
        <n v="18.0"/>
        <n v="112.0"/>
        <n v="104.0"/>
        <n v="19.0"/>
        <n v="21.0"/>
        <n v="74.0"/>
        <n v="83.0"/>
        <n v="37.0"/>
        <n v="55.0"/>
        <n v="82.0"/>
        <n v="29.0"/>
        <n v="23.0"/>
        <n v="92.0"/>
        <n v="38.0"/>
        <n v="26.0"/>
        <n v="40.0"/>
        <n v="100.0"/>
        <n v="30.0"/>
        <n v="27.0"/>
        <n v="79.0"/>
        <n v="73.0"/>
        <n v="63.0"/>
        <n v="86.0"/>
        <n v="87.0"/>
        <n v="168.0"/>
        <n v="46.0"/>
        <n v="93.0"/>
        <n v="61.0"/>
        <n v="72.0"/>
        <n v="16.0"/>
        <n v="70.0"/>
        <n v="32.0"/>
        <n v="59.0"/>
        <n v="116.0"/>
        <n v="68.0"/>
        <n v="164.0"/>
        <n v="172.0"/>
        <n v="51.0"/>
        <n v="48.0"/>
        <n v="103.0"/>
        <n v="105.0"/>
        <n v="35.0"/>
        <n v="95.0"/>
        <n v="77.0"/>
        <n v="137.0"/>
        <n v="80.0"/>
        <n v="75.0"/>
        <n v="81.0"/>
        <n v="108.0"/>
        <n v="69.0"/>
        <n v="99.0"/>
        <n v="78.0"/>
        <n v="114.0"/>
        <n v="22.0"/>
        <n v="123.0"/>
        <n v="89.0"/>
        <n v="119.0"/>
        <n v="177.0"/>
        <m/>
      </sharedItems>
    </cacheField>
    <cacheField name="Inbound (Received)" numFmtId="0">
      <sharedItems containsString="0" containsBlank="1" containsNumber="1" containsInteger="1">
        <n v="6.0"/>
        <n v="2.0"/>
        <n v="4.0"/>
        <n v="5.0"/>
        <n v="3.0"/>
        <n v="0.0"/>
        <n v="1.0"/>
        <n v="9.0"/>
        <n v="8.0"/>
        <n v="7.0"/>
        <n v="10.0"/>
        <n v="12.0"/>
        <n v="15.0"/>
        <n v="11.0"/>
        <m/>
      </sharedItems>
    </cacheField>
    <cacheField name="Outbound " numFmtId="0">
      <sharedItems containsString="0" containsBlank="1" containsNumber="1" containsInteger="1">
        <n v="3.0"/>
        <n v="4.0"/>
        <n v="2.0"/>
        <n v="11.0"/>
        <n v="0.0"/>
        <n v="9.0"/>
        <n v="5.0"/>
        <n v="12.0"/>
        <n v="10.0"/>
        <n v="8.0"/>
        <n v="6.0"/>
        <n v="1.0"/>
        <n v="7.0"/>
        <n v="20.0"/>
        <n v="23.0"/>
        <n v="21.0"/>
        <n v="26.0"/>
        <n v="13.0"/>
        <n v="14.0"/>
        <n v="18.0"/>
        <n v="22.0"/>
        <n v="16.0"/>
        <n v="15.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57" sheet="Jul26"/>
  </cacheSource>
  <cacheFields>
    <cacheField name="Week Day" numFmtId="0">
      <sharedItems containsBlank="1">
        <s v="miércoles"/>
        <s v="jueves"/>
        <s v="viernes"/>
        <s v="sábado"/>
        <s v="domingo"/>
        <s v="lunes"/>
        <s v="martes"/>
        <m/>
      </sharedItems>
    </cacheField>
    <cacheField name="Month" numFmtId="164">
      <sharedItems containsBlank="1">
        <s v="julio"/>
        <m/>
      </sharedItems>
    </cacheField>
    <cacheField name="Date" numFmtId="165">
      <sharedItems containsDate="1" containsString="0" containsBlank="1">
        <d v="2026-07-01T00:00:00Z"/>
        <d v="2026-07-02T00:00:00Z"/>
        <d v="2026-07-03T00:00:00Z"/>
        <d v="2026-07-04T00:00:00Z"/>
        <d v="2026-07-05T00:00:00Z"/>
        <d v="2026-07-06T00:00:00Z"/>
        <d v="2026-07-07T00:00:00Z"/>
        <d v="2026-07-08T00:00:00Z"/>
        <d v="2026-07-09T00:00:00Z"/>
        <d v="2026-07-10T00:00:00Z"/>
        <d v="2026-07-11T00:00:00Z"/>
        <d v="2026-07-12T00:00:00Z"/>
        <d v="2026-07-13T00:00:00Z"/>
        <d v="2026-07-14T00:00:00Z"/>
        <d v="2026-07-15T00:00:00Z"/>
        <d v="2026-07-16T00:00:00Z"/>
        <d v="2026-07-17T00:00:00Z"/>
        <d v="2026-07-18T00:00:00Z"/>
        <d v="2026-07-19T00:00:00Z"/>
        <d v="2026-07-20T00:00:00Z"/>
        <d v="2026-07-21T00:00:00Z"/>
        <d v="2026-07-22T00:00:00Z"/>
        <d v="2026-07-23T00:00:00Z"/>
        <d v="2026-07-24T00:00:00Z"/>
        <d v="2026-07-25T00:00:00Z"/>
        <d v="2026-07-26T00:00:00Z"/>
        <d v="2026-07-27T00:00:00Z"/>
        <d v="2026-07-28T00:00:00Z"/>
        <d v="2026-07-29T00:00:00Z"/>
        <d v="2026-07-30T00:00:00Z"/>
        <d v="2026-07-31T00:00:00Z"/>
        <m/>
      </sharedItems>
    </cacheField>
    <cacheField name="Tracker" numFmtId="0">
      <sharedItems containsBlank="1">
        <s v="Lindsey"/>
        <s v="Julia"/>
        <s v="Moriah"/>
        <s v="Melody"/>
        <s v="Johan"/>
        <s v="Anthony"/>
        <s v="Pacco"/>
        <s v="Damien"/>
        <s v="Tanisha"/>
        <s v="Pedro"/>
        <s v="Sussy"/>
        <s v="Jonny"/>
        <s v="Euclides"/>
        <s v="Regina"/>
        <s v="Tanishahary"/>
        <s v="No KPIs"/>
        <s v="Tanishah"/>
        <s v="Berta"/>
        <s v="Mohamend"/>
        <s v="Johan M."/>
        <s v="Johan R."/>
        <m/>
      </sharedItems>
    </cacheField>
    <cacheField name="Check Calls">
      <sharedItems containsBlank="1" containsMixedTypes="1" containsNumber="1" containsInteger="1">
        <n v="73.0"/>
        <n v="75.0"/>
        <n v="95.0"/>
        <n v="211.0"/>
        <n v="61.0"/>
        <n v="91.0"/>
        <n v="155.0"/>
        <n v="88.0"/>
        <n v="94.0"/>
        <n v="56.0"/>
        <n v="66.0"/>
        <n v="80.0"/>
        <n v="53.0"/>
        <n v="32.0"/>
        <n v="60.0"/>
        <n v="58.0"/>
        <n v="77.0"/>
        <n v="47.0"/>
        <n v="33.0"/>
        <n v="43.0"/>
        <n v="164.0"/>
        <s v="No KPIs"/>
        <n v="126.0"/>
        <n v="81.0"/>
        <n v="109.0"/>
        <n v="64.0"/>
        <n v="90.0"/>
        <n v="52.0"/>
        <n v="113.0"/>
        <n v="72.0"/>
        <n v="127.0"/>
        <n v="48.0"/>
        <n v="106.0"/>
        <n v="150.0"/>
        <n v="118.0"/>
        <n v="130.0"/>
        <n v="103.0"/>
        <n v="174.0"/>
        <n v="55.0"/>
        <n v="62.0"/>
        <n v="96.0"/>
        <n v="170.0"/>
        <n v="104.0"/>
        <n v="67.0"/>
        <n v="74.0"/>
        <n v="98.0"/>
        <n v="78.0"/>
        <n v="23.0"/>
        <n v="162.0"/>
        <n v="59.0"/>
        <n v="142.0"/>
        <n v="71.0"/>
        <n v="154.0"/>
        <n v="41.0"/>
        <n v="86.0"/>
        <n v="180.0"/>
        <n v="125.0"/>
        <n v="92.0"/>
        <n v="70.0"/>
        <n v="111.0"/>
        <n v="223.0"/>
        <n v="87.0"/>
        <n v="30.0"/>
        <n v="57.0"/>
        <n v="93.0"/>
        <n v="68.0"/>
        <n v="65.0"/>
        <n v="153.0"/>
        <n v="117.0"/>
        <n v="76.0"/>
        <n v="45.0"/>
        <n v="115.0"/>
        <n v="85.0"/>
        <n v="110.0"/>
        <n v="166.0"/>
        <n v="79.0"/>
        <n v="100.0"/>
        <n v="257.0"/>
        <n v="108.0"/>
        <n v="84.0"/>
        <n v="181.0"/>
        <n v="119.0"/>
        <n v="236.0"/>
        <n v="89.0"/>
        <n v="101.0"/>
        <n v="50.0"/>
        <n v="120.0"/>
        <n v="129.0"/>
        <n v="102.0"/>
        <n v="107.0"/>
        <n v="128.0"/>
        <n v="97.0"/>
        <n v="82.0"/>
        <n v="63.0"/>
        <n v="37.0"/>
        <n v="112.0"/>
        <n v="187.0"/>
        <n v="199.0"/>
        <n v="49.0"/>
        <n v="83.0"/>
        <n v="183.0"/>
        <n v="39.0"/>
        <n v="51.0"/>
        <n v="147.0"/>
        <n v="144.0"/>
        <m/>
      </sharedItems>
    </cacheField>
    <cacheField name="Status Updates">
      <sharedItems containsBlank="1" containsMixedTypes="1" containsNumber="1" containsInteger="1">
        <n v="48.0"/>
        <n v="49.0"/>
        <n v="56.0"/>
        <n v="191.0"/>
        <n v="24.0"/>
        <n v="58.0"/>
        <n v="89.0"/>
        <n v="73.0"/>
        <n v="78.0"/>
        <n v="13.0"/>
        <n v="43.0"/>
        <n v="36.0"/>
        <n v="54.0"/>
        <n v="21.0"/>
        <n v="29.0"/>
        <n v="71.0"/>
        <n v="50.0"/>
        <n v="26.0"/>
        <n v="53.0"/>
        <n v="31.0"/>
        <n v="22.0"/>
        <n v="11.0"/>
        <s v="No KPIs"/>
        <n v="97.0"/>
        <n v="66.0"/>
        <n v="64.0"/>
        <n v="63.0"/>
        <n v="47.0"/>
        <n v="77.0"/>
        <n v="75.0"/>
        <n v="87.0"/>
        <n v="32.0"/>
        <n v="79.0"/>
        <n v="99.0"/>
        <n v="83.0"/>
        <n v="122.0"/>
        <n v="61.0"/>
        <n v="136.0"/>
        <n v="28.0"/>
        <n v="41.0"/>
        <n v="111.0"/>
        <n v="92.0"/>
        <n v="55.0"/>
        <n v="33.0"/>
        <n v="34.0"/>
        <n v="27.0"/>
        <n v="123.0"/>
        <n v="45.0"/>
        <n v="30.0"/>
        <n v="35.0"/>
        <n v="37.0"/>
        <n v="91.0"/>
        <n v="94.0"/>
        <n v="59.0"/>
        <n v="57.0"/>
        <n v="152.0"/>
        <n v="39.0"/>
        <n v="151.0"/>
        <n v="44.0"/>
        <n v="65.0"/>
        <n v="23.0"/>
        <n v="68.0"/>
        <n v="42.0"/>
        <n v="40.0"/>
        <n v="117.0"/>
        <n v="69.0"/>
        <n v="46.0"/>
        <n v="81.0"/>
        <n v="10.0"/>
        <n v="143.0"/>
        <n v="38.0"/>
        <n v="234.0"/>
        <n v="70.0"/>
        <n v="72.0"/>
        <n v="209.0"/>
        <n v="114.0"/>
        <n v="125.0"/>
        <n v="90.0"/>
        <n v="51.0"/>
        <n v="107.0"/>
        <n v="140.0"/>
        <n v="150.0"/>
        <n v="62.0"/>
        <n v="52.0"/>
        <n v="67.0"/>
        <n v="157.0"/>
        <n v="15.0"/>
        <n v="104.0"/>
        <n v="25.0"/>
        <n v="103.0"/>
        <n v="199.0"/>
        <m/>
      </sharedItems>
    </cacheField>
    <cacheField name="Inbound (Received)">
      <sharedItems containsBlank="1" containsMixedTypes="1" containsNumber="1" containsInteger="1">
        <n v="0.0"/>
        <n v="1.0"/>
        <n v="3.0"/>
        <n v="4.0"/>
        <n v="6.0"/>
        <n v="2.0"/>
        <s v="No KPIs"/>
        <n v="8.0"/>
        <n v="5.0"/>
        <n v="7.0"/>
        <n v="9.0"/>
        <m/>
      </sharedItems>
    </cacheField>
    <cacheField name="Outbound ">
      <sharedItems containsBlank="1" containsMixedTypes="1" containsNumber="1" containsInteger="1">
        <n v="15.0"/>
        <n v="5.0"/>
        <n v="6.0"/>
        <n v="23.0"/>
        <n v="12.0"/>
        <n v="10.0"/>
        <n v="17.0"/>
        <n v="21.0"/>
        <n v="9.0"/>
        <n v="0.0"/>
        <n v="2.0"/>
        <s v="No KPIs"/>
        <n v="7.0"/>
        <n v="3.0"/>
        <n v="14.0"/>
        <n v="13.0"/>
        <n v="20.0"/>
        <n v="4.0"/>
        <n v="1.0"/>
        <n v="25.0"/>
        <n v="27.0"/>
        <n v="8.0"/>
        <n v="11.0"/>
        <n v="16.0"/>
        <n v="18.0"/>
        <n v="19.0"/>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326" sheet="Jun26"/>
  </cacheSource>
  <cacheFields>
    <cacheField name="Week Day" numFmtId="0">
      <sharedItems containsBlank="1">
        <s v="lunes"/>
        <s v="martes"/>
        <s v="miércoles"/>
        <s v="jueves"/>
        <s v="viernes"/>
        <s v="sábado"/>
        <s v="domingo"/>
        <m/>
      </sharedItems>
    </cacheField>
    <cacheField name="Month" numFmtId="164">
      <sharedItems containsBlank="1">
        <s v="junio"/>
        <m/>
      </sharedItems>
    </cacheField>
    <cacheField name="Date" numFmtId="165">
      <sharedItems containsDate="1" containsString="0" containsBlank="1">
        <d v="2026-06-01T00:00:00Z"/>
        <d v="2026-06-02T00:00:00Z"/>
        <d v="2026-06-03T00:00:00Z"/>
        <d v="2026-06-04T00:00:00Z"/>
        <d v="2026-06-05T00:00:00Z"/>
        <d v="2026-06-06T00:00:00Z"/>
        <d v="2026-06-07T00:00:00Z"/>
        <d v="2026-06-08T00:00:00Z"/>
        <d v="2026-06-09T00:00:00Z"/>
        <d v="2026-06-10T00:00:00Z"/>
        <d v="2026-06-11T00:00:00Z"/>
        <d v="2026-06-12T00:00:00Z"/>
        <d v="2026-06-13T00:00:00Z"/>
        <d v="2026-06-14T00:00:00Z"/>
        <d v="2026-06-15T00:00:00Z"/>
        <d v="2026-06-16T00:00:00Z"/>
        <d v="2026-06-17T00:00:00Z"/>
        <d v="2026-06-18T00:00:00Z"/>
        <d v="2026-06-19T00:00:00Z"/>
        <d v="2026-06-20T00:00:00Z"/>
        <d v="2026-06-21T00:00:00Z"/>
        <d v="2026-06-22T00:00:00Z"/>
        <d v="2026-06-23T00:00:00Z"/>
        <d v="2026-06-24T00:00:00Z"/>
        <d v="2026-06-25T00:00:00Z"/>
        <d v="2026-06-26T00:00:00Z"/>
        <d v="2026-06-27T00:00:00Z"/>
        <d v="2026-06-28T00:00:00Z"/>
        <d v="2026-06-29T00:00:00Z"/>
        <d v="2026-06-30T00:00:00Z"/>
        <m/>
      </sharedItems>
    </cacheField>
    <cacheField name="Tracker" numFmtId="0">
      <sharedItems containsBlank="1">
        <s v="Lindsey"/>
        <s v="Moriah"/>
        <s v="Regina"/>
        <s v="Anthony"/>
        <s v="Pacco"/>
        <s v="Damien"/>
        <s v="Mohamend"/>
        <s v="Tanisha"/>
        <s v="Petronila"/>
        <s v="Johan"/>
        <s v="Melody"/>
        <s v="Pedro"/>
        <s v="Jonny"/>
        <s v="Euclides"/>
        <s v="Tanishah"/>
        <s v="Berta"/>
        <s v="Reginaiel"/>
        <s v="Sussy"/>
        <s v="Julia"/>
        <s v="Cesar"/>
        <m/>
      </sharedItems>
    </cacheField>
    <cacheField name="Check Calls" numFmtId="0">
      <sharedItems containsString="0" containsBlank="1" containsNumber="1" containsInteger="1">
        <n v="147.0"/>
        <n v="114.0"/>
        <n v="110.0"/>
        <n v="55.0"/>
        <n v="125.0"/>
        <n v="90.0"/>
        <n v="243.0"/>
        <n v="89.0"/>
        <n v="130.0"/>
        <n v="218.0"/>
        <n v="96.0"/>
        <n v="134.0"/>
        <n v="292.0"/>
        <n v="177.0"/>
        <n v="186.0"/>
        <n v="173.0"/>
        <n v="234.0"/>
        <n v="200.0"/>
        <n v="176.0"/>
        <n v="354.0"/>
        <n v="170.0"/>
        <n v="204.0"/>
        <n v="53.0"/>
        <n v="192.0"/>
        <n v="223.0"/>
        <n v="57.0"/>
        <n v="46.0"/>
        <n v="72.0"/>
        <n v="159.0"/>
        <n v="152.0"/>
        <n v="118.0"/>
        <n v="127.0"/>
        <n v="122.0"/>
        <n v="84.0"/>
        <n v="321.0"/>
        <n v="128.0"/>
        <n v="231.0"/>
        <n v="133.0"/>
        <n v="95.0"/>
        <n v="195.0"/>
        <n v="190.0"/>
        <n v="149.0"/>
        <n v="137.0"/>
        <n v="145.0"/>
        <n v="397.0"/>
        <n v="61.0"/>
        <n v="45.0"/>
        <n v="76.0"/>
        <n v="41.0"/>
        <n v="70.0"/>
        <n v="126.0"/>
        <n v="123.0"/>
        <n v="75.0"/>
        <n v="68.0"/>
        <n v="161.0"/>
        <n v="94.0"/>
        <n v="59.0"/>
        <n v="104.0"/>
        <n v="156.0"/>
        <n v="85.0"/>
        <n v="67.0"/>
        <n v="66.0"/>
        <n v="185.0"/>
        <n v="106.0"/>
        <n v="93.0"/>
        <n v="77.0"/>
        <n v="64.0"/>
        <n v="86.0"/>
        <n v="60.0"/>
        <n v="56.0"/>
        <n v="42.0"/>
        <n v="139.0"/>
        <n v="115.0"/>
        <n v="63.0"/>
        <n v="71.0"/>
        <n v="49.0"/>
        <n v="33.0"/>
        <n v="65.0"/>
        <n v="131.0"/>
        <n v="74.0"/>
        <n v="62.0"/>
        <n v="208.0"/>
        <n v="88.0"/>
        <n v="79.0"/>
        <n v="229.0"/>
        <n v="101.0"/>
        <n v="54.0"/>
        <n v="155.0"/>
        <n v="103.0"/>
        <n v="34.0"/>
        <n v="111.0"/>
        <n v="97.0"/>
        <n v="81.0"/>
        <n v="105.0"/>
        <n v="424.0"/>
        <n v="47.0"/>
        <n v="44.0"/>
        <n v="51.0"/>
        <n v="154.0"/>
        <n v="39.0"/>
        <n v="153.0"/>
        <n v="121.0"/>
        <n v="100.0"/>
        <n v="124.0"/>
        <n v="160.0"/>
        <n v="83.0"/>
        <n v="69.0"/>
        <n v="183.0"/>
        <n v="50.0"/>
        <n v="116.0"/>
        <n v="181.0"/>
        <n v="92.0"/>
        <n v="148.0"/>
        <n v="52.0"/>
        <n v="120.0"/>
        <n v="166.0"/>
        <n v="82.0"/>
        <n v="73.0"/>
        <n v="102.0"/>
        <n v="165.0"/>
        <n v="179.0"/>
        <n v="142.0"/>
        <n v="58.0"/>
        <n v="48.0"/>
        <n v="182.0"/>
        <n v="228.0"/>
        <n v="163.0"/>
        <n v="87.0"/>
        <n v="108.0"/>
        <n v="201.0"/>
        <n v="135.0"/>
        <m/>
      </sharedItems>
    </cacheField>
    <cacheField name="Status Updates" numFmtId="0">
      <sharedItems containsString="0" containsBlank="1" containsNumber="1" containsInteger="1">
        <n v="84.0"/>
        <n v="61.0"/>
        <n v="13.0"/>
        <n v="30.0"/>
        <n v="68.0"/>
        <n v="80.0"/>
        <n v="103.0"/>
        <n v="88.0"/>
        <n v="77.0"/>
        <n v="121.0"/>
        <n v="82.0"/>
        <n v="185.0"/>
        <n v="156.0"/>
        <n v="176.0"/>
        <n v="97.0"/>
        <n v="134.0"/>
        <n v="175.0"/>
        <n v="90.0"/>
        <n v="222.0"/>
        <n v="145.0"/>
        <n v="189.0"/>
        <n v="21.0"/>
        <n v="199.0"/>
        <n v="29.0"/>
        <n v="37.0"/>
        <n v="69.0"/>
        <n v="140.0"/>
        <n v="129.0"/>
        <n v="184.0"/>
        <n v="47.0"/>
        <n v="113.0"/>
        <n v="192.0"/>
        <n v="102.0"/>
        <n v="193.0"/>
        <n v="75.0"/>
        <n v="70.0"/>
        <n v="105.0"/>
        <n v="155.0"/>
        <n v="93.0"/>
        <n v="86.0"/>
        <n v="98.0"/>
        <n v="290.0"/>
        <n v="35.0"/>
        <n v="95.0"/>
        <n v="43.0"/>
        <n v="50.0"/>
        <n v="19.0"/>
        <n v="60.0"/>
        <n v="52.0"/>
        <n v="101.0"/>
        <n v="33.0"/>
        <n v="45.0"/>
        <n v="53.0"/>
        <n v="58.0"/>
        <n v="54.0"/>
        <n v="104.0"/>
        <n v="79.0"/>
        <n v="78.0"/>
        <n v="36.0"/>
        <n v="57.0"/>
        <n v="63.0"/>
        <n v="128.0"/>
        <n v="40.0"/>
        <n v="89.0"/>
        <n v="92.0"/>
        <n v="28.0"/>
        <n v="55.0"/>
        <n v="48.0"/>
        <n v="24.0"/>
        <n v="62.0"/>
        <n v="27.0"/>
        <n v="109.0"/>
        <n v="46.0"/>
        <n v="41.0"/>
        <n v="38.0"/>
        <n v="169.0"/>
        <n v="110.0"/>
        <n v="49.0"/>
        <n v="59.0"/>
        <n v="167.0"/>
        <n v="66.0"/>
        <n v="99.0"/>
        <n v="65.0"/>
        <n v="14.0"/>
        <n v="39.0"/>
        <n v="76.0"/>
        <n v="106.0"/>
        <n v="64.0"/>
        <n v="74.0"/>
        <n v="163.0"/>
        <n v="25.0"/>
        <n v="72.0"/>
        <n v="23.0"/>
        <n v="137.0"/>
        <n v="32.0"/>
        <n v="31.0"/>
        <n v="141.0"/>
        <n v="71.0"/>
        <n v="42.0"/>
        <n v="114.0"/>
        <n v="73.0"/>
        <n v="108.0"/>
        <n v="130.0"/>
        <n v="142.0"/>
        <n v="124.0"/>
        <n v="126.0"/>
        <n v="17.0"/>
        <n v="56.0"/>
        <n v="107.0"/>
        <n v="26.0"/>
        <n v="116.0"/>
        <n v="218.0"/>
        <n v="117.0"/>
        <n v="81.0"/>
        <n v="122.0"/>
        <n v="87.0"/>
        <m/>
      </sharedItems>
    </cacheField>
    <cacheField name="Inbound (Received)" numFmtId="0">
      <sharedItems containsString="0" containsBlank="1" containsNumber="1" containsInteger="1">
        <n v="1.0"/>
        <n v="6.0"/>
        <n v="0.0"/>
        <n v="4.0"/>
        <n v="7.0"/>
        <n v="2.0"/>
        <n v="5.0"/>
        <n v="3.0"/>
        <n v="10.0"/>
        <n v="8.0"/>
        <n v="9.0"/>
        <n v="12.0"/>
        <n v="11.0"/>
        <m/>
      </sharedItems>
    </cacheField>
    <cacheField name="Outbound " numFmtId="0">
      <sharedItems containsString="0" containsBlank="1" containsNumber="1" containsInteger="1">
        <n v="8.0"/>
        <n v="1.0"/>
        <n v="0.0"/>
        <n v="4.0"/>
        <n v="5.0"/>
        <n v="15.0"/>
        <n v="11.0"/>
        <n v="2.0"/>
        <n v="3.0"/>
        <n v="6.0"/>
        <n v="7.0"/>
        <n v="18.0"/>
        <n v="30.0"/>
        <n v="9.0"/>
        <n v="14.0"/>
        <n v="13.0"/>
        <n v="19.0"/>
        <n v="12.0"/>
        <n v="10.0"/>
        <n v="20.0"/>
        <n v="27.0"/>
        <n v="21.0"/>
        <n v="23.0"/>
        <n v="24.0"/>
        <n v="17.0"/>
        <n v="16.0"/>
        <n v="36.0"/>
        <n v="22.0"/>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326" sheet="May26"/>
  </cacheSource>
  <cacheFields>
    <cacheField name="Week Day" numFmtId="0">
      <sharedItems containsBlank="1">
        <s v="viernes"/>
        <s v="sábado"/>
        <s v="domingo"/>
        <s v="lunes"/>
        <s v="martes"/>
        <s v="miércoles"/>
        <s v="jueves"/>
        <m/>
      </sharedItems>
    </cacheField>
    <cacheField name="Month" numFmtId="164">
      <sharedItems containsBlank="1">
        <s v="mayo"/>
        <m/>
      </sharedItems>
    </cacheField>
    <cacheField name="Date" numFmtId="166">
      <sharedItems containsDate="1" containsString="0" containsBlank="1">
        <d v="2026-05-01T00:00:00Z"/>
        <d v="2026-05-02T00:00:00Z"/>
        <d v="2026-05-03T00:00:00Z"/>
        <d v="2026-05-04T00:00:00Z"/>
        <d v="2026-05-05T00:00:00Z"/>
        <d v="2026-05-06T00:00:00Z"/>
        <d v="2026-05-07T00:00:00Z"/>
        <d v="2026-05-08T00:00:00Z"/>
        <d v="2026-05-09T00:00:00Z"/>
        <d v="2026-05-10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7T00:00:00Z"/>
        <d v="2026-05-28T00:00:00Z"/>
        <d v="2026-05-29T00:00:00Z"/>
        <d v="2026-05-30T00:00:00Z"/>
        <d v="2026-05-31T00:00:00Z"/>
        <m/>
      </sharedItems>
    </cacheField>
    <cacheField name="Tracker" numFmtId="0">
      <sharedItems containsBlank="1">
        <s v="Pedro"/>
        <s v="Cesar"/>
        <s v="Melody"/>
        <s v="Jonny"/>
        <s v="Euclides"/>
        <s v="Pacco"/>
        <s v="Tanisha"/>
        <s v="Berta"/>
        <s v="Petronila"/>
        <s v="Mohamend"/>
        <s v="Lindsey"/>
        <s v="Julia"/>
        <s v="Moriah"/>
        <s v="Regina"/>
        <s v="Deyska"/>
        <s v="Eva"/>
        <s v="Sussy"/>
        <s v="Lorena"/>
        <s v="Anthony"/>
        <s v="Damien"/>
        <s v="Johan"/>
        <s v="No KPIs"/>
        <m/>
      </sharedItems>
    </cacheField>
    <cacheField name="Check Calls">
      <sharedItems containsBlank="1" containsMixedTypes="1" containsNumber="1" containsInteger="1">
        <n v="75.0"/>
        <n v="63.0"/>
        <n v="54.0"/>
        <n v="25.0"/>
        <n v="66.0"/>
        <n v="134.0"/>
        <n v="139.0"/>
        <n v="78.0"/>
        <n v="61.0"/>
        <n v="47.0"/>
        <n v="77.0"/>
        <n v="131.0"/>
        <n v="219.0"/>
        <n v="83.0"/>
        <n v="86.0"/>
        <n v="200.0"/>
        <n v="102.0"/>
        <n v="109.0"/>
        <n v="142.0"/>
        <n v="32.0"/>
        <n v="70.0"/>
        <n v="37.0"/>
        <n v="135.0"/>
        <n v="51.0"/>
        <n v="71.0"/>
        <n v="99.0"/>
        <n v="65.0"/>
        <n v="133.0"/>
        <n v="137.0"/>
        <n v="76.0"/>
        <n v="56.0"/>
        <n v="60.0"/>
        <n v="87.0"/>
        <n v="69.0"/>
        <n v="130.0"/>
        <n v="81.0"/>
        <n v="48.0"/>
        <n v="68.0"/>
        <n v="110.0"/>
        <n v="0.0"/>
        <n v="90.0"/>
        <n v="104.0"/>
        <n v="38.0"/>
        <n v="107.0"/>
        <n v="79.0"/>
        <n v="33.0"/>
        <n v="91.0"/>
        <n v="53.0"/>
        <n v="46.0"/>
        <n v="57.0"/>
        <n v="49.0"/>
        <n v="106.0"/>
        <n v="50.0"/>
        <n v="101.0"/>
        <n v="39.0"/>
        <n v="52.0"/>
        <n v="129.0"/>
        <n v="162.0"/>
        <n v="62.0"/>
        <n v="89.0"/>
        <n v="97.0"/>
        <n v="118.0"/>
        <n v="72.0"/>
        <n v="45.0"/>
        <n v="22.0"/>
        <n v="94.0"/>
        <n v="141.0"/>
        <n v="55.0"/>
        <n v="84.0"/>
        <n v="82.0"/>
        <n v="58.0"/>
        <n v="74.0"/>
        <n v="95.0"/>
        <n v="112.0"/>
        <n v="29.0"/>
        <n v="24.0"/>
        <n v="150.0"/>
        <n v="42.0"/>
        <n v="128.0"/>
        <n v="132.0"/>
        <n v="43.0"/>
        <n v="147.0"/>
        <n v="115.0"/>
        <n v="125.0"/>
        <n v="44.0"/>
        <n v="59.0"/>
        <n v="160.0"/>
        <n v="144.0"/>
        <n v="165.0"/>
        <n v="34.0"/>
        <n v="93.0"/>
        <n v="189.0"/>
        <n v="138.0"/>
        <n v="152.0"/>
        <n v="26.0"/>
        <n v="338.0"/>
        <n v="173.0"/>
        <n v="247.0"/>
        <n v="158.0"/>
        <n v="277.0"/>
        <n v="161.0"/>
        <n v="220.0"/>
        <n v="136.0"/>
        <n v="154.0"/>
        <n v="113.0"/>
        <n v="103.0"/>
        <n v="117.0"/>
        <n v="214.0"/>
        <n v="98.0"/>
        <s v="No KPIs"/>
        <n v="168.0"/>
        <n v="148.0"/>
        <n v="155.0"/>
        <n v="188.0"/>
        <n v="207.0"/>
        <n v="126.0"/>
        <n v="204.0"/>
        <n v="177.0"/>
        <n v="183.0"/>
        <n v="193.0"/>
        <n v="146.0"/>
        <n v="36.0"/>
        <n v="40.0"/>
        <n v="342.0"/>
        <n v="153.0"/>
        <n v="202.0"/>
        <n v="114.0"/>
        <n v="174.0"/>
        <n v="256.0"/>
        <n v="116.0"/>
        <n v="170.0"/>
        <n v="85.0"/>
        <n v="64.0"/>
        <n v="229.0"/>
        <n v="237.0"/>
        <m/>
      </sharedItems>
    </cacheField>
    <cacheField name="Status Updates">
      <sharedItems containsBlank="1" containsMixedTypes="1" containsNumber="1" containsInteger="1">
        <n v="41.0"/>
        <n v="53.0"/>
        <n v="45.0"/>
        <n v="27.0"/>
        <n v="37.0"/>
        <n v="70.0"/>
        <n v="101.0"/>
        <n v="40.0"/>
        <n v="46.0"/>
        <n v="56.0"/>
        <n v="42.0"/>
        <n v="48.0"/>
        <n v="75.0"/>
        <n v="207.0"/>
        <n v="54.0"/>
        <n v="50.0"/>
        <n v="199.0"/>
        <n v="20.0"/>
        <n v="52.0"/>
        <n v="30.0"/>
        <n v="63.0"/>
        <n v="33.0"/>
        <n v="80.0"/>
        <n v="65.0"/>
        <n v="59.0"/>
        <n v="24.0"/>
        <n v="83.0"/>
        <n v="61.0"/>
        <n v="43.0"/>
        <n v="86.0"/>
        <n v="0.0"/>
        <n v="81.0"/>
        <n v="36.0"/>
        <n v="57.0"/>
        <n v="32.0"/>
        <n v="104.0"/>
        <n v="44.0"/>
        <n v="31.0"/>
        <n v="22.0"/>
        <n v="58.0"/>
        <n v="69.0"/>
        <n v="38.0"/>
        <n v="64.0"/>
        <n v="39.0"/>
        <n v="73.0"/>
        <n v="28.0"/>
        <n v="18.0"/>
        <n v="72.0"/>
        <n v="29.0"/>
        <n v="60.0"/>
        <n v="109.0"/>
        <n v="34.0"/>
        <n v="94.0"/>
        <n v="23.0"/>
        <n v="49.0"/>
        <n v="47.0"/>
        <n v="66.0"/>
        <n v="13.0"/>
        <n v="14.0"/>
        <n v="68.0"/>
        <n v="74.0"/>
        <n v="77.0"/>
        <n v="99.0"/>
        <n v="21.0"/>
        <n v="26.0"/>
        <n v="107.0"/>
        <n v="67.0"/>
        <n v="145.0"/>
        <n v="35.0"/>
        <n v="124.0"/>
        <n v="51.0"/>
        <n v="90.0"/>
        <n v="88.0"/>
        <n v="79.0"/>
        <n v="19.0"/>
        <n v="92.0"/>
        <n v="119.0"/>
        <n v="121.0"/>
        <n v="82.0"/>
        <n v="224.0"/>
        <n v="147.0"/>
        <n v="214.0"/>
        <n v="190.0"/>
        <n v="120.0"/>
        <n v="186.0"/>
        <n v="111.0"/>
        <n v="78.0"/>
        <n v="210.0"/>
        <n v="76.0"/>
        <s v="No KPIs"/>
        <n v="127.0"/>
        <n v="151.0"/>
        <n v="93.0"/>
        <n v="114.0"/>
        <n v="100.0"/>
        <n v="108.0"/>
        <n v="103.0"/>
        <n v="130.0"/>
        <n v="131.0"/>
        <n v="112.0"/>
        <n v="106.0"/>
        <n v="118.0"/>
        <n v="236.0"/>
        <n v="132.0"/>
        <n v="188.0"/>
        <n v="62.0"/>
        <n v="162.0"/>
        <n v="225.0"/>
        <n v="95.0"/>
        <n v="194.0"/>
        <n v="126.0"/>
        <m/>
      </sharedItems>
    </cacheField>
    <cacheField name="Inbound (Received)">
      <sharedItems containsBlank="1" containsMixedTypes="1" containsNumber="1" containsInteger="1">
        <n v="7.0"/>
        <n v="2.0"/>
        <n v="4.0"/>
        <n v="6.0"/>
        <n v="9.0"/>
        <n v="1.0"/>
        <n v="3.0"/>
        <n v="0.0"/>
        <n v="5.0"/>
        <n v="12.0"/>
        <n v="8.0"/>
        <n v="13.0"/>
        <n v="10.0"/>
        <n v="16.0"/>
        <s v="No KPIs"/>
        <m/>
      </sharedItems>
    </cacheField>
    <cacheField name="Outbound ">
      <sharedItems containsBlank="1" containsMixedTypes="1" containsNumber="1" containsInteger="1">
        <n v="4.0"/>
        <n v="2.0"/>
        <n v="3.0"/>
        <n v="6.0"/>
        <n v="15.0"/>
        <n v="9.0"/>
        <n v="1.0"/>
        <n v="0.0"/>
        <n v="7.0"/>
        <n v="14.0"/>
        <n v="8.0"/>
        <n v="5.0"/>
        <n v="10.0"/>
        <n v="24.0"/>
        <n v="21.0"/>
        <n v="11.0"/>
        <n v="13.0"/>
        <n v="18.0"/>
        <n v="16.0"/>
        <n v="12.0"/>
        <n v="25.0"/>
        <n v="17.0"/>
        <n v="30.0"/>
        <n v="20.0"/>
        <s v="No KPIs"/>
        <n v="37.0"/>
        <n v="26.0"/>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326" sheet="Abr26"/>
  </cacheSource>
  <cacheFields>
    <cacheField name="Week Day" numFmtId="0">
      <sharedItems containsBlank="1">
        <s v="miércoles"/>
        <s v="jueves"/>
        <s v="viernes"/>
        <s v="sábado"/>
        <s v="domingo"/>
        <s v="lunes"/>
        <s v="martes"/>
        <m/>
      </sharedItems>
    </cacheField>
    <cacheField name="Month" numFmtId="164">
      <sharedItems containsBlank="1">
        <s v="abril"/>
        <m/>
      </sharedItems>
    </cacheField>
    <cacheField name="Date" numFmtId="166">
      <sharedItems containsDate="1" containsString="0" containsBlank="1">
        <d v="2026-04-01T00:00:00Z"/>
        <d v="2026-04-02T00:00:00Z"/>
        <d v="2026-04-03T00:00:00Z"/>
        <d v="2026-04-04T00:00:00Z"/>
        <d v="2026-04-05T00:00:00Z"/>
        <d v="2026-04-06T00:00:00Z"/>
        <d v="2026-04-07T00:00:00Z"/>
        <d v="2026-04-08T00:00:00Z"/>
        <d v="2026-04-09T00:00:00Z"/>
        <d v="2026-04-10T00:00:00Z"/>
        <d v="2026-04-11T00:00:00Z"/>
        <d v="2026-04-12T00:00:00Z"/>
        <d v="2026-04-13T00:00:00Z"/>
        <d v="2026-04-14T00:00:00Z"/>
        <d v="2026-04-15T00:00:00Z"/>
        <d v="2026-04-16T00:00:00Z"/>
        <d v="2026-04-17T00:00:00Z"/>
        <d v="2026-04-18T00:00:00Z"/>
        <d v="2026-04-19T00:00:00Z"/>
        <d v="2026-04-20T00:00:00Z"/>
        <d v="2026-04-21T00:00:00Z"/>
        <d v="2026-04-22T00:00:00Z"/>
        <d v="2026-04-23T00:00:00Z"/>
        <d v="2026-04-24T00:00:00Z"/>
        <d v="2026-04-25T00:00:00Z"/>
        <d v="2026-04-26T00:00:00Z"/>
        <d v="2026-04-27T00:00:00Z"/>
        <d v="2026-04-28T00:00:00Z"/>
        <d v="2026-04-29T00:00:00Z"/>
        <d v="2026-04-30T00:00:00Z"/>
        <m/>
      </sharedItems>
    </cacheField>
    <cacheField name="Tracker" numFmtId="0">
      <sharedItems containsBlank="1">
        <s v="Lindsey"/>
        <s v="Anel"/>
        <s v="Julia"/>
        <s v="Moriah"/>
        <s v="Cesar O."/>
        <s v="Melody"/>
        <s v="Deyska"/>
        <s v="Johan"/>
        <s v="Anthony"/>
        <s v="Pacco"/>
        <s v="Damien"/>
        <s v="Tanisha"/>
        <s v="Pedro"/>
        <s v="Cristhian"/>
        <s v="Jonny"/>
        <s v="Euclides"/>
        <s v="Berta"/>
        <s v="Petronila"/>
        <s v="Regina"/>
        <s v="Eva"/>
        <s v="Sussy"/>
        <s v="Lorena"/>
        <s v="Mohamend"/>
        <m/>
      </sharedItems>
    </cacheField>
    <cacheField name="Check Calls" numFmtId="0">
      <sharedItems containsString="0" containsBlank="1" containsNumber="1" containsInteger="1">
        <n v="65.0"/>
        <n v="66.0"/>
        <n v="92.0"/>
        <n v="88.0"/>
        <n v="85.0"/>
        <n v="108.0"/>
        <n v="145.0"/>
        <n v="93.0"/>
        <n v="75.0"/>
        <n v="127.0"/>
        <n v="126.0"/>
        <n v="78.0"/>
        <n v="90.0"/>
        <n v="123.0"/>
        <n v="109.0"/>
        <n v="49.0"/>
        <n v="91.0"/>
        <n v="56.0"/>
        <n v="68.0"/>
        <n v="111.0"/>
        <n v="60.0"/>
        <n v="129.0"/>
        <n v="54.0"/>
        <n v="30.0"/>
        <n v="37.0"/>
        <n v="101.0"/>
        <n v="107.0"/>
        <n v="80.0"/>
        <n v="50.0"/>
        <n v="57.0"/>
        <n v="102.0"/>
        <n v="74.0"/>
        <n v="104.0"/>
        <n v="138.0"/>
        <n v="124.0"/>
        <n v="89.0"/>
        <n v="73.0"/>
        <n v="67.0"/>
        <n v="51.0"/>
        <n v="84.0"/>
        <n v="31.0"/>
        <n v="28.0"/>
        <n v="69.0"/>
        <n v="98.0"/>
        <n v="63.0"/>
        <n v="81.0"/>
        <n v="87.0"/>
        <n v="27.0"/>
        <n v="64.0"/>
        <n v="62.0"/>
        <n v="72.0"/>
        <n v="46.0"/>
        <n v="79.0"/>
        <n v="53.0"/>
        <n v="106.0"/>
        <n v="131.0"/>
        <n v="94.0"/>
        <n v="38.0"/>
        <n v="58.0"/>
        <n v="120.0"/>
        <n v="35.0"/>
        <n v="139.0"/>
        <n v="117.0"/>
        <n v="43.0"/>
        <n v="41.0"/>
        <n v="99.0"/>
        <n v="142.0"/>
        <n v="59.0"/>
        <n v="32.0"/>
        <n v="179.0"/>
        <n v="219.0"/>
        <n v="146.0"/>
        <n v="76.0"/>
        <n v="77.0"/>
        <n v="83.0"/>
        <n v="86.0"/>
        <n v="134.0"/>
        <n v="115.0"/>
        <n v="71.0"/>
        <n v="116.0"/>
        <n v="24.0"/>
        <n v="14.0"/>
        <n v="36.0"/>
        <n v="61.0"/>
        <n v="105.0"/>
        <n v="48.0"/>
        <n v="149.0"/>
        <n v="40.0"/>
        <n v="128.0"/>
        <n v="103.0"/>
        <n v="82.0"/>
        <n v="159.0"/>
        <n v="137.0"/>
        <n v="97.0"/>
        <n v="122.0"/>
        <n v="96.0"/>
        <n v="143.0"/>
        <n v="148.0"/>
        <n v="100.0"/>
        <n v="47.0"/>
        <n v="70.0"/>
        <n v="147.0"/>
        <n v="118.0"/>
        <n v="55.0"/>
        <n v="95.0"/>
        <n v="45.0"/>
        <n v="21.0"/>
        <n v="162.0"/>
        <n v="44.0"/>
        <m/>
      </sharedItems>
    </cacheField>
    <cacheField name="Status Updates" numFmtId="0">
      <sharedItems containsString="0" containsBlank="1" containsNumber="1" containsInteger="1">
        <n v="47.0"/>
        <n v="37.0"/>
        <n v="65.0"/>
        <n v="42.0"/>
        <n v="89.0"/>
        <n v="84.0"/>
        <n v="45.0"/>
        <n v="38.0"/>
        <n v="90.0"/>
        <n v="72.0"/>
        <n v="114.0"/>
        <n v="50.0"/>
        <n v="35.0"/>
        <n v="61.0"/>
        <n v="55.0"/>
        <n v="96.0"/>
        <n v="30.0"/>
        <n v="41.0"/>
        <n v="60.0"/>
        <n v="51.0"/>
        <n v="110.0"/>
        <n v="23.0"/>
        <n v="25.0"/>
        <n v="18.0"/>
        <n v="24.0"/>
        <n v="71.0"/>
        <n v="36.0"/>
        <n v="75.0"/>
        <n v="39.0"/>
        <n v="28.0"/>
        <n v="62.0"/>
        <n v="123.0"/>
        <n v="58.0"/>
        <n v="53.0"/>
        <n v="49.0"/>
        <n v="74.0"/>
        <n v="56.0"/>
        <n v="34.0"/>
        <n v="48.0"/>
        <n v="63.0"/>
        <n v="44.0"/>
        <n v="59.0"/>
        <n v="68.0"/>
        <n v="31.0"/>
        <n v="52.0"/>
        <n v="92.0"/>
        <n v="69.0"/>
        <n v="40.0"/>
        <n v="26.0"/>
        <n v="33.0"/>
        <n v="32.0"/>
        <n v="104.0"/>
        <n v="102.0"/>
        <n v="97.0"/>
        <n v="27.0"/>
        <n v="88.0"/>
        <n v="109.0"/>
        <n v="174.0"/>
        <n v="73.0"/>
        <n v="205.0"/>
        <n v="91.0"/>
        <n v="21.0"/>
        <n v="64.0"/>
        <n v="46.0"/>
        <n v="85.0"/>
        <n v="43.0"/>
        <n v="67.0"/>
        <n v="81.0"/>
        <n v="57.0"/>
        <n v="7.0"/>
        <n v="77.0"/>
        <n v="101.0"/>
        <n v="54.0"/>
        <n v="87.0"/>
        <n v="144.0"/>
        <n v="70.0"/>
        <n v="93.0"/>
        <n v="95.0"/>
        <n v="66.0"/>
        <n v="78.0"/>
        <n v="16.0"/>
        <n v="99.0"/>
        <n v="76.0"/>
        <n v="120.0"/>
        <n v="22.0"/>
        <n v="19.0"/>
        <n v="14.0"/>
        <n v="83.0"/>
        <n v="126.0"/>
        <n v="17.0"/>
        <n v="106.0"/>
        <m/>
      </sharedItems>
    </cacheField>
    <cacheField name="Inbound (Received)" numFmtId="0">
      <sharedItems containsString="0" containsBlank="1" containsNumber="1" containsInteger="1">
        <n v="1.0"/>
        <n v="0.0"/>
        <n v="2.0"/>
        <n v="5.0"/>
        <n v="4.0"/>
        <n v="8.0"/>
        <n v="3.0"/>
        <n v="6.0"/>
        <n v="13.0"/>
        <n v="9.0"/>
        <n v="11.0"/>
        <n v="7.0"/>
        <m/>
      </sharedItems>
    </cacheField>
    <cacheField name="Outbound " numFmtId="0">
      <sharedItems containsString="0" containsBlank="1" containsNumber="1" containsInteger="1">
        <n v="13.0"/>
        <n v="0.0"/>
        <n v="8.0"/>
        <n v="12.0"/>
        <n v="24.0"/>
        <n v="11.0"/>
        <n v="9.0"/>
        <n v="17.0"/>
        <n v="16.0"/>
        <n v="10.0"/>
        <n v="2.0"/>
        <n v="3.0"/>
        <n v="7.0"/>
        <n v="1.0"/>
        <n v="4.0"/>
        <n v="14.0"/>
        <n v="5.0"/>
        <n v="6.0"/>
        <n v="15.0"/>
        <n v="26.0"/>
        <n v="20.0"/>
        <n v="19.0"/>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72" sheet="Feb26"/>
  </cacheSource>
  <cacheFields>
    <cacheField name="Week Day" numFmtId="0">
      <sharedItems containsBlank="1">
        <s v="domingo"/>
        <s v="lunes"/>
        <s v="martes"/>
        <s v="miércoles"/>
        <s v="jueves"/>
        <s v="viernes"/>
        <s v="sábado"/>
        <m/>
      </sharedItems>
    </cacheField>
    <cacheField name="Month" numFmtId="164">
      <sharedItems containsBlank="1">
        <s v="febrero"/>
        <m/>
      </sharedItems>
    </cacheField>
    <cacheField name="Date" numFmtId="166">
      <sharedItems containsDate="1" containsString="0" containsBlank="1">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m/>
      </sharedItems>
    </cacheField>
    <cacheField name="Tracker" numFmtId="0">
      <sharedItems containsBlank="1">
        <s v="Lindsey"/>
        <s v="Alexandra"/>
        <s v="Pedro"/>
        <s v="Berta"/>
        <s v="Petronila"/>
        <s v="Jonny"/>
        <s v="Euclides"/>
        <s v="Mohamend"/>
        <s v="Julia"/>
        <s v="Moriah"/>
        <s v="Regina"/>
        <s v="Deyska"/>
        <s v="Eva"/>
        <s v="Sussy"/>
        <s v="Lorena"/>
        <s v="Anthony"/>
        <s v="Pacco"/>
        <s v="Damien"/>
        <s v="Tanisha"/>
        <s v="Anel"/>
        <s v="Melody"/>
        <s v="Marlen"/>
        <s v="Cristhian"/>
        <s v="No KPIs"/>
        <s v="Cesar O."/>
        <s v="Cesar"/>
        <m/>
      </sharedItems>
    </cacheField>
    <cacheField name="Check Calls">
      <sharedItems containsBlank="1" containsMixedTypes="1" containsNumber="1" containsInteger="1">
        <n v="123.0"/>
        <n v="50.0"/>
        <n v="75.0"/>
        <n v="76.0"/>
        <n v="95.0"/>
        <n v="80.0"/>
        <n v="104.0"/>
        <n v="191.0"/>
        <n v="89.0"/>
        <n v="83.0"/>
        <n v="88.0"/>
        <n v="74.0"/>
        <n v="162.0"/>
        <n v="63.0"/>
        <n v="81.0"/>
        <n v="137.0"/>
        <n v="97.0"/>
        <n v="205.0"/>
        <n v="86.0"/>
        <n v="106.0"/>
        <n v="70.0"/>
        <n v="78.0"/>
        <n v="73.0"/>
        <n v="93.0"/>
        <n v="186.0"/>
        <n v="251.0"/>
        <n v="59.0"/>
        <n v="71.0"/>
        <n v="91.0"/>
        <n v="200.0"/>
        <n v="56.0"/>
        <n v="58.0"/>
        <n v="100.0"/>
        <n v="102.0"/>
        <n v="77.0"/>
        <n v="169.0"/>
        <n v="87.0"/>
        <n v="0.0"/>
        <n v="176.0"/>
        <n v="109.0"/>
        <n v="126.0"/>
        <n v="62.0"/>
        <n v="153.0"/>
        <n v="108.0"/>
        <n v="39.0"/>
        <n v="85.0"/>
        <n v="182.0"/>
        <n v="52.0"/>
        <n v="28.0"/>
        <n v="69.0"/>
        <n v="64.0"/>
        <n v="79.0"/>
        <n v="55.0"/>
        <n v="84.0"/>
        <n v="90.0"/>
        <n v="68.0"/>
        <n v="30.0"/>
        <n v="51.0"/>
        <n v="117.0"/>
        <n v="218.0"/>
        <n v="67.0"/>
        <n v="101.0"/>
        <n v="136.0"/>
        <n v="112.0"/>
        <n v="114.0"/>
        <n v="105.0"/>
        <n v="152.0"/>
        <n v="233.0"/>
        <n v="121.0"/>
        <n v="157.0"/>
        <n v="60.0"/>
        <n v="113.0"/>
        <n v="92.0"/>
        <n v="188.0"/>
        <n v="115.0"/>
        <n v="132.0"/>
        <n v="82.0"/>
        <n v="96.0"/>
        <s v="No KPIs"/>
        <n v="163.0"/>
        <n v="238.0"/>
        <n v="37.0"/>
        <n v="66.0"/>
        <n v="35.0"/>
        <n v="57.0"/>
        <n v="103.0"/>
        <n v="65.0"/>
        <n v="118.0"/>
        <n v="141.0"/>
        <n v="154.0"/>
        <n v="239.0"/>
        <n v="140.0"/>
        <n v="310.0"/>
        <n v="212.0"/>
        <n v="131.0"/>
        <n v="72.0"/>
        <n v="165.0"/>
        <n v="347.0"/>
        <n v="46.0"/>
        <n v="289.0"/>
        <n v="134.0"/>
        <n v="99.0"/>
        <n v="311.0"/>
        <n v="107.0"/>
        <n v="139.0"/>
        <n v="122.0"/>
        <n v="42.0"/>
        <n v="22.0"/>
        <n v="54.0"/>
        <n v="130.0"/>
        <n v="47.0"/>
        <n v="38.0"/>
        <n v="142.0"/>
        <n v="173.0"/>
        <n v="203.0"/>
        <n v="127.0"/>
        <n v="124.0"/>
        <n v="111.0"/>
        <n v="159.0"/>
        <n v="61.0"/>
        <n v="98.0"/>
        <n v="33.0"/>
        <n v="48.0"/>
        <n v="156.0"/>
        <n v="185.0"/>
        <n v="94.0"/>
        <m/>
      </sharedItems>
    </cacheField>
    <cacheField name="Status Updates">
      <sharedItems containsBlank="1" containsMixedTypes="1" containsNumber="1" containsInteger="1">
        <n v="45.0"/>
        <n v="36.0"/>
        <n v="35.0"/>
        <n v="50.0"/>
        <n v="66.0"/>
        <n v="41.0"/>
        <n v="59.0"/>
        <n v="155.0"/>
        <n v="54.0"/>
        <n v="62.0"/>
        <n v="58.0"/>
        <n v="74.0"/>
        <n v="51.0"/>
        <n v="40.0"/>
        <n v="71.0"/>
        <n v="84.0"/>
        <n v="57.0"/>
        <n v="130.0"/>
        <n v="67.0"/>
        <n v="46.0"/>
        <n v="53.0"/>
        <n v="48.0"/>
        <n v="118.0"/>
        <n v="52.0"/>
        <n v="97.0"/>
        <n v="126.0"/>
        <n v="44.0"/>
        <n v="42.0"/>
        <n v="79.0"/>
        <n v="82.0"/>
        <n v="60.0"/>
        <n v="0.0"/>
        <n v="94.0"/>
        <n v="64.0"/>
        <n v="88.0"/>
        <n v="73.0"/>
        <n v="34.0"/>
        <n v="63.0"/>
        <n v="90.0"/>
        <n v="32.0"/>
        <n v="101.0"/>
        <n v="16.0"/>
        <n v="65.0"/>
        <n v="70.0"/>
        <n v="69.0"/>
        <n v="39.0"/>
        <n v="38.0"/>
        <n v="43.0"/>
        <n v="27.0"/>
        <n v="61.0"/>
        <n v="30.0"/>
        <n v="104.0"/>
        <n v="56.0"/>
        <n v="33.0"/>
        <n v="72.0"/>
        <n v="75.0"/>
        <n v="80.0"/>
        <n v="78.0"/>
        <n v="85.0"/>
        <n v="92.0"/>
        <n v="76.0"/>
        <n v="89.0"/>
        <s v="No KPIs"/>
        <n v="49.0"/>
        <n v="37.0"/>
        <n v="91.0"/>
        <n v="87.0"/>
        <n v="24.0"/>
        <n v="114.0"/>
        <n v="95.0"/>
        <n v="68.0"/>
        <n v="165.0"/>
        <n v="81.0"/>
        <n v="121.0"/>
        <n v="141.0"/>
        <n v="135.0"/>
        <n v="83.0"/>
        <n v="25.0"/>
        <n v="55.0"/>
        <n v="29.0"/>
        <n v="21.0"/>
        <n v="31.0"/>
        <n v="19.0"/>
        <n v="105.0"/>
        <n v="107.0"/>
        <n v="133.0"/>
        <n v="110.0"/>
        <n v="102.0"/>
        <n v="129.0"/>
        <n v="28.0"/>
        <n v="23.0"/>
        <n v="134.0"/>
        <n v="170.0"/>
        <m/>
      </sharedItems>
    </cacheField>
    <cacheField name="Inbound (Received)">
      <sharedItems containsBlank="1" containsMixedTypes="1" containsNumber="1">
        <n v="1.0"/>
        <n v="8.0"/>
        <n v="7.0"/>
        <n v="5.0"/>
        <n v="4.0"/>
        <n v="6.0"/>
        <n v="3.0"/>
        <n v="10.0"/>
        <n v="2.0"/>
        <n v="0.0"/>
        <n v="9.0"/>
        <n v="3.625"/>
        <n v="1.2666666666666666"/>
        <s v="No KPIs"/>
        <n v="11.0"/>
        <n v="12.0"/>
        <m/>
      </sharedItems>
    </cacheField>
    <cacheField name="Outbound ">
      <sharedItems containsBlank="1" containsMixedTypes="1" containsNumber="1">
        <n v="8.0"/>
        <n v="2.0"/>
        <n v="7.0"/>
        <n v="13.0"/>
        <n v="1.0"/>
        <n v="10.0"/>
        <n v="5.0"/>
        <n v="14.0"/>
        <n v="6.0"/>
        <n v="15.0"/>
        <n v="0.0"/>
        <n v="9.0"/>
        <n v="35.0"/>
        <n v="11.0"/>
        <n v="4.0"/>
        <n v="20.0"/>
        <n v="30.0"/>
        <n v="21.0"/>
        <n v="12.0"/>
        <n v="3.0"/>
        <n v="26.0"/>
        <n v="16.0"/>
        <n v="13.125"/>
        <n v="7.133333333333334"/>
        <n v="23.0"/>
        <n v="27.0"/>
        <n v="17.0"/>
        <s v="No KPIs"/>
        <n v="19.0"/>
        <n v="28.0"/>
        <n v="22.0"/>
        <n v="18.0"/>
        <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72" sheet="Jan26"/>
  </cacheSource>
  <cacheFields>
    <cacheField name="Week Day" numFmtId="0">
      <sharedItems containsBlank="1">
        <s v="jueves"/>
        <s v="viernes"/>
        <s v="sábado"/>
        <s v="domingo"/>
        <s v="lunes"/>
        <s v="martes"/>
        <s v="miércoles"/>
        <m/>
      </sharedItems>
    </cacheField>
    <cacheField name="Month" numFmtId="164">
      <sharedItems containsBlank="1">
        <s v="enero"/>
        <m/>
      </sharedItems>
    </cacheField>
    <cacheField name="Date" numFmtId="166">
      <sharedItems containsDate="1" containsString="0" containsBlank="1">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m/>
      </sharedItems>
    </cacheField>
    <cacheField name="Tracker" numFmtId="0">
      <sharedItems containsBlank="1">
        <s v="No KPIs"/>
        <s v="Lindsey"/>
        <s v="Julia"/>
        <s v="Moriah"/>
        <s v="Regina"/>
        <s v="Deyska"/>
        <s v="Eva"/>
        <s v="Sussy"/>
        <s v="Lorena"/>
        <s v="Anthony"/>
        <s v="Damien"/>
        <s v="Mohamend"/>
        <s v="Tanisha"/>
        <s v="Petronila"/>
        <s v="Pacco"/>
        <s v="Anel"/>
        <s v="Cesar O."/>
        <s v="Melody"/>
        <s v="Marlen"/>
        <s v="Pedro"/>
        <s v="Cristhian"/>
        <s v="Jonny"/>
        <s v="Euclides"/>
        <s v="Alexandra"/>
        <s v="Berta"/>
        <m/>
      </sharedItems>
    </cacheField>
    <cacheField name="Check Calls">
      <sharedItems containsBlank="1" containsMixedTypes="1" containsNumber="1" containsInteger="1">
        <s v="No KPIs"/>
        <n v="71.0"/>
        <n v="84.0"/>
        <n v="117.0"/>
        <n v="69.0"/>
        <n v="101.0"/>
        <n v="133.0"/>
        <n v="77.0"/>
        <n v="195.0"/>
        <n v="49.0"/>
        <n v="70.0"/>
        <n v="80.0"/>
        <n v="125.0"/>
        <n v="129.0"/>
        <n v="87.0"/>
        <n v="131.0"/>
        <n v="94.0"/>
        <n v="45.0"/>
        <n v="59.0"/>
        <n v="0.0"/>
        <n v="68.0"/>
        <n v="118.0"/>
        <n v="73.0"/>
        <n v="91.0"/>
        <n v="143.0"/>
        <n v="41.0"/>
        <n v="96.0"/>
        <n v="100.0"/>
        <n v="56.0"/>
        <n v="95.0"/>
        <n v="64.0"/>
        <n v="40.0"/>
        <n v="155.0"/>
        <n v="109.0"/>
        <n v="60.0"/>
        <n v="83.0"/>
        <n v="72.0"/>
        <n v="53.0"/>
        <n v="32.0"/>
        <n v="42.0"/>
        <n v="66.0"/>
        <n v="191.0"/>
        <n v="136.0"/>
        <n v="82.0"/>
        <n v="52.0"/>
        <n v="130.0"/>
        <n v="134.0"/>
        <n v="98.0"/>
        <n v="81.0"/>
        <n v="76.0"/>
        <n v="210.0"/>
        <n v="106.0"/>
        <n v="99.0"/>
        <n v="44.0"/>
        <n v="57.0"/>
        <n v="208.0"/>
        <n v="61.0"/>
        <n v="74.0"/>
        <n v="86.0"/>
        <n v="48.0"/>
        <n v="120.0"/>
        <n v="47.0"/>
        <n v="67.0"/>
        <n v="50.0"/>
        <n v="104.0"/>
        <n v="108.0"/>
        <n v="93.0"/>
        <n v="78.0"/>
        <n v="119.0"/>
        <n v="97.0"/>
        <n v="122.0"/>
        <n v="55.0"/>
        <n v="62.0"/>
        <n v="174.0"/>
        <n v="34.0"/>
        <n v="114.0"/>
        <n v="110.0"/>
        <n v="58.0"/>
        <n v="27.0"/>
        <n v="128.0"/>
        <n v="65.0"/>
        <n v="105.0"/>
        <n v="21.0"/>
        <n v="51.0"/>
        <n v="121.0"/>
        <n v="43.0"/>
        <n v="46.0"/>
        <n v="126.0"/>
        <n v="54.0"/>
        <n v="30.0"/>
        <n v="102.0"/>
        <n v="141.0"/>
        <n v="90.0"/>
        <n v="89.0"/>
        <n v="23.0"/>
        <n v="157.0"/>
        <n v="79.0"/>
        <n v="103.0"/>
        <n v="75.0"/>
        <n v="153.0"/>
        <n v="202.0"/>
        <n v="28.0"/>
        <n v="63.0"/>
        <n v="112.0"/>
        <n v="20.0"/>
        <n v="124.0"/>
        <n v="29.0"/>
        <n v="163.0"/>
        <n v="206.0"/>
        <n v="156.0"/>
        <n v="113.0"/>
        <n v="226.0"/>
        <n v="410.0"/>
        <n v="142.0"/>
        <n v="177.0"/>
        <n v="159.0"/>
        <n v="181.0"/>
        <n v="145.0"/>
        <n v="127.0"/>
        <n v="115.0"/>
        <n v="171.0"/>
        <n v="170.0"/>
        <n v="123.0"/>
        <m/>
      </sharedItems>
    </cacheField>
    <cacheField name="Status Updates">
      <sharedItems containsBlank="1" containsMixedTypes="1" containsNumber="1" containsInteger="1">
        <s v="No KPIs"/>
        <n v="38.0"/>
        <n v="58.0"/>
        <n v="89.0"/>
        <n v="62.0"/>
        <n v="59.0"/>
        <n v="79.0"/>
        <n v="63.0"/>
        <n v="135.0"/>
        <n v="27.0"/>
        <n v="61.0"/>
        <n v="32.0"/>
        <n v="117.0"/>
        <n v="78.0"/>
        <n v="51.0"/>
        <n v="70.0"/>
        <n v="55.0"/>
        <n v="30.0"/>
        <n v="44.0"/>
        <n v="0.0"/>
        <n v="48.0"/>
        <n v="66.0"/>
        <n v="87.0"/>
        <n v="98.0"/>
        <n v="24.0"/>
        <n v="76.0"/>
        <n v="74.0"/>
        <n v="31.0"/>
        <n v="36.0"/>
        <n v="54.0"/>
        <n v="21.0"/>
        <n v="60.0"/>
        <n v="111.0"/>
        <n v="35.0"/>
        <n v="90.0"/>
        <n v="45.0"/>
        <n v="15.0"/>
        <n v="47.0"/>
        <n v="46.0"/>
        <n v="119.0"/>
        <n v="49.0"/>
        <n v="41.0"/>
        <n v="114.0"/>
        <n v="201.0"/>
        <n v="26.0"/>
        <n v="193.0"/>
        <n v="52.0"/>
        <n v="40.0"/>
        <n v="57.0"/>
        <n v="67.0"/>
        <n v="37.0"/>
        <n v="104.0"/>
        <n v="43.0"/>
        <n v="105.0"/>
        <n v="33.0"/>
        <n v="50.0"/>
        <n v="102.0"/>
        <n v="68.0"/>
        <n v="56.0"/>
        <n v="65.0"/>
        <n v="69.0"/>
        <n v="109.0"/>
        <n v="42.0"/>
        <n v="103.0"/>
        <n v="108.0"/>
        <n v="34.0"/>
        <n v="23.0"/>
        <n v="94.0"/>
        <n v="14.0"/>
        <n v="71.0"/>
        <n v="28.0"/>
        <n v="72.0"/>
        <n v="77.0"/>
        <n v="39.0"/>
        <n v="64.0"/>
        <n v="84.0"/>
        <n v="86.0"/>
        <n v="29.0"/>
        <n v="91.0"/>
        <n v="73.0"/>
        <n v="83.0"/>
        <n v="81.0"/>
        <n v="163.0"/>
        <n v="92.0"/>
        <n v="126.0"/>
        <n v="124.0"/>
        <n v="80.0"/>
        <n v="116.0"/>
        <n v="93.0"/>
        <n v="96.0"/>
        <n v="53.0"/>
        <n v="95.0"/>
        <n v="152.0"/>
        <m/>
      </sharedItems>
    </cacheField>
    <cacheField name="Inbound (Received)">
      <sharedItems containsBlank="1" containsMixedTypes="1" containsNumber="1" containsInteger="1">
        <s v="No KPIs"/>
        <n v="1.0"/>
        <n v="3.0"/>
        <n v="8.0"/>
        <n v="0.0"/>
        <n v="4.0"/>
        <n v="9.0"/>
        <n v="2.0"/>
        <n v="5.0"/>
        <n v="7.0"/>
        <n v="6.0"/>
        <n v="14.0"/>
        <n v="11.0"/>
        <n v="13.0"/>
        <n v="16.0"/>
        <m/>
      </sharedItems>
    </cacheField>
    <cacheField name="Outbound ">
      <sharedItems containsBlank="1" containsMixedTypes="1" containsNumber="1" containsInteger="1">
        <s v="No KPIs"/>
        <n v="7.0"/>
        <n v="2.0"/>
        <n v="10.0"/>
        <n v="0.0"/>
        <n v="1.0"/>
        <n v="11.0"/>
        <n v="3.0"/>
        <n v="9.0"/>
        <n v="4.0"/>
        <n v="13.0"/>
        <n v="6.0"/>
        <n v="20.0"/>
        <n v="8.0"/>
        <n v="12.0"/>
        <n v="5.0"/>
        <n v="17.0"/>
        <n v="14.0"/>
        <n v="16.0"/>
        <n v="15.0"/>
        <n v="19.0"/>
        <n v="18.0"/>
        <n v="21.0"/>
        <n v="39.0"/>
        <n v="27.0"/>
        <n v="24.0"/>
        <n v="23.0"/>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72" sheet="Dec25"/>
  </cacheSource>
  <cacheFields>
    <cacheField name="Week Day" numFmtId="0">
      <sharedItems containsBlank="1">
        <s v="Monday"/>
        <s v="Tuesday"/>
        <s v="Wednesday"/>
        <s v="Thursday"/>
        <s v="Friday"/>
        <s v="Saturday"/>
        <s v="Sunday"/>
        <m/>
      </sharedItems>
    </cacheField>
    <cacheField name="Month" numFmtId="0">
      <sharedItems containsBlank="1">
        <s v="December"/>
        <m/>
      </sharedItems>
    </cacheField>
    <cacheField name="Fecha" numFmtId="166">
      <sharedItems containsDate="1" containsString="0" containsBlank="1">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m/>
      </sharedItems>
    </cacheField>
    <cacheField name="Tracker" numFmtId="0">
      <sharedItems containsBlank="1">
        <s v="Pacco"/>
        <s v="Anthony"/>
        <s v="Moriah"/>
        <s v="Julia"/>
        <s v="Lindsey"/>
        <s v="Tanisha"/>
        <s v="Regina"/>
        <s v="Sussy"/>
        <s v="Eva"/>
        <s v="Lorena"/>
        <s v="Deyska"/>
        <s v="Petronila"/>
        <s v="Melody"/>
        <s v="Cesar O."/>
        <s v="Anel"/>
        <s v="Jonny"/>
        <s v="Joel"/>
        <s v="Euclides"/>
        <s v="Damien"/>
        <s v="Marlen"/>
        <s v="Cristhian"/>
        <s v="Alexandra"/>
        <s v="Berta"/>
        <s v="No KPIs"/>
        <m/>
      </sharedItems>
    </cacheField>
    <cacheField name="Check Calls">
      <sharedItems containsBlank="1" containsMixedTypes="1" containsNumber="1" containsInteger="1">
        <n v="142.0"/>
        <n v="55.0"/>
        <n v="98.0"/>
        <n v="87.0"/>
        <n v="54.0"/>
        <n v="109.0"/>
        <n v="91.0"/>
        <n v="62.0"/>
        <n v="235.0"/>
        <n v="161.0"/>
        <n v="118.0"/>
        <n v="193.0"/>
        <n v="78.0"/>
        <n v="69.0"/>
        <n v="107.0"/>
        <n v="67.0"/>
        <n v="117.0"/>
        <n v="68.0"/>
        <n v="126.0"/>
        <n v="129.0"/>
        <n v="183.0"/>
        <n v="74.0"/>
        <n v="79.0"/>
        <n v="92.0"/>
        <n v="48.0"/>
        <n v="137.0"/>
        <n v="80.0"/>
        <n v="84.0"/>
        <n v="119.0"/>
        <n v="49.0"/>
        <n v="145.0"/>
        <n v="116.0"/>
        <n v="72.0"/>
        <n v="39.0"/>
        <n v="21.0"/>
        <n v="13.0"/>
        <n v="76.0"/>
        <n v="81.0"/>
        <n v="96.0"/>
        <n v="93.0"/>
        <n v="0.0"/>
        <n v="221.0"/>
        <n v="38.0"/>
        <n v="51.0"/>
        <n v="36.0"/>
        <n v="52.0"/>
        <n v="35.0"/>
        <n v="61.0"/>
        <n v="47.0"/>
        <s v="No KPIs"/>
        <n v="41.0"/>
        <n v="57.0"/>
        <n v="153.0"/>
        <n v="40.0"/>
        <n v="106.0"/>
        <n v="112.0"/>
        <n v="73.0"/>
        <n v="115.0"/>
        <n v="56.0"/>
        <n v="166.0"/>
        <n v="122.0"/>
        <n v="146.0"/>
        <n v="140.0"/>
        <n v="70.0"/>
        <n v="104.0"/>
        <n v="77.0"/>
        <n v="128.0"/>
        <n v="86.0"/>
        <n v="125.0"/>
        <n v="188.0"/>
        <n v="101.0"/>
        <n v="83.0"/>
        <n v="225.0"/>
        <n v="66.0"/>
        <n v="53.0"/>
        <n v="50.0"/>
        <n v="205.0"/>
        <n v="170.0"/>
        <n v="148.0"/>
        <n v="100.0"/>
        <n v="85.0"/>
        <n v="65.0"/>
        <n v="120.0"/>
        <n v="64.0"/>
        <n v="208.0"/>
        <n v="113.0"/>
        <n v="180.0"/>
        <n v="186.0"/>
        <n v="156.0"/>
        <n v="75.0"/>
        <n v="110.0"/>
        <n v="63.0"/>
        <n v="97.0"/>
        <n v="105.0"/>
        <n v="130.0"/>
        <n v="169.0"/>
        <n v="144.0"/>
        <n v="132.0"/>
        <n v="154.0"/>
        <n v="160.0"/>
        <n v="134.0"/>
        <n v="42.0"/>
        <n v="44.0"/>
        <n v="45.0"/>
        <n v="58.0"/>
        <n v="152.0"/>
        <n v="131.0"/>
        <n v="102.0"/>
        <n v="28.0"/>
        <n v="37.0"/>
        <n v="82.0"/>
        <n v="30.0"/>
        <n v="60.0"/>
        <n v="167.0"/>
        <n v="16.0"/>
        <n v="26.0"/>
        <n v="24.0"/>
        <n v="43.0"/>
        <m/>
      </sharedItems>
    </cacheField>
    <cacheField name="Status Updates">
      <sharedItems containsBlank="1" containsMixedTypes="1" containsNumber="1" containsInteger="1">
        <n v="100.0"/>
        <n v="29.0"/>
        <n v="62.0"/>
        <n v="57.0"/>
        <n v="36.0"/>
        <n v="104.0"/>
        <n v="91.0"/>
        <n v="51.0"/>
        <n v="80.0"/>
        <n v="92.0"/>
        <n v="49.0"/>
        <n v="122.0"/>
        <n v="58.0"/>
        <n v="47.0"/>
        <n v="46.0"/>
        <n v="111.0"/>
        <n v="61.0"/>
        <n v="45.0"/>
        <n v="54.0"/>
        <n v="86.0"/>
        <n v="121.0"/>
        <n v="78.0"/>
        <n v="39.0"/>
        <n v="114.0"/>
        <n v="67.0"/>
        <n v="65.0"/>
        <n v="30.0"/>
        <n v="79.0"/>
        <n v="74.0"/>
        <n v="32.0"/>
        <n v="18.0"/>
        <n v="9.0"/>
        <n v="42.0"/>
        <n v="71.0"/>
        <n v="94.0"/>
        <n v="38.0"/>
        <n v="1.0"/>
        <n v="89.0"/>
        <n v="35.0"/>
        <n v="28.0"/>
        <n v="23.0"/>
        <n v="50.0"/>
        <n v="31.0"/>
        <s v="No KPIs"/>
        <n v="117.0"/>
        <n v="70.0"/>
        <n v="43.0"/>
        <n v="26.0"/>
        <n v="146.0"/>
        <n v="73.0"/>
        <n v="21.0"/>
        <n v="63.0"/>
        <n v="52.0"/>
        <n v="102.0"/>
        <n v="66.0"/>
        <n v="72.0"/>
        <n v="112.0"/>
        <n v="59.0"/>
        <n v="97.0"/>
        <n v="68.0"/>
        <n v="41.0"/>
        <n v="33.0"/>
        <n v="106.0"/>
        <n v="60.0"/>
        <n v="77.0"/>
        <n v="53.0"/>
        <n v="40.0"/>
        <n v="24.0"/>
        <n v="37.0"/>
        <n v="44.0"/>
        <n v="188.0"/>
        <n v="84.0"/>
        <n v="56.0"/>
        <n v="163.0"/>
        <n v="115.0"/>
        <n v="55.0"/>
        <n v="17.0"/>
        <n v="108.0"/>
        <n v="48.0"/>
        <n v="135.0"/>
        <n v="88.0"/>
        <n v="123.0"/>
        <n v="27.0"/>
        <n v="158.0"/>
        <n v="90.0"/>
        <n v="34.0"/>
        <n v="134.0"/>
        <n v="76.0"/>
        <n v="150.0"/>
        <n v="81.0"/>
        <n v="8.0"/>
        <n v="22.0"/>
        <n v="10.0"/>
        <n v="2.0"/>
        <n v="19.0"/>
        <n v="13.0"/>
        <n v="64.0"/>
        <m/>
      </sharedItems>
    </cacheField>
    <cacheField name="Inbound Calls (Received)">
      <sharedItems containsBlank="1" containsMixedTypes="1" containsNumber="1" containsInteger="1">
        <n v="10.0"/>
        <n v="11.0"/>
        <n v="4.0"/>
        <n v="1.0"/>
        <n v="0.0"/>
        <n v="2.0"/>
        <n v="7.0"/>
        <n v="6.0"/>
        <n v="5.0"/>
        <n v="3.0"/>
        <n v="8.0"/>
        <n v="9.0"/>
        <n v="12.0"/>
        <s v="No KPIs"/>
        <m/>
      </sharedItems>
    </cacheField>
    <cacheField name="Outbound Calls">
      <sharedItems containsBlank="1" containsMixedTypes="1" containsNumber="1" containsInteger="1">
        <n v="6.0"/>
        <n v="5.0"/>
        <n v="9.0"/>
        <n v="4.0"/>
        <n v="15.0"/>
        <n v="0.0"/>
        <n v="25.0"/>
        <n v="3.0"/>
        <n v="14.0"/>
        <n v="17.0"/>
        <n v="8.0"/>
        <n v="18.0"/>
        <n v="20.0"/>
        <n v="11.0"/>
        <n v="7.0"/>
        <n v="1.0"/>
        <n v="19.0"/>
        <n v="2.0"/>
        <n v="10.0"/>
        <n v="16.0"/>
        <n v="13.0"/>
        <n v="12.0"/>
        <n v="21.0"/>
        <n v="22.0"/>
        <n v="27.0"/>
        <s v="No KPIs"/>
        <m/>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72" sheet="Nov25"/>
  </cacheSource>
  <cacheFields>
    <cacheField name="Week Day" numFmtId="0">
      <sharedItems containsBlank="1">
        <s v="sábado"/>
        <s v="domingo"/>
        <s v="lunes"/>
        <s v="martes"/>
        <s v="miércoles"/>
        <s v="jueves"/>
        <s v="viernes"/>
        <m/>
      </sharedItems>
    </cacheField>
    <cacheField name="Month" numFmtId="0">
      <sharedItems containsBlank="1">
        <s v="November"/>
        <s v="December"/>
        <s v="January"/>
        <s v="February"/>
        <s v="March"/>
        <m/>
      </sharedItems>
    </cacheField>
    <cacheField name="Fecha" numFmtId="166">
      <sharedItems containsDate="1" containsString="0" containsBlank="1">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m/>
      </sharedItems>
    </cacheField>
    <cacheField name="Tracker" numFmtId="0">
      <sharedItems containsBlank="1">
        <s v="Alexandra"/>
        <s v="Joel"/>
        <s v="Anthony"/>
        <s v="Oscar"/>
        <s v="Pacco"/>
        <s v="Damien"/>
        <s v="Tanisha"/>
        <s v="Petronila"/>
        <s v="Jonny"/>
        <s v="Moriah"/>
        <s v="Julia"/>
        <s v="Lindsey"/>
        <s v="Regina"/>
        <s v="Sussy"/>
        <s v="Eva"/>
        <s v="Lorena"/>
        <s v="Deyska"/>
        <s v="Melody"/>
        <s v="Marlen"/>
        <s v="Oscar C."/>
        <s v="Cristhian"/>
        <s v="Anel"/>
        <s v="Berta"/>
        <s v="Cesar O."/>
        <s v="No KPIs"/>
        <m/>
      </sharedItems>
    </cacheField>
    <cacheField name="Check Calls">
      <sharedItems containsBlank="1" containsMixedTypes="1" containsNumber="1" containsInteger="1">
        <n v="64.0"/>
        <n v="51.0"/>
        <n v="65.0"/>
        <n v="120.0"/>
        <n v="104.0"/>
        <n v="74.0"/>
        <n v="130.0"/>
        <n v="80.0"/>
        <n v="200.0"/>
        <n v="56.0"/>
        <n v="54.0"/>
        <n v="154.0"/>
        <n v="98.0"/>
        <n v="72.0"/>
        <n v="70.0"/>
        <n v="76.0"/>
        <n v="59.0"/>
        <n v="71.0"/>
        <n v="47.0"/>
        <n v="41.0"/>
        <n v="136.0"/>
        <n v="89.0"/>
        <n v="125.0"/>
        <n v="114.0"/>
        <n v="68.0"/>
        <n v="83.0"/>
        <n v="86.0"/>
        <n v="66.0"/>
        <n v="129.0"/>
        <n v="48.0"/>
        <n v="82.0"/>
        <n v="62.0"/>
        <n v="88.0"/>
        <n v="118.0"/>
        <n v="69.0"/>
        <n v="2.0"/>
        <n v="151.0"/>
        <n v="36.0"/>
        <n v="85.0"/>
        <n v="42.0"/>
        <n v="45.0"/>
        <n v="19.0"/>
        <n v="139.0"/>
        <n v="25.0"/>
        <n v="132.0"/>
        <n v="121.0"/>
        <n v="46.0"/>
        <n v="43.0"/>
        <n v="37.0"/>
        <n v="35.0"/>
        <n v="108.0"/>
        <n v="61.0"/>
        <n v="39.0"/>
        <n v="183.0"/>
        <n v="50.0"/>
        <n v="63.0"/>
        <n v="149.0"/>
        <n v="27.0"/>
        <n v="73.0"/>
        <n v="38.0"/>
        <n v="92.0"/>
        <n v="55.0"/>
        <n v="22.0"/>
        <n v="111.0"/>
        <n v="126.0"/>
        <n v="91.0"/>
        <n v="87.0"/>
        <n v="67.0"/>
        <n v="184.0"/>
        <n v="93.0"/>
        <n v="142.0"/>
        <n v="53.0"/>
        <n v="0.0"/>
        <n v="105.0"/>
        <n v="78.0"/>
        <n v="24.0"/>
        <n v="135.0"/>
        <n v="44.0"/>
        <n v="117.0"/>
        <n v="30.0"/>
        <n v="40.0"/>
        <n v="127.0"/>
        <n v="160.0"/>
        <n v="95.0"/>
        <n v="31.0"/>
        <n v="133.0"/>
        <n v="103.0"/>
        <n v="57.0"/>
        <n v="179.0"/>
        <n v="110.0"/>
        <n v="77.0"/>
        <n v="58.0"/>
        <n v="196.0"/>
        <n v="119.0"/>
        <n v="79.0"/>
        <n v="207.0"/>
        <n v="158.0"/>
        <n v="60.0"/>
        <n v="138.0"/>
        <n v="107.0"/>
        <n v="49.0"/>
        <n v="123.0"/>
        <n v="28.0"/>
        <n v="109.0"/>
        <n v="75.0"/>
        <n v="194.0"/>
        <n v="33.0"/>
        <n v="81.0"/>
        <n v="102.0"/>
        <n v="101.0"/>
        <n v="84.0"/>
        <n v="168.0"/>
        <n v="131.0"/>
        <n v="116.0"/>
        <n v="100.0"/>
        <n v="34.0"/>
        <n v="52.0"/>
        <s v="No KPIs"/>
        <m/>
      </sharedItems>
    </cacheField>
    <cacheField name="Status Updates">
      <sharedItems containsBlank="1" containsMixedTypes="1" containsNumber="1" containsInteger="1">
        <n v="45.0"/>
        <n v="53.0"/>
        <n v="51.0"/>
        <n v="78.0"/>
        <n v="74.0"/>
        <n v="59.0"/>
        <n v="106.0"/>
        <n v="58.0"/>
        <n v="178.0"/>
        <n v="41.0"/>
        <n v="36.0"/>
        <n v="87.0"/>
        <n v="72.0"/>
        <n v="32.0"/>
        <n v="39.0"/>
        <n v="54.0"/>
        <n v="31.0"/>
        <n v="19.0"/>
        <n v="55.0"/>
        <n v="61.0"/>
        <n v="82.0"/>
        <n v="37.0"/>
        <n v="30.0"/>
        <n v="43.0"/>
        <n v="68.0"/>
        <n v="81.0"/>
        <n v="33.0"/>
        <n v="77.0"/>
        <n v="49.0"/>
        <n v="76.0"/>
        <n v="28.0"/>
        <n v="69.0"/>
        <n v="44.0"/>
        <n v="105.0"/>
        <n v="13.0"/>
        <n v="75.0"/>
        <n v="97.0"/>
        <n v="18.0"/>
        <n v="23.0"/>
        <n v="66.0"/>
        <n v="29.0"/>
        <n v="15.0"/>
        <n v="129.0"/>
        <n v="27.0"/>
        <n v="16.0"/>
        <n v="38.0"/>
        <n v="35.0"/>
        <n v="25.0"/>
        <n v="21.0"/>
        <n v="90.0"/>
        <n v="34.0"/>
        <n v="170.0"/>
        <n v="62.0"/>
        <n v="47.0"/>
        <n v="14.0"/>
        <n v="52.0"/>
        <n v="26.0"/>
        <n v="88.0"/>
        <n v="48.0"/>
        <n v="56.0"/>
        <n v="71.0"/>
        <n v="83.0"/>
        <n v="122.0"/>
        <n v="63.0"/>
        <n v="89.0"/>
        <n v="42.0"/>
        <n v="79.0"/>
        <n v="131.0"/>
        <n v="0.0"/>
        <n v="73.0"/>
        <n v="24.0"/>
        <n v="128.0"/>
        <n v="40.0"/>
        <n v="46.0"/>
        <n v="154.0"/>
        <n v="130.0"/>
        <n v="96.0"/>
        <n v="174.0"/>
        <n v="64.0"/>
        <n v="57.0"/>
        <n v="117.0"/>
        <n v="121.0"/>
        <n v="98.0"/>
        <n v="60.0"/>
        <n v="118.0"/>
        <n v="85.0"/>
        <n v="67.0"/>
        <n v="20.0"/>
        <n v="109.0"/>
        <n v="50.0"/>
        <n v="95.0"/>
        <n v="70.0"/>
        <n v="146.0"/>
        <n v="65.0"/>
        <n v="84.0"/>
        <s v="No KPIs"/>
        <m/>
      </sharedItems>
    </cacheField>
    <cacheField name="Inbound Calls (Received)">
      <sharedItems containsBlank="1" containsMixedTypes="1" containsNumber="1" containsInteger="1">
        <n v="6.0"/>
        <n v="16.0"/>
        <n v="0.0"/>
        <n v="2.0"/>
        <n v="1.0"/>
        <n v="5.0"/>
        <n v="3.0"/>
        <n v="10.0"/>
        <n v="8.0"/>
        <n v="9.0"/>
        <n v="4.0"/>
        <n v="7.0"/>
        <n v="11.0"/>
        <s v="No KPIs"/>
        <m/>
      </sharedItems>
    </cacheField>
    <cacheField name="Outbound Calls">
      <sharedItems containsBlank="1" containsMixedTypes="1" containsNumber="1" containsInteger="1">
        <n v="6.0"/>
        <n v="9.0"/>
        <n v="11.0"/>
        <n v="5.0"/>
        <n v="12.0"/>
        <n v="4.0"/>
        <n v="17.0"/>
        <n v="8.0"/>
        <n v="0.0"/>
        <n v="10.0"/>
        <n v="2.0"/>
        <n v="19.0"/>
        <n v="13.0"/>
        <n v="3.0"/>
        <n v="7.0"/>
        <n v="1.0"/>
        <n v="14.0"/>
        <n v="23.0"/>
        <n v="16.0"/>
        <n v="18.0"/>
        <n v="20.0"/>
        <n v="15.0"/>
        <n v="22.0"/>
        <n v="27.0"/>
        <n v="33.0"/>
        <s v="No KPIs"/>
        <m/>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H472" sheet="Oct25"/>
  </cacheSource>
  <cacheFields>
    <cacheField name="Week Day" numFmtId="0">
      <sharedItems containsBlank="1">
        <s v="miércoles"/>
        <s v="jueves"/>
        <s v="viernes"/>
        <s v="sábado"/>
        <s v="domingo"/>
        <s v="lunes"/>
        <s v="martes"/>
        <m/>
      </sharedItems>
    </cacheField>
    <cacheField name="Month" numFmtId="164">
      <sharedItems containsBlank="1">
        <s v="octubre"/>
        <m/>
      </sharedItems>
    </cacheField>
    <cacheField name="Fecha" numFmtId="166">
      <sharedItems containsDate="1" containsString="0" containsBlank="1">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m/>
      </sharedItems>
    </cacheField>
    <cacheField name="Tracker" numFmtId="0">
      <sharedItems containsBlank="1">
        <s v="Pacco"/>
        <s v="Anthony"/>
        <s v="Moriah"/>
        <s v="Julia"/>
        <s v="Melody"/>
        <s v="Lindsey"/>
        <s v="Damien"/>
        <s v="Tanisha"/>
        <s v="Sussy"/>
        <s v="Lorena"/>
        <s v="Marlen"/>
        <s v="Anel"/>
        <s v="Deyska"/>
        <s v="Jonny"/>
        <s v="Joel"/>
        <s v="Alexandra"/>
        <s v="Oscar C."/>
        <s v="Cristhian"/>
        <s v="Oscar"/>
        <s v="Berta"/>
        <s v="Petronila"/>
        <s v="Eva"/>
        <s v="AiRegina"/>
        <s v="Cesar O."/>
        <s v="Alex"/>
        <s v="Regina"/>
        <m/>
      </sharedItems>
    </cacheField>
    <cacheField name="Check Calls" numFmtId="0">
      <sharedItems containsString="0" containsBlank="1" containsNumber="1" containsInteger="1">
        <n v="129.0"/>
        <n v="60.0"/>
        <n v="82.0"/>
        <n v="85.0"/>
        <n v="35.0"/>
        <n v="67.0"/>
        <n v="72.0"/>
        <n v="117.0"/>
        <n v="57.0"/>
        <n v="93.0"/>
        <n v="32.0"/>
        <n v="52.0"/>
        <n v="106.0"/>
        <n v="110.0"/>
        <n v="46.0"/>
        <n v="63.0"/>
        <n v="76.0"/>
        <n v="33.0"/>
        <n v="30.0"/>
        <n v="26.0"/>
        <n v="20.0"/>
        <n v="51.0"/>
        <n v="98.0"/>
        <n v="22.0"/>
        <n v="43.0"/>
        <n v="37.0"/>
        <n v="120.0"/>
        <n v="104.0"/>
        <n v="29.0"/>
        <n v="68.0"/>
        <n v="56.0"/>
        <n v="95.0"/>
        <n v="78.0"/>
        <n v="109.0"/>
        <n v="65.0"/>
        <n v="122.0"/>
        <n v="40.0"/>
        <n v="47.0"/>
        <n v="58.0"/>
        <n v="103.0"/>
        <n v="69.0"/>
        <n v="99.0"/>
        <n v="81.0"/>
        <n v="64.0"/>
        <n v="115.0"/>
        <n v="31.0"/>
        <n v="111.0"/>
        <n v="50.0"/>
        <n v="77.0"/>
        <n v="126.0"/>
        <n v="87.0"/>
        <n v="66.0"/>
        <n v="80.0"/>
        <n v="75.0"/>
        <n v="100.0"/>
        <n v="181.0"/>
        <n v="143.0"/>
        <n v="83.0"/>
        <n v="92.0"/>
        <n v="139.0"/>
        <n v="96.0"/>
        <n v="39.0"/>
        <n v="101.0"/>
        <n v="45.0"/>
        <n v="130.0"/>
        <n v="121.0"/>
        <n v="48.0"/>
        <n v="34.0"/>
        <n v="53.0"/>
        <n v="54.0"/>
        <n v="167.0"/>
        <n v="42.0"/>
        <n v="28.0"/>
        <n v="152.0"/>
        <n v="108.0"/>
        <n v="107.0"/>
        <n v="71.0"/>
        <n v="55.0"/>
        <n v="219.0"/>
        <n v="86.0"/>
        <n v="59.0"/>
        <n v="118.0"/>
        <n v="70.0"/>
        <n v="145.0"/>
        <n v="237.0"/>
        <n v="94.0"/>
        <n v="0.0"/>
        <n v="74.0"/>
        <n v="127.0"/>
        <n v="19.0"/>
        <n v="97.0"/>
        <n v="44.0"/>
        <n v="11.0"/>
        <n v="38.0"/>
        <n v="73.0"/>
        <n v="3.0"/>
        <n v="142.0"/>
        <n v="171.0"/>
        <n v="36.0"/>
        <n v="14.0"/>
        <n v="88.0"/>
        <n v="157.0"/>
        <n v="61.0"/>
        <n v="90.0"/>
        <n v="156.0"/>
        <n v="105.0"/>
        <n v="124.0"/>
        <n v="128.0"/>
        <n v="164.0"/>
        <n v="91.0"/>
        <n v="113.0"/>
        <n v="79.0"/>
        <n v="17.0"/>
        <n v="49.0"/>
        <n v="62.0"/>
        <n v="144.0"/>
        <n v="84.0"/>
        <n v="162.0"/>
        <n v="102.0"/>
        <n v="160.0"/>
        <n v="89.0"/>
        <n v="131.0"/>
        <m/>
      </sharedItems>
    </cacheField>
    <cacheField name="Status Updates" numFmtId="0">
      <sharedItems containsString="0" containsBlank="1" containsNumber="1" containsInteger="1">
        <n v="83.0"/>
        <n v="46.0"/>
        <n v="57.0"/>
        <n v="72.0"/>
        <n v="21.0"/>
        <n v="42.0"/>
        <n v="61.0"/>
        <n v="111.0"/>
        <n v="47.0"/>
        <n v="64.0"/>
        <n v="7.0"/>
        <n v="31.0"/>
        <n v="73.0"/>
        <n v="76.0"/>
        <n v="26.0"/>
        <n v="39.0"/>
        <n v="56.0"/>
        <n v="23.0"/>
        <n v="11.0"/>
        <n v="10.0"/>
        <n v="33.0"/>
        <n v="95.0"/>
        <n v="16.0"/>
        <n v="34.0"/>
        <n v="17.0"/>
        <n v="49.0"/>
        <n v="45.0"/>
        <n v="51.0"/>
        <n v="13.0"/>
        <n v="40.0"/>
        <n v="41.0"/>
        <n v="66.0"/>
        <n v="20.0"/>
        <n v="6.0"/>
        <n v="29.0"/>
        <n v="107.0"/>
        <n v="22.0"/>
        <n v="55.0"/>
        <n v="28.0"/>
        <n v="75.0"/>
        <n v="65.0"/>
        <n v="50.0"/>
        <n v="92.0"/>
        <n v="68.0"/>
        <n v="24.0"/>
        <n v="74.0"/>
        <n v="62.0"/>
        <n v="52.0"/>
        <n v="105.0"/>
        <n v="59.0"/>
        <n v="94.0"/>
        <n v="53.0"/>
        <n v="9.0"/>
        <n v="48.0"/>
        <n v="80.0"/>
        <n v="70.0"/>
        <n v="89.0"/>
        <n v="100.0"/>
        <n v="14.0"/>
        <n v="25.0"/>
        <n v="27.0"/>
        <n v="19.0"/>
        <n v="67.0"/>
        <n v="88.0"/>
        <n v="145.0"/>
        <n v="35.0"/>
        <n v="37.0"/>
        <n v="30.0"/>
        <n v="132.0"/>
        <n v="32.0"/>
        <n v="43.0"/>
        <n v="44.0"/>
        <n v="96.0"/>
        <n v="54.0"/>
        <n v="97.0"/>
        <n v="82.0"/>
        <n v="60.0"/>
        <n v="109.0"/>
        <n v="38.0"/>
        <n v="93.0"/>
        <n v="133.0"/>
        <n v="0.0"/>
        <n v="106.0"/>
        <n v="78.0"/>
        <n v="36.0"/>
        <n v="85.0"/>
        <n v="140.0"/>
        <n v="190.0"/>
        <n v="63.0"/>
        <n v="81.0"/>
        <n v="86.0"/>
        <n v="84.0"/>
        <n v="71.0"/>
        <n v="91.0"/>
        <n v="126.0"/>
        <n v="99.0"/>
        <n v="15.0"/>
        <n v="137.0"/>
        <n v="123.0"/>
        <n v="79.0"/>
        <n v="58.0"/>
        <n v="117.0"/>
        <n v="124.0"/>
        <m/>
      </sharedItems>
    </cacheField>
    <cacheField name="Inbound Calls" numFmtId="0">
      <sharedItems containsString="0" containsBlank="1" containsNumber="1" containsInteger="1">
        <n v="7.0"/>
        <n v="4.0"/>
        <n v="3.0"/>
        <n v="2.0"/>
        <n v="5.0"/>
        <n v="1.0"/>
        <n v="0.0"/>
        <n v="8.0"/>
        <n v="9.0"/>
        <n v="6.0"/>
        <n v="13.0"/>
        <n v="12.0"/>
        <n v="10.0"/>
        <n v="16.0"/>
        <m/>
      </sharedItems>
    </cacheField>
    <cacheField name="Outbound Calls" numFmtId="0">
      <sharedItems containsString="0" containsBlank="1" containsNumber="1" containsInteger="1">
        <n v="10.0"/>
        <n v="5.0"/>
        <n v="11.0"/>
        <n v="9.0"/>
        <n v="14.0"/>
        <n v="0.0"/>
        <n v="1.0"/>
        <n v="2.0"/>
        <n v="16.0"/>
        <n v="3.0"/>
        <n v="27.0"/>
        <n v="6.0"/>
        <n v="12.0"/>
        <n v="13.0"/>
        <n v="15.0"/>
        <n v="4.0"/>
        <n v="20.0"/>
        <n v="19.0"/>
        <n v="32.0"/>
        <n v="7.0"/>
        <n v="25.0"/>
        <n v="24.0"/>
        <n v="36.0"/>
        <n v="18.0"/>
        <n v="8.0"/>
        <n v="23.0"/>
        <n v="21.0"/>
        <n v="17.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Aug26" cacheId="0" dataCaption="" compact="0" compactData="0">
  <location ref="U2:Y3"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racker" axis="axisRow" compact="0" outline="0" multipleItemSelectionAllowed="1" showAll="0" sortType="ascending">
      <items>
        <item h="1" x="18"/>
        <item h="1" x="11"/>
        <item h="1" x="1"/>
        <item h="1" x="13"/>
        <item h="1" x="3"/>
        <item h="1" x="2"/>
        <item h="1" x="15"/>
        <item h="1" x="16"/>
        <item h="1" x="6"/>
        <item h="1" x="7"/>
        <item h="1" x="5"/>
        <item h="1" x="17"/>
        <item h="1" x="4"/>
        <item h="1" x="8"/>
        <item h="1" x="12"/>
        <item h="1" x="0"/>
        <item h="1" x="9"/>
        <item h="1" x="10"/>
        <item h="1" x="14"/>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Inbound (Received)" dataField="1" compact="0" outline="0" multipleItemSelectionAllowed="1" showAll="0">
      <items>
        <item x="0"/>
        <item x="1"/>
        <item x="2"/>
        <item x="3"/>
        <item x="4"/>
        <item x="5"/>
        <item x="6"/>
        <item x="7"/>
        <item x="8"/>
        <item x="9"/>
        <item x="10"/>
        <item x="11"/>
        <item x="12"/>
        <item x="13"/>
        <item x="14"/>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2.xml><?xml version="1.0" encoding="utf-8"?>
<pivotTableDefinition xmlns="http://schemas.openxmlformats.org/spreadsheetml/2006/main" name="Jul26" cacheId="1" dataCaption="" compact="0" compactData="0">
  <location ref="U2:Y3"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racker" axis="axisRow" compact="0" outline="0" multipleItemSelectionAllowed="1" showAll="0" sortType="ascending">
      <items>
        <item h="1" x="21"/>
        <item h="1" x="5"/>
        <item h="1" x="17"/>
        <item h="1" x="7"/>
        <item h="1" x="12"/>
        <item h="1" x="4"/>
        <item h="1" x="19"/>
        <item h="1" x="20"/>
        <item h="1" x="11"/>
        <item h="1" x="1"/>
        <item h="1" x="0"/>
        <item h="1" x="3"/>
        <item h="1" x="18"/>
        <item h="1" x="2"/>
        <item h="1" x="15"/>
        <item h="1" x="6"/>
        <item h="1" x="9"/>
        <item h="1" x="13"/>
        <item h="1" x="10"/>
        <item h="1" x="8"/>
        <item h="1" x="16"/>
        <item h="1" x="14"/>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nbound (Received)" dataField="1" compact="0" outline="0" multipleItemSelectionAllowed="1" showAll="0">
      <items>
        <item x="0"/>
        <item x="1"/>
        <item x="2"/>
        <item x="3"/>
        <item x="4"/>
        <item x="5"/>
        <item x="6"/>
        <item x="7"/>
        <item x="8"/>
        <item x="9"/>
        <item x="10"/>
        <item x="11"/>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3.xml><?xml version="1.0" encoding="utf-8"?>
<pivotTableDefinition xmlns="http://schemas.openxmlformats.org/spreadsheetml/2006/main" name="Jun26" cacheId="2" dataCaption="" compact="0" compactData="0">
  <location ref="U3:Y4"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cker" axis="axisRow" compact="0" outline="0" multipleItemSelectionAllowed="1" showAll="0" sortType="ascending">
      <items>
        <item h="1" x="20"/>
        <item h="1" x="3"/>
        <item h="1" x="15"/>
        <item h="1" x="19"/>
        <item h="1" x="5"/>
        <item h="1" x="13"/>
        <item h="1" x="9"/>
        <item h="1" x="12"/>
        <item h="1" x="18"/>
        <item h="1" x="0"/>
        <item h="1" x="10"/>
        <item h="1" x="6"/>
        <item h="1" x="1"/>
        <item h="1" x="4"/>
        <item h="1" x="11"/>
        <item h="1" x="8"/>
        <item h="1" x="2"/>
        <item h="1" x="16"/>
        <item h="1" x="17"/>
        <item h="1" x="7"/>
        <item h="1" x="14"/>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Inbound (Received)" dataField="1" compact="0" outline="0" multipleItemSelectionAllowed="1" showAll="0">
      <items>
        <item x="0"/>
        <item x="1"/>
        <item x="2"/>
        <item x="3"/>
        <item x="4"/>
        <item x="5"/>
        <item x="6"/>
        <item x="7"/>
        <item x="8"/>
        <item x="9"/>
        <item x="10"/>
        <item x="11"/>
        <item x="12"/>
        <item x="13"/>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4.xml><?xml version="1.0" encoding="utf-8"?>
<pivotTableDefinition xmlns="http://schemas.openxmlformats.org/spreadsheetml/2006/main" name="May26" cacheId="3" dataCaption="" compact="0" compactData="0">
  <location ref="U3:Y4"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racker" axis="axisRow" compact="0" outline="0" multipleItemSelectionAllowed="1" showAll="0" sortType="ascending">
      <items>
        <item h="1" x="22"/>
        <item h="1" x="18"/>
        <item h="1" x="7"/>
        <item h="1" x="1"/>
        <item h="1" x="19"/>
        <item h="1" x="14"/>
        <item h="1" x="4"/>
        <item h="1" x="15"/>
        <item h="1" x="20"/>
        <item h="1" x="3"/>
        <item h="1" x="11"/>
        <item h="1" x="10"/>
        <item h="1" x="17"/>
        <item h="1" x="2"/>
        <item h="1" x="9"/>
        <item h="1" x="12"/>
        <item h="1" x="21"/>
        <item h="1" x="5"/>
        <item h="1" x="0"/>
        <item h="1" x="8"/>
        <item h="1" x="13"/>
        <item h="1" x="16"/>
        <item h="1" x="6"/>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Inbound (Received)" dataField="1" compact="0" outline="0" multipleItemSelectionAllowed="1" showAll="0">
      <items>
        <item x="0"/>
        <item x="1"/>
        <item x="2"/>
        <item x="3"/>
        <item x="4"/>
        <item x="5"/>
        <item x="6"/>
        <item x="7"/>
        <item x="8"/>
        <item x="9"/>
        <item x="10"/>
        <item x="11"/>
        <item x="12"/>
        <item x="13"/>
        <item x="14"/>
        <item x="15"/>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5.xml><?xml version="1.0" encoding="utf-8"?>
<pivotTableDefinition xmlns="http://schemas.openxmlformats.org/spreadsheetml/2006/main" name="Abr26" cacheId="4" dataCaption="" compact="0" compactData="0">
  <location ref="V2:Z4"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cker" axis="axisRow" compact="0" outline="0" multipleItemSelectionAllowed="1" showAll="0" sortType="ascending">
      <items>
        <item h="1" x="23"/>
        <item h="1" x="1"/>
        <item h="1" x="8"/>
        <item h="1" x="16"/>
        <item h="1" x="4"/>
        <item h="1" x="13"/>
        <item h="1" x="10"/>
        <item h="1" x="6"/>
        <item h="1" x="15"/>
        <item h="1" x="19"/>
        <item x="7"/>
        <item h="1" x="14"/>
        <item h="1" x="2"/>
        <item h="1" x="0"/>
        <item h="1" x="21"/>
        <item h="1" x="5"/>
        <item h="1" x="22"/>
        <item h="1" x="3"/>
        <item h="1" x="9"/>
        <item h="1" x="12"/>
        <item h="1" x="17"/>
        <item h="1" x="18"/>
        <item h="1" x="20"/>
        <item h="1" x="11"/>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Inbound (Received)" dataField="1" compact="0" outline="0" multipleItemSelectionAllowed="1" showAll="0">
      <items>
        <item x="0"/>
        <item x="1"/>
        <item x="2"/>
        <item x="3"/>
        <item x="4"/>
        <item x="5"/>
        <item x="6"/>
        <item x="7"/>
        <item x="8"/>
        <item x="9"/>
        <item x="10"/>
        <item x="11"/>
        <item x="12"/>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6.xml><?xml version="1.0" encoding="utf-8"?>
<pivotTableDefinition xmlns="http://schemas.openxmlformats.org/spreadsheetml/2006/main" name="Mar26" cacheId="5" dataCaption="" compact="0" compactData="0">
  <location ref="U3:Y4"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racker" axis="axisRow" compact="0" outline="0" multipleItemSelectionAllowed="1" showAll="0" sortType="ascending">
      <items>
        <item h="1" x="26"/>
        <item h="1" x="1"/>
        <item h="1" x="19"/>
        <item h="1" x="15"/>
        <item h="1" x="3"/>
        <item h="1" x="25"/>
        <item h="1" x="24"/>
        <item h="1" x="22"/>
        <item h="1" x="17"/>
        <item h="1" x="11"/>
        <item h="1" x="6"/>
        <item h="1" x="12"/>
        <item h="1" x="5"/>
        <item h="1" x="8"/>
        <item h="1" x="0"/>
        <item h="1" x="14"/>
        <item h="1" x="21"/>
        <item h="1" x="20"/>
        <item h="1" x="7"/>
        <item h="1" x="9"/>
        <item h="1" x="23"/>
        <item h="1" x="16"/>
        <item h="1" x="2"/>
        <item h="1" x="4"/>
        <item h="1" x="10"/>
        <item h="1" x="13"/>
        <item h="1" x="18"/>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Inbound (Received)" dataField="1" compact="0" outline="0" multipleItemSelectionAllowed="1" showAll="0">
      <items>
        <item x="0"/>
        <item x="1"/>
        <item x="2"/>
        <item x="3"/>
        <item x="4"/>
        <item x="5"/>
        <item x="6"/>
        <item x="7"/>
        <item x="8"/>
        <item x="9"/>
        <item x="10"/>
        <item x="11"/>
        <item x="12"/>
        <item x="13"/>
        <item x="14"/>
        <item x="15"/>
        <item x="16"/>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7.xml><?xml version="1.0" encoding="utf-8"?>
<pivotTableDefinition xmlns="http://schemas.openxmlformats.org/spreadsheetml/2006/main" name="Feb26" cacheId="5" dataCaption="" compact="0" compactData="0">
  <location ref="U3:Y4"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racker" axis="axisRow" compact="0" outline="0" multipleItemSelectionAllowed="1" showAll="0" sortType="ascending">
      <items>
        <item h="1" x="26"/>
        <item h="1" x="1"/>
        <item h="1" x="19"/>
        <item h="1" x="15"/>
        <item h="1" x="3"/>
        <item h="1" x="25"/>
        <item h="1" x="24"/>
        <item h="1" x="22"/>
        <item h="1" x="17"/>
        <item h="1" x="11"/>
        <item h="1" x="6"/>
        <item h="1" x="12"/>
        <item h="1" x="5"/>
        <item h="1" x="8"/>
        <item h="1" x="0"/>
        <item h="1" x="14"/>
        <item h="1" x="21"/>
        <item h="1" x="20"/>
        <item h="1" x="7"/>
        <item h="1" x="9"/>
        <item h="1" x="23"/>
        <item h="1" x="16"/>
        <item h="1" x="2"/>
        <item h="1" x="4"/>
        <item h="1" x="10"/>
        <item h="1" x="13"/>
        <item h="1" x="18"/>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Inbound (Received)" dataField="1" compact="0" outline="0" multipleItemSelectionAllowed="1" showAll="0">
      <items>
        <item x="0"/>
        <item x="1"/>
        <item x="2"/>
        <item x="3"/>
        <item x="4"/>
        <item x="5"/>
        <item x="6"/>
        <item x="7"/>
        <item x="8"/>
        <item x="9"/>
        <item x="10"/>
        <item x="11"/>
        <item x="12"/>
        <item x="13"/>
        <item x="14"/>
        <item x="15"/>
        <item x="16"/>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8.xml><?xml version="1.0" encoding="utf-8"?>
<pivotTableDefinition xmlns="http://schemas.openxmlformats.org/spreadsheetml/2006/main" name="Jan26" cacheId="6" dataCaption="" compact="0" compactData="0">
  <location ref="U2:Y3"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racker" axis="axisRow" compact="0" outline="0" multipleItemSelectionAllowed="1" showAll="0" sortType="ascending">
      <items>
        <item h="1" x="25"/>
        <item h="1" x="23"/>
        <item h="1" x="15"/>
        <item h="1" x="9"/>
        <item h="1" x="24"/>
        <item h="1" x="16"/>
        <item h="1" x="20"/>
        <item h="1" x="10"/>
        <item h="1" x="5"/>
        <item h="1" x="22"/>
        <item h="1" x="6"/>
        <item h="1" x="21"/>
        <item h="1" x="2"/>
        <item h="1" x="1"/>
        <item h="1" x="8"/>
        <item h="1" x="18"/>
        <item h="1" x="17"/>
        <item h="1" x="11"/>
        <item h="1" x="3"/>
        <item h="1" x="0"/>
        <item h="1" x="14"/>
        <item h="1" x="19"/>
        <item h="1" x="13"/>
        <item h="1" x="4"/>
        <item h="1" x="7"/>
        <item h="1" x="12"/>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Inbound (Received)" dataField="1" compact="0" outline="0" multipleItemSelectionAllowed="1" showAll="0">
      <items>
        <item x="0"/>
        <item x="1"/>
        <item x="2"/>
        <item x="3"/>
        <item x="4"/>
        <item x="5"/>
        <item x="6"/>
        <item x="7"/>
        <item x="8"/>
        <item x="9"/>
        <item x="10"/>
        <item x="11"/>
        <item x="12"/>
        <item x="13"/>
        <item x="14"/>
        <item x="15"/>
        <item t="default"/>
      </items>
    </pivotField>
    <pivotField name="Outbound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9.xml><?xml version="1.0" encoding="utf-8"?>
<pivotTableDefinition xmlns="http://schemas.openxmlformats.org/spreadsheetml/2006/main" name="Dec25" cacheId="7" dataCaption="" compact="0" compactData="0">
  <location ref="U2:Y3" firstHeaderRow="0" firstDataRow="2" firstDataCol="0"/>
  <pivotFields>
    <pivotField name="Week Day" compact="0" outline="0" multipleItemSelectionAllowed="1" showAll="0">
      <items>
        <item x="0"/>
        <item x="1"/>
        <item x="2"/>
        <item x="3"/>
        <item x="4"/>
        <item x="5"/>
        <item x="6"/>
        <item x="7"/>
        <item t="default"/>
      </items>
    </pivotField>
    <pivotField name="Month" compact="0" outline="0" multipleItemSelectionAllowed="1" showAll="0">
      <items>
        <item x="0"/>
        <item x="1"/>
        <item t="default"/>
      </items>
    </pivotField>
    <pivotField name="Fecha"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racker" axis="axisRow" compact="0" outline="0" multipleItemSelectionAllowed="1" showAll="0" sortType="ascending">
      <items>
        <item h="1" x="24"/>
        <item h="1" x="21"/>
        <item h="1" x="14"/>
        <item h="1" x="1"/>
        <item h="1" x="22"/>
        <item h="1" x="13"/>
        <item h="1" x="20"/>
        <item h="1" x="18"/>
        <item h="1" x="10"/>
        <item h="1" x="17"/>
        <item h="1" x="8"/>
        <item h="1" x="16"/>
        <item h="1" x="15"/>
        <item h="1" x="3"/>
        <item h="1" x="4"/>
        <item h="1" x="9"/>
        <item h="1" x="19"/>
        <item h="1" x="12"/>
        <item h="1" x="2"/>
        <item h="1" x="23"/>
        <item h="1" x="0"/>
        <item h="1" x="11"/>
        <item h="1" x="6"/>
        <item h="1" x="7"/>
        <item h="1" x="5"/>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Inbound Calls (Received)" dataField="1" compact="0" outline="0" multipleItemSelectionAllowed="1" showAll="0">
      <items>
        <item x="0"/>
        <item x="1"/>
        <item x="2"/>
        <item x="3"/>
        <item x="4"/>
        <item x="5"/>
        <item x="6"/>
        <item x="7"/>
        <item x="8"/>
        <item x="9"/>
        <item x="10"/>
        <item x="11"/>
        <item x="12"/>
        <item x="13"/>
        <item x="14"/>
        <item t="default"/>
      </items>
    </pivotField>
    <pivotField name="Outbound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10.xml><?xml version="1.0" encoding="utf-8"?>
<pivotTableDefinition xmlns="http://schemas.openxmlformats.org/spreadsheetml/2006/main" name="Nov25" cacheId="8" dataCaption="" compact="0" compactData="0">
  <location ref="U3:Y4" firstHeaderRow="0" firstDataRow="2" firstDataCol="0"/>
  <pivotFields>
    <pivotField name="Week Day" compact="0" outline="0" multipleItemSelectionAllowed="1" showAll="0">
      <items>
        <item x="0"/>
        <item x="1"/>
        <item x="2"/>
        <item x="3"/>
        <item x="4"/>
        <item x="5"/>
        <item x="6"/>
        <item x="7"/>
        <item t="default"/>
      </items>
    </pivotField>
    <pivotField name="Month" compact="0" outline="0" multipleItemSelectionAllowed="1" showAll="0">
      <items>
        <item x="0"/>
        <item x="1"/>
        <item x="2"/>
        <item x="3"/>
        <item x="4"/>
        <item x="5"/>
        <item t="default"/>
      </items>
    </pivotField>
    <pivotField name="Fecha"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Tracker" axis="axisRow" compact="0" outline="0" multipleItemSelectionAllowed="1" showAll="0" sortType="ascending">
      <items>
        <item h="1" x="25"/>
        <item h="1" x="0"/>
        <item h="1" x="21"/>
        <item h="1" x="2"/>
        <item h="1" x="22"/>
        <item h="1" x="23"/>
        <item h="1" x="20"/>
        <item h="1" x="5"/>
        <item h="1" x="16"/>
        <item h="1" x="14"/>
        <item h="1" x="1"/>
        <item h="1" x="8"/>
        <item h="1" x="10"/>
        <item h="1" x="11"/>
        <item h="1" x="15"/>
        <item h="1" x="18"/>
        <item h="1" x="17"/>
        <item h="1" x="9"/>
        <item h="1" x="24"/>
        <item h="1" x="3"/>
        <item h="1" x="19"/>
        <item h="1" x="4"/>
        <item h="1" x="7"/>
        <item h="1" x="12"/>
        <item h="1" x="13"/>
        <item h="1" x="6"/>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Inbound Calls (Received)" dataField="1" compact="0" outline="0" multipleItemSelectionAllowed="1" showAll="0">
      <items>
        <item x="0"/>
        <item x="1"/>
        <item x="2"/>
        <item x="3"/>
        <item x="4"/>
        <item x="5"/>
        <item x="6"/>
        <item x="7"/>
        <item x="8"/>
        <item x="9"/>
        <item x="10"/>
        <item x="11"/>
        <item x="12"/>
        <item x="13"/>
        <item x="14"/>
        <item t="default"/>
      </items>
    </pivotField>
    <pivotField name="Outbound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pivotTables/pivotTable11.xml><?xml version="1.0" encoding="utf-8"?>
<pivotTableDefinition xmlns="http://schemas.openxmlformats.org/spreadsheetml/2006/main" name="Oct25" cacheId="9" dataCaption="" compact="0" compactData="0">
  <location ref="U3:Y4" firstHeaderRow="0" firstDataRow="2" firstDataCol="0"/>
  <pivotFields>
    <pivotField name="Week Day" compact="0" outline="0" multipleItemSelectionAllowed="1" showAll="0">
      <items>
        <item x="0"/>
        <item x="1"/>
        <item x="2"/>
        <item x="3"/>
        <item x="4"/>
        <item x="5"/>
        <item x="6"/>
        <item x="7"/>
        <item t="default"/>
      </items>
    </pivotField>
    <pivotField name="Month" compact="0" numFmtId="164" outline="0" multipleItemSelectionAllowed="1" showAll="0">
      <items>
        <item x="0"/>
        <item x="1"/>
        <item t="default"/>
      </items>
    </pivotField>
    <pivotField name="Fecha"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racker" axis="axisRow" compact="0" outline="0" multipleItemSelectionAllowed="1" showAll="0" sortType="ascending">
      <items>
        <item h="1" x="26"/>
        <item h="1" x="22"/>
        <item h="1" x="24"/>
        <item h="1" x="15"/>
        <item h="1" x="11"/>
        <item h="1" x="1"/>
        <item h="1" x="19"/>
        <item h="1" x="23"/>
        <item h="1" x="17"/>
        <item h="1" x="6"/>
        <item h="1" x="12"/>
        <item h="1" x="21"/>
        <item h="1" x="14"/>
        <item h="1" x="13"/>
        <item h="1" x="3"/>
        <item h="1" x="5"/>
        <item h="1" x="9"/>
        <item h="1" x="10"/>
        <item h="1" x="4"/>
        <item h="1" x="2"/>
        <item h="1" x="18"/>
        <item h="1" x="16"/>
        <item h="1" x="0"/>
        <item h="1" x="20"/>
        <item h="1" x="25"/>
        <item h="1" x="8"/>
        <item h="1" x="7"/>
        <item t="default"/>
      </items>
    </pivotField>
    <pivotField name="Check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Status Upda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Inbound Calls" dataField="1" compact="0" outline="0" multipleItemSelectionAllowed="1" showAll="0">
      <items>
        <item x="0"/>
        <item x="1"/>
        <item x="2"/>
        <item x="3"/>
        <item x="4"/>
        <item x="5"/>
        <item x="6"/>
        <item x="7"/>
        <item x="8"/>
        <item x="9"/>
        <item x="10"/>
        <item x="11"/>
        <item x="12"/>
        <item x="13"/>
        <item x="14"/>
        <item t="default"/>
      </items>
    </pivotField>
    <pivotField name="Outbound Call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3"/>
  </rowFields>
  <colFields>
    <field x="-2"/>
  </colFields>
  <dataFields>
    <dataField name="SUM of Check Calls" fld="4" baseField="0"/>
    <dataField name="SUM of Status Updates" fld="5" baseField="0"/>
    <dataField name="SUM of Inbound (Received)" fld="6" baseField="0"/>
    <dataField name="SUM of Outbound " fld="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sheetData>
    <row r="4">
      <c r="B4" s="1" t="s">
        <v>0</v>
      </c>
      <c r="C4" s="3"/>
      <c r="D4" s="3"/>
      <c r="E4" s="3"/>
      <c r="F4" s="3"/>
      <c r="G4" s="3"/>
      <c r="H4" s="3"/>
      <c r="I4" s="3"/>
      <c r="J4" s="3"/>
    </row>
    <row r="5">
      <c r="B5" s="3"/>
      <c r="C5" s="3"/>
      <c r="D5" s="3"/>
      <c r="E5" s="3"/>
      <c r="F5" s="3"/>
      <c r="G5" s="3"/>
      <c r="H5" s="3"/>
      <c r="I5" s="3"/>
      <c r="J5" s="3"/>
    </row>
    <row r="6">
      <c r="B6" s="7">
        <v>1.0</v>
      </c>
      <c r="C6" s="7" t="s">
        <v>6</v>
      </c>
      <c r="D6" s="3"/>
      <c r="E6" s="3"/>
      <c r="F6" s="3"/>
      <c r="G6" s="3"/>
      <c r="H6" s="3"/>
      <c r="I6" s="3"/>
      <c r="J6" s="3"/>
    </row>
    <row r="7">
      <c r="B7" s="7">
        <v>2.0</v>
      </c>
      <c r="C7" s="7" t="s">
        <v>7</v>
      </c>
      <c r="D7" s="3"/>
      <c r="E7" s="3"/>
      <c r="F7" s="3"/>
      <c r="G7" s="3"/>
      <c r="H7" s="3"/>
      <c r="I7" s="3"/>
      <c r="J7" s="3"/>
    </row>
    <row r="8">
      <c r="B8" s="7">
        <v>3.0</v>
      </c>
      <c r="C8" s="7" t="s">
        <v>8</v>
      </c>
      <c r="D8" s="3"/>
      <c r="E8" s="3"/>
      <c r="F8" s="3"/>
      <c r="G8" s="3"/>
      <c r="H8" s="3"/>
      <c r="I8" s="3"/>
      <c r="J8" s="3"/>
    </row>
    <row r="9">
      <c r="B9" s="7">
        <v>4.0</v>
      </c>
      <c r="C9" s="7" t="s">
        <v>10</v>
      </c>
      <c r="D9" s="3"/>
      <c r="E9" s="3"/>
      <c r="F9" s="3"/>
      <c r="G9" s="3"/>
      <c r="H9" s="3"/>
      <c r="I9" s="3"/>
      <c r="J9" s="3"/>
    </row>
    <row r="10">
      <c r="B10" s="7">
        <v>5.0</v>
      </c>
      <c r="C10" s="7" t="s">
        <v>13</v>
      </c>
      <c r="D10" s="3"/>
      <c r="E10" s="3"/>
      <c r="F10" s="3"/>
      <c r="G10" s="3"/>
      <c r="H10" s="3"/>
      <c r="I10" s="3"/>
      <c r="J10" s="3"/>
    </row>
    <row r="11">
      <c r="B11" s="7">
        <v>6.0</v>
      </c>
      <c r="C11" s="3"/>
      <c r="D11" s="3"/>
      <c r="E11" s="3"/>
      <c r="F11" s="3"/>
      <c r="G11" s="3"/>
      <c r="H11" s="3"/>
      <c r="I11" s="3"/>
      <c r="J11" s="3"/>
    </row>
    <row r="12">
      <c r="B12" s="3"/>
      <c r="C12" s="3"/>
      <c r="D12" s="3"/>
      <c r="E12" s="3"/>
      <c r="F12" s="3"/>
      <c r="G12" s="3"/>
      <c r="H12" s="3"/>
      <c r="I12" s="3"/>
      <c r="J12" s="3"/>
    </row>
    <row r="13">
      <c r="B13" s="3"/>
      <c r="C13" s="3"/>
      <c r="D13" s="3"/>
      <c r="E13" s="3"/>
      <c r="F13" s="3"/>
      <c r="G13" s="3"/>
      <c r="H13" s="3"/>
      <c r="I13" s="3"/>
      <c r="J13" s="3"/>
    </row>
    <row r="14">
      <c r="B14" s="3"/>
      <c r="C14" s="3"/>
      <c r="D14" s="3"/>
      <c r="E14" s="3"/>
      <c r="F14" s="3"/>
      <c r="G14" s="3"/>
      <c r="H14" s="3"/>
      <c r="I14" s="3"/>
      <c r="J14" s="3"/>
    </row>
    <row r="15">
      <c r="B15" s="3"/>
      <c r="C15" s="3"/>
      <c r="D15" s="3"/>
      <c r="E15" s="3"/>
      <c r="F15" s="3"/>
      <c r="G15" s="3"/>
      <c r="H15" s="3"/>
      <c r="I15" s="3"/>
      <c r="J15" s="3"/>
    </row>
    <row r="16">
      <c r="B16" s="3"/>
      <c r="C16" s="3"/>
      <c r="D16" s="3"/>
      <c r="E16" s="3"/>
      <c r="F16" s="3"/>
      <c r="G16" s="3"/>
      <c r="H16" s="3"/>
      <c r="I16" s="3"/>
      <c r="J16" s="3"/>
    </row>
    <row r="17">
      <c r="B17" s="3"/>
      <c r="C17" s="3"/>
      <c r="D17" s="3"/>
      <c r="E17" s="3"/>
      <c r="F17" s="3"/>
      <c r="G17" s="3"/>
      <c r="H17" s="3"/>
      <c r="I17" s="3"/>
      <c r="J17" s="3"/>
    </row>
    <row r="18">
      <c r="B18" s="3"/>
      <c r="C18" s="3"/>
      <c r="D18" s="3"/>
      <c r="E18" s="3"/>
      <c r="F18" s="3"/>
      <c r="G18" s="3"/>
      <c r="H18" s="3"/>
      <c r="I18" s="3"/>
      <c r="J18" s="3"/>
    </row>
    <row r="19">
      <c r="B19" s="3"/>
      <c r="C19" s="3"/>
      <c r="D19" s="3"/>
      <c r="E19" s="3"/>
      <c r="F19" s="3"/>
      <c r="G19" s="3"/>
      <c r="H19" s="3"/>
      <c r="I19" s="3"/>
      <c r="J19" s="3"/>
    </row>
    <row r="20">
      <c r="B20" s="3"/>
      <c r="C20" s="3"/>
      <c r="D20" s="3"/>
      <c r="E20" s="3"/>
      <c r="F20" s="3"/>
      <c r="G20" s="3"/>
      <c r="H20" s="3"/>
      <c r="I20" s="3"/>
      <c r="J20" s="3"/>
    </row>
    <row r="21">
      <c r="B21" s="3"/>
      <c r="C21" s="3"/>
      <c r="D21" s="3"/>
      <c r="E21" s="3"/>
      <c r="F21" s="3"/>
      <c r="G21" s="3"/>
      <c r="H21" s="3"/>
      <c r="I21" s="3"/>
      <c r="J21" s="3"/>
    </row>
    <row r="22">
      <c r="B22" s="3"/>
      <c r="C22" s="3"/>
      <c r="D22" s="3"/>
      <c r="E22" s="3"/>
      <c r="F22" s="3"/>
      <c r="G22" s="3"/>
      <c r="H22" s="3"/>
      <c r="I22" s="3"/>
      <c r="J22" s="3"/>
    </row>
    <row r="23">
      <c r="B23" s="3"/>
      <c r="C23" s="3"/>
      <c r="D23" s="3"/>
      <c r="E23" s="3"/>
      <c r="F23" s="3"/>
      <c r="G23" s="3"/>
      <c r="H23" s="3"/>
      <c r="I23" s="3"/>
      <c r="J23" s="3"/>
    </row>
    <row r="24">
      <c r="B24" s="3"/>
      <c r="C24" s="3"/>
      <c r="D24" s="3"/>
      <c r="E24" s="3"/>
      <c r="F24" s="3"/>
      <c r="G24" s="3"/>
      <c r="H24" s="3"/>
      <c r="I24" s="3"/>
      <c r="J24" s="3"/>
    </row>
    <row r="25">
      <c r="B25" s="3"/>
      <c r="C25" s="3"/>
      <c r="D25" s="3"/>
      <c r="E25" s="3"/>
      <c r="F25" s="3"/>
      <c r="G25" s="3"/>
      <c r="H25" s="3"/>
      <c r="I25" s="3"/>
      <c r="J25" s="3"/>
    </row>
    <row r="26">
      <c r="B26" s="3"/>
      <c r="C26" s="3"/>
      <c r="D26" s="3"/>
      <c r="E26" s="3"/>
      <c r="F26" s="3"/>
      <c r="G26" s="3"/>
      <c r="H26" s="3"/>
      <c r="I26" s="3"/>
      <c r="J26" s="3"/>
    </row>
    <row r="27">
      <c r="B27" s="3"/>
      <c r="C27" s="3"/>
      <c r="D27" s="3"/>
      <c r="E27" s="3"/>
      <c r="F27" s="3"/>
      <c r="G27" s="3"/>
      <c r="H27" s="3"/>
      <c r="I27" s="3"/>
      <c r="J27" s="3"/>
    </row>
    <row r="28">
      <c r="B28" s="3"/>
      <c r="C28" s="3"/>
      <c r="D28" s="3"/>
      <c r="E28" s="3"/>
      <c r="F28" s="3"/>
      <c r="G28" s="3"/>
      <c r="H28" s="3"/>
      <c r="I28" s="3"/>
      <c r="J28" s="3"/>
    </row>
    <row r="29">
      <c r="B29" s="3"/>
      <c r="C29" s="3"/>
      <c r="D29" s="3"/>
      <c r="E29" s="3"/>
      <c r="F29" s="3"/>
      <c r="G29" s="3"/>
      <c r="H29" s="3"/>
      <c r="I29" s="3"/>
      <c r="J29" s="3"/>
    </row>
    <row r="30">
      <c r="B30" s="3"/>
      <c r="C30" s="3"/>
      <c r="D30" s="3"/>
      <c r="E30" s="3"/>
      <c r="F30" s="3"/>
      <c r="G30" s="3"/>
      <c r="H30" s="3"/>
      <c r="I30" s="3"/>
      <c r="J30" s="3"/>
    </row>
    <row r="31">
      <c r="B31" s="3"/>
      <c r="C31" s="3"/>
      <c r="D31" s="3"/>
      <c r="E31" s="3"/>
      <c r="F31" s="3"/>
      <c r="G31" s="3"/>
      <c r="H31" s="3"/>
      <c r="I31" s="3"/>
      <c r="J31" s="3"/>
    </row>
    <row r="32">
      <c r="B32" s="3"/>
      <c r="C32" s="3"/>
      <c r="D32" s="3"/>
      <c r="E32" s="3"/>
      <c r="F32" s="3"/>
      <c r="G32" s="3"/>
      <c r="H32" s="3"/>
      <c r="I32" s="3"/>
      <c r="J32" s="3"/>
    </row>
    <row r="33">
      <c r="B33" s="3"/>
      <c r="C33" s="3"/>
      <c r="D33" s="3"/>
      <c r="E33" s="3"/>
      <c r="F33" s="3"/>
      <c r="G33" s="3"/>
      <c r="H33" s="3"/>
      <c r="I33" s="3"/>
      <c r="J33" s="3"/>
    </row>
    <row r="34">
      <c r="B34" s="3"/>
      <c r="C34" s="3"/>
      <c r="D34" s="3"/>
      <c r="E34" s="3"/>
      <c r="F34" s="3"/>
      <c r="G34" s="3"/>
      <c r="H34" s="3"/>
      <c r="I34" s="3"/>
      <c r="J34" s="3"/>
    </row>
    <row r="35">
      <c r="B35" s="3"/>
      <c r="C35" s="3"/>
      <c r="D35" s="3"/>
      <c r="E35" s="3"/>
      <c r="F35" s="3"/>
      <c r="G35" s="3"/>
      <c r="H35" s="3"/>
      <c r="I35" s="3"/>
      <c r="J35" s="3"/>
    </row>
    <row r="36">
      <c r="B36" s="3"/>
      <c r="C36" s="3"/>
      <c r="D36" s="3"/>
      <c r="E36" s="3"/>
      <c r="F36" s="3"/>
      <c r="G36" s="3"/>
      <c r="H36" s="3"/>
      <c r="I36" s="3"/>
      <c r="J36" s="3"/>
    </row>
    <row r="37">
      <c r="B37" s="3"/>
      <c r="C37" s="3"/>
      <c r="D37" s="3"/>
      <c r="E37" s="3"/>
      <c r="F37" s="3"/>
      <c r="G37" s="3"/>
      <c r="H37" s="3"/>
      <c r="I37" s="3"/>
      <c r="J37" s="3"/>
    </row>
    <row r="38">
      <c r="B38" s="3"/>
      <c r="C38" s="3"/>
      <c r="D38" s="3"/>
      <c r="E38" s="3"/>
      <c r="F38" s="3"/>
      <c r="G38" s="3"/>
      <c r="H38" s="3"/>
      <c r="I38" s="3"/>
      <c r="J38" s="3"/>
    </row>
    <row r="39">
      <c r="B39" s="3"/>
      <c r="C39" s="3"/>
      <c r="D39" s="3"/>
      <c r="E39" s="3"/>
      <c r="F39" s="3"/>
      <c r="G39" s="3"/>
      <c r="H39" s="3"/>
      <c r="I39" s="3"/>
      <c r="J39" s="3"/>
    </row>
    <row r="40">
      <c r="B40" s="3"/>
      <c r="C40" s="3"/>
      <c r="D40" s="3"/>
      <c r="E40" s="3"/>
      <c r="F40" s="3"/>
      <c r="G40" s="3"/>
      <c r="H40" s="3"/>
      <c r="I40" s="3"/>
      <c r="J40" s="3"/>
    </row>
    <row r="41">
      <c r="B41" s="3"/>
      <c r="C41" s="3"/>
      <c r="D41" s="3"/>
      <c r="E41" s="3"/>
      <c r="F41" s="3"/>
      <c r="G41" s="3"/>
      <c r="H41" s="3"/>
      <c r="I41" s="3"/>
      <c r="J41" s="3"/>
    </row>
    <row r="42">
      <c r="B42" s="3"/>
      <c r="C42" s="3"/>
      <c r="D42" s="3"/>
      <c r="E42" s="3"/>
      <c r="F42" s="3"/>
      <c r="G42" s="3"/>
      <c r="H42" s="3"/>
      <c r="I42" s="3"/>
      <c r="J42" s="3"/>
    </row>
    <row r="43">
      <c r="B43" s="3"/>
      <c r="C43" s="3"/>
      <c r="D43" s="3"/>
      <c r="E43" s="3"/>
      <c r="F43" s="3"/>
      <c r="G43" s="3"/>
      <c r="H43" s="3"/>
      <c r="I43" s="3"/>
      <c r="J43" s="3"/>
    </row>
    <row r="44">
      <c r="B44" s="3"/>
      <c r="C44" s="3"/>
      <c r="D44" s="3"/>
      <c r="E44" s="3"/>
      <c r="F44" s="3"/>
      <c r="G44" s="3"/>
      <c r="H44" s="3"/>
      <c r="I44" s="3"/>
      <c r="J44" s="3"/>
    </row>
    <row r="45">
      <c r="B45" s="3"/>
      <c r="C45" s="3"/>
      <c r="D45" s="3"/>
      <c r="E45" s="3"/>
      <c r="F45" s="3"/>
      <c r="G45" s="3"/>
      <c r="H45" s="3"/>
      <c r="I45" s="3"/>
      <c r="J45" s="3"/>
    </row>
    <row r="46">
      <c r="B46" s="3"/>
      <c r="C46" s="3"/>
      <c r="D46" s="3"/>
      <c r="E46" s="3"/>
      <c r="F46" s="3"/>
      <c r="G46" s="3"/>
      <c r="H46" s="3"/>
      <c r="I46" s="3"/>
      <c r="J46" s="3"/>
    </row>
    <row r="47">
      <c r="B47" s="3"/>
      <c r="C47" s="3"/>
      <c r="D47" s="3"/>
      <c r="E47" s="3"/>
      <c r="F47" s="3"/>
      <c r="G47" s="3"/>
      <c r="H47" s="3"/>
      <c r="I47" s="3"/>
      <c r="J47" s="3"/>
    </row>
    <row r="48">
      <c r="B48" s="3"/>
      <c r="C48" s="3"/>
      <c r="D48" s="3"/>
      <c r="E48" s="3"/>
      <c r="F48" s="3"/>
      <c r="G48" s="3"/>
      <c r="H48" s="3"/>
      <c r="I48" s="3"/>
      <c r="J48" s="3"/>
    </row>
    <row r="49">
      <c r="B49" s="3"/>
      <c r="C49" s="3"/>
      <c r="D49" s="3"/>
      <c r="E49" s="3"/>
      <c r="F49" s="3"/>
      <c r="G49" s="3"/>
      <c r="H49" s="3"/>
      <c r="I49" s="3"/>
      <c r="J49" s="3"/>
    </row>
    <row r="50">
      <c r="B50" s="3"/>
      <c r="C50" s="3"/>
      <c r="D50" s="3"/>
      <c r="E50" s="3"/>
      <c r="F50" s="3"/>
      <c r="G50" s="3"/>
      <c r="H50" s="3"/>
      <c r="I50" s="3"/>
      <c r="J50" s="3"/>
    </row>
    <row r="51">
      <c r="B51" s="3"/>
      <c r="C51" s="3"/>
      <c r="D51" s="3"/>
      <c r="E51" s="3"/>
      <c r="F51" s="3"/>
      <c r="G51" s="3"/>
      <c r="H51" s="3"/>
      <c r="I51" s="3"/>
      <c r="J51" s="3"/>
    </row>
    <row r="52">
      <c r="B52" s="3"/>
      <c r="C52" s="3"/>
      <c r="D52" s="3"/>
      <c r="E52" s="3"/>
      <c r="F52" s="3"/>
      <c r="G52" s="3"/>
      <c r="H52" s="3"/>
      <c r="I52" s="3"/>
      <c r="J52" s="3"/>
    </row>
    <row r="53">
      <c r="B53" s="3"/>
      <c r="C53" s="3"/>
      <c r="D53" s="3"/>
      <c r="E53" s="3"/>
      <c r="F53" s="3"/>
      <c r="G53" s="3"/>
      <c r="H53" s="3"/>
      <c r="I53" s="3"/>
      <c r="J53" s="3"/>
    </row>
    <row r="54">
      <c r="B54" s="3"/>
      <c r="C54" s="3"/>
      <c r="D54" s="3"/>
      <c r="E54" s="3"/>
      <c r="F54" s="3"/>
      <c r="G54" s="3"/>
      <c r="H54" s="3"/>
      <c r="I54" s="3"/>
      <c r="J54" s="3"/>
    </row>
    <row r="55">
      <c r="B55" s="3"/>
      <c r="C55" s="3"/>
      <c r="D55" s="3"/>
      <c r="E55" s="3"/>
      <c r="F55" s="3"/>
      <c r="G55" s="3"/>
      <c r="H55" s="3"/>
      <c r="I55" s="3"/>
      <c r="J55" s="3"/>
    </row>
    <row r="56">
      <c r="B56" s="3"/>
      <c r="C56" s="3"/>
      <c r="D56" s="3"/>
      <c r="E56" s="3"/>
      <c r="F56" s="3"/>
      <c r="G56" s="3"/>
      <c r="H56" s="3"/>
      <c r="I56" s="3"/>
      <c r="J56" s="3"/>
    </row>
    <row r="57">
      <c r="B57" s="3"/>
      <c r="C57" s="3"/>
      <c r="D57" s="3"/>
      <c r="E57" s="3"/>
      <c r="F57" s="3"/>
      <c r="G57" s="3"/>
      <c r="H57" s="3"/>
      <c r="I57" s="3"/>
      <c r="J57" s="3"/>
    </row>
    <row r="58">
      <c r="B58" s="3"/>
      <c r="C58" s="3"/>
      <c r="D58" s="3"/>
      <c r="E58" s="3"/>
      <c r="F58" s="3"/>
      <c r="G58" s="3"/>
      <c r="H58" s="3"/>
      <c r="I58" s="3"/>
      <c r="J58" s="3"/>
    </row>
    <row r="59">
      <c r="B59" s="3"/>
      <c r="C59" s="3"/>
      <c r="D59" s="3"/>
      <c r="E59" s="3"/>
      <c r="F59" s="3"/>
      <c r="G59" s="3"/>
      <c r="H59" s="3"/>
      <c r="I59" s="3"/>
      <c r="J5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
      <c r="C1" s="5" t="s">
        <v>2</v>
      </c>
      <c r="D1" s="6" t="s">
        <v>4</v>
      </c>
      <c r="F1" s="5"/>
      <c r="J1" s="8">
        <v>46235.0</v>
      </c>
      <c r="Z1" s="10" t="s">
        <v>9</v>
      </c>
    </row>
    <row r="2" ht="15.75" customHeight="1">
      <c r="D2" s="11" t="s">
        <v>14</v>
      </c>
      <c r="E2" s="5">
        <f t="shared" ref="E2:H2" si="1">SUM(E4:E267)</f>
        <v>21923</v>
      </c>
      <c r="F2" s="5">
        <f t="shared" si="1"/>
        <v>15060</v>
      </c>
      <c r="G2" s="5">
        <f t="shared" si="1"/>
        <v>812</v>
      </c>
      <c r="H2" s="5">
        <f t="shared" si="1"/>
        <v>1478</v>
      </c>
      <c r="J2" s="12" t="s">
        <v>16</v>
      </c>
      <c r="O2" s="13" t="s">
        <v>18</v>
      </c>
      <c r="Q2" s="13" t="s">
        <v>19</v>
      </c>
      <c r="S2" s="14" t="s">
        <v>20</v>
      </c>
      <c r="Z2" s="20" t="s">
        <v>25</v>
      </c>
      <c r="AA2" s="20" t="s">
        <v>37</v>
      </c>
      <c r="AF2" s="21"/>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3">
        <f t="shared" ref="Z3:AA3" si="2">V3/4</f>
        <v>0</v>
      </c>
      <c r="AA3" s="23">
        <f t="shared" si="2"/>
        <v>0</v>
      </c>
    </row>
    <row r="4" ht="15.75" customHeight="1">
      <c r="A4" s="22" t="str">
        <f t="shared" ref="A4:A272" si="4">TEXT(C4,"dddd")</f>
        <v>sábado</v>
      </c>
      <c r="B4" s="24" t="str">
        <f t="shared" ref="B4:B272" si="5">TEXT(C4,"mmmm")</f>
        <v>agosto</v>
      </c>
      <c r="C4" s="25">
        <v>46235.0</v>
      </c>
      <c r="D4" s="26" t="s">
        <v>40</v>
      </c>
      <c r="E4" s="27">
        <v>57.0</v>
      </c>
      <c r="F4" s="27">
        <v>33.0</v>
      </c>
      <c r="G4" s="27">
        <v>6.0</v>
      </c>
      <c r="H4" s="27">
        <v>3.0</v>
      </c>
      <c r="J4" s="28" t="s">
        <v>39</v>
      </c>
      <c r="K4" s="23">
        <f t="shared" ref="K4:K17" si="6">AVERAGEIF($D$4:$D$350,J4,$E$4:$E$350)</f>
        <v>80.27272727</v>
      </c>
      <c r="L4" s="23">
        <f t="shared" ref="L4:L17" si="7">AVERAGEIF($D$4:$D$350,J4,$F$4:$F$350)</f>
        <v>57.72727273</v>
      </c>
      <c r="M4" s="23">
        <f t="shared" ref="M4:M17" si="8">AVERAGEIF($D$4:$D$350,J4,$G$4:$G$350)</f>
        <v>0.3636363636</v>
      </c>
      <c r="N4" s="23">
        <f t="shared" ref="N4:N17" si="9">AVERAGEIF($D$4:$D$350,J4,$H$4:$H$350)</f>
        <v>5.181818182</v>
      </c>
      <c r="O4" s="29">
        <f t="shared" ref="O4:O6" si="10">K4/S4</f>
        <v>10.03409091</v>
      </c>
      <c r="P4" s="29">
        <f t="shared" ref="P4:P6" si="11">L4/S4</f>
        <v>7.215909091</v>
      </c>
      <c r="Q4" s="23">
        <f t="shared" ref="Q4:Q6" si="12">K4*T4</f>
        <v>401.3636364</v>
      </c>
      <c r="R4" s="23">
        <f t="shared" ref="R4:R6" si="13">L4*T4</f>
        <v>288.6363636</v>
      </c>
      <c r="S4" s="30">
        <v>8.0</v>
      </c>
      <c r="T4" s="30">
        <v>5.0</v>
      </c>
      <c r="Z4" s="23">
        <f t="shared" ref="Z4:AA4" si="3">V4/4</f>
        <v>0</v>
      </c>
      <c r="AA4" s="23">
        <f t="shared" si="3"/>
        <v>0</v>
      </c>
      <c r="AB4" s="23"/>
    </row>
    <row r="5" ht="15.75" customHeight="1">
      <c r="A5" s="22" t="str">
        <f t="shared" si="4"/>
        <v>sábado</v>
      </c>
      <c r="B5" s="24" t="str">
        <f t="shared" si="5"/>
        <v>agosto</v>
      </c>
      <c r="C5" s="25">
        <v>46235.0</v>
      </c>
      <c r="D5" s="22" t="s">
        <v>43</v>
      </c>
      <c r="E5" s="27">
        <v>59.0</v>
      </c>
      <c r="F5" s="27">
        <v>28.0</v>
      </c>
      <c r="G5" s="27">
        <v>6.0</v>
      </c>
      <c r="H5" s="27">
        <v>4.0</v>
      </c>
      <c r="J5" s="28" t="s">
        <v>40</v>
      </c>
      <c r="K5" s="23">
        <f t="shared" si="6"/>
        <v>70</v>
      </c>
      <c r="L5" s="23">
        <f t="shared" si="7"/>
        <v>32.16666667</v>
      </c>
      <c r="M5" s="23">
        <f t="shared" si="8"/>
        <v>4.055555556</v>
      </c>
      <c r="N5" s="23">
        <f t="shared" si="9"/>
        <v>7.722222222</v>
      </c>
      <c r="O5" s="29">
        <f t="shared" si="10"/>
        <v>7</v>
      </c>
      <c r="P5" s="29">
        <f t="shared" si="11"/>
        <v>3.216666667</v>
      </c>
      <c r="Q5" s="23">
        <f t="shared" si="12"/>
        <v>280</v>
      </c>
      <c r="R5" s="23">
        <f t="shared" si="13"/>
        <v>128.6666667</v>
      </c>
      <c r="S5" s="30">
        <v>10.0</v>
      </c>
      <c r="T5" s="30">
        <v>4.0</v>
      </c>
      <c r="Z5" s="23">
        <f t="shared" ref="Z5:AA5" si="14">V5/4</f>
        <v>0</v>
      </c>
      <c r="AA5" s="23">
        <f t="shared" si="14"/>
        <v>0</v>
      </c>
      <c r="AB5" s="23"/>
    </row>
    <row r="6" ht="15.75" customHeight="1">
      <c r="A6" s="22" t="str">
        <f t="shared" si="4"/>
        <v>sábado</v>
      </c>
      <c r="B6" s="24" t="str">
        <f t="shared" si="5"/>
        <v>agosto</v>
      </c>
      <c r="C6" s="25">
        <v>46235.0</v>
      </c>
      <c r="D6" s="22" t="s">
        <v>46</v>
      </c>
      <c r="E6" s="27">
        <v>80.0</v>
      </c>
      <c r="F6" s="27">
        <v>52.0</v>
      </c>
      <c r="G6" s="27">
        <v>2.0</v>
      </c>
      <c r="H6" s="27">
        <v>2.0</v>
      </c>
      <c r="J6" s="28" t="s">
        <v>44</v>
      </c>
      <c r="K6" s="23">
        <f t="shared" si="6"/>
        <v>57.2</v>
      </c>
      <c r="L6" s="23">
        <f t="shared" si="7"/>
        <v>55.2</v>
      </c>
      <c r="M6" s="23">
        <f t="shared" si="8"/>
        <v>0</v>
      </c>
      <c r="N6" s="23">
        <f t="shared" si="9"/>
        <v>0</v>
      </c>
      <c r="O6" s="29">
        <f t="shared" si="10"/>
        <v>5.2</v>
      </c>
      <c r="P6" s="29">
        <f t="shared" si="11"/>
        <v>5.018181818</v>
      </c>
      <c r="Q6" s="23">
        <f t="shared" si="12"/>
        <v>228.8</v>
      </c>
      <c r="R6" s="23">
        <f t="shared" si="13"/>
        <v>220.8</v>
      </c>
      <c r="S6" s="30">
        <v>11.0</v>
      </c>
      <c r="T6" s="30">
        <v>4.0</v>
      </c>
      <c r="Z6" s="23">
        <f t="shared" ref="Z6:AA6" si="15">V6/4</f>
        <v>0</v>
      </c>
      <c r="AA6" s="23">
        <f t="shared" si="15"/>
        <v>0</v>
      </c>
      <c r="AB6" s="23"/>
    </row>
    <row r="7" ht="15.75" customHeight="1">
      <c r="A7" s="22" t="str">
        <f t="shared" si="4"/>
        <v>sábado</v>
      </c>
      <c r="B7" s="24" t="str">
        <f t="shared" si="5"/>
        <v>agosto</v>
      </c>
      <c r="C7" s="25">
        <v>46235.0</v>
      </c>
      <c r="D7" s="26" t="s">
        <v>53</v>
      </c>
      <c r="E7" s="27">
        <v>105.0</v>
      </c>
      <c r="F7" s="27">
        <v>71.0</v>
      </c>
      <c r="G7" s="27">
        <v>4.0</v>
      </c>
      <c r="H7" s="27">
        <v>11.0</v>
      </c>
      <c r="J7" s="28" t="s">
        <v>52</v>
      </c>
      <c r="K7" s="23">
        <f t="shared" si="6"/>
        <v>53.52941176</v>
      </c>
      <c r="L7" s="23">
        <f t="shared" si="7"/>
        <v>40.17647059</v>
      </c>
      <c r="M7" s="23">
        <f t="shared" si="8"/>
        <v>3.411764706</v>
      </c>
      <c r="N7" s="23">
        <f t="shared" si="9"/>
        <v>3.117647059</v>
      </c>
      <c r="O7" s="29">
        <f t="shared" ref="O7:O17" si="17">K7/S8</f>
        <v>5.352941176</v>
      </c>
      <c r="P7" s="29">
        <f t="shared" ref="P7:P17" si="18">L7/S8</f>
        <v>4.017647059</v>
      </c>
      <c r="Q7" s="23">
        <f t="shared" ref="Q7:Q17" si="19">K7*T8</f>
        <v>214.1176471</v>
      </c>
      <c r="R7" s="23">
        <f t="shared" ref="R7:R17" si="20">L7*T8</f>
        <v>160.7058824</v>
      </c>
      <c r="S7" s="30">
        <v>11.0</v>
      </c>
      <c r="T7" s="30">
        <v>4.0</v>
      </c>
      <c r="Z7" s="23">
        <f t="shared" ref="Z7:AA7" si="16">V7/4</f>
        <v>0</v>
      </c>
      <c r="AA7" s="23">
        <f t="shared" si="16"/>
        <v>0</v>
      </c>
      <c r="AB7" s="23"/>
    </row>
    <row r="8" ht="15.75" customHeight="1">
      <c r="A8" s="22" t="str">
        <f t="shared" si="4"/>
        <v>sábado</v>
      </c>
      <c r="B8" s="24" t="str">
        <f t="shared" si="5"/>
        <v>agosto</v>
      </c>
      <c r="C8" s="25">
        <v>46235.0</v>
      </c>
      <c r="D8" s="26" t="s">
        <v>60</v>
      </c>
      <c r="E8" s="27">
        <v>171.0</v>
      </c>
      <c r="F8" s="27">
        <v>111.0</v>
      </c>
      <c r="G8" s="27">
        <v>5.0</v>
      </c>
      <c r="H8" s="27">
        <v>0.0</v>
      </c>
      <c r="J8" s="28" t="s">
        <v>53</v>
      </c>
      <c r="K8" s="23">
        <f t="shared" si="6"/>
        <v>78.76470588</v>
      </c>
      <c r="L8" s="23">
        <f t="shared" si="7"/>
        <v>49.64705882</v>
      </c>
      <c r="M8" s="23">
        <f t="shared" si="8"/>
        <v>3.294117647</v>
      </c>
      <c r="N8" s="23">
        <f t="shared" si="9"/>
        <v>2.176470588</v>
      </c>
      <c r="O8" s="29">
        <f t="shared" si="17"/>
        <v>7.876470588</v>
      </c>
      <c r="P8" s="29">
        <f t="shared" si="18"/>
        <v>4.964705882</v>
      </c>
      <c r="Q8" s="23">
        <f t="shared" si="19"/>
        <v>315.0588235</v>
      </c>
      <c r="R8" s="23">
        <f t="shared" si="20"/>
        <v>198.5882353</v>
      </c>
      <c r="S8" s="30">
        <v>10.0</v>
      </c>
      <c r="T8" s="30">
        <v>4.0</v>
      </c>
      <c r="Z8" s="23">
        <f t="shared" ref="Z8:AA8" si="21">V8/4</f>
        <v>0</v>
      </c>
      <c r="AA8" s="23">
        <f t="shared" si="21"/>
        <v>0</v>
      </c>
      <c r="AB8" s="23"/>
    </row>
    <row r="9" ht="15.75" customHeight="1">
      <c r="A9" s="22" t="str">
        <f t="shared" si="4"/>
        <v>domingo</v>
      </c>
      <c r="B9" s="24" t="str">
        <f t="shared" si="5"/>
        <v>agosto</v>
      </c>
      <c r="C9" s="25">
        <v>46236.0</v>
      </c>
      <c r="D9" s="26" t="s">
        <v>39</v>
      </c>
      <c r="E9" s="27">
        <v>126.0</v>
      </c>
      <c r="F9" s="27">
        <v>84.0</v>
      </c>
      <c r="G9" s="27">
        <v>3.0</v>
      </c>
      <c r="H9" s="27">
        <v>9.0</v>
      </c>
      <c r="J9" s="28" t="s">
        <v>60</v>
      </c>
      <c r="K9" s="23">
        <f t="shared" si="6"/>
        <v>143.7142857</v>
      </c>
      <c r="L9" s="23">
        <f t="shared" si="7"/>
        <v>104.4285714</v>
      </c>
      <c r="M9" s="23">
        <f t="shared" si="8"/>
        <v>5.5</v>
      </c>
      <c r="N9" s="23">
        <f t="shared" si="9"/>
        <v>3.5</v>
      </c>
      <c r="O9" s="29">
        <f t="shared" si="17"/>
        <v>14.37142857</v>
      </c>
      <c r="P9" s="29">
        <f t="shared" si="18"/>
        <v>10.44285714</v>
      </c>
      <c r="Q9" s="23">
        <f t="shared" si="19"/>
        <v>574.8571429</v>
      </c>
      <c r="R9" s="23">
        <f t="shared" si="20"/>
        <v>417.7142857</v>
      </c>
      <c r="S9" s="30">
        <v>10.0</v>
      </c>
      <c r="T9" s="30">
        <v>4.0</v>
      </c>
      <c r="Z9" s="23">
        <f t="shared" ref="Z9:AA9" si="22">V9/4</f>
        <v>0</v>
      </c>
      <c r="AA9" s="23">
        <f t="shared" si="22"/>
        <v>0</v>
      </c>
      <c r="AB9" s="23"/>
    </row>
    <row r="10" ht="15.75" customHeight="1">
      <c r="A10" s="22" t="str">
        <f t="shared" si="4"/>
        <v>domingo</v>
      </c>
      <c r="B10" s="24" t="str">
        <f t="shared" si="5"/>
        <v>agosto</v>
      </c>
      <c r="C10" s="25">
        <v>46236.0</v>
      </c>
      <c r="D10" s="26" t="s">
        <v>40</v>
      </c>
      <c r="E10" s="27">
        <v>73.0</v>
      </c>
      <c r="F10" s="27">
        <v>34.0</v>
      </c>
      <c r="G10" s="27">
        <v>5.0</v>
      </c>
      <c r="H10" s="27">
        <v>5.0</v>
      </c>
      <c r="J10" s="28" t="s">
        <v>41</v>
      </c>
      <c r="K10" s="23">
        <f t="shared" si="6"/>
        <v>78.17647059</v>
      </c>
      <c r="L10" s="23">
        <f t="shared" si="7"/>
        <v>56.82352941</v>
      </c>
      <c r="M10" s="23">
        <f t="shared" si="8"/>
        <v>1.352941176</v>
      </c>
      <c r="N10" s="23">
        <f t="shared" si="9"/>
        <v>4.588235294</v>
      </c>
      <c r="O10" s="29">
        <f t="shared" si="17"/>
        <v>7.106951872</v>
      </c>
      <c r="P10" s="29">
        <f t="shared" si="18"/>
        <v>5.165775401</v>
      </c>
      <c r="Q10" s="23">
        <f t="shared" si="19"/>
        <v>312.7058824</v>
      </c>
      <c r="R10" s="23">
        <f t="shared" si="20"/>
        <v>227.2941176</v>
      </c>
      <c r="S10" s="30">
        <v>10.0</v>
      </c>
      <c r="T10" s="30">
        <v>4.0</v>
      </c>
      <c r="Z10" s="23">
        <f t="shared" ref="Z10:AA10" si="23">V10/4</f>
        <v>0</v>
      </c>
      <c r="AA10" s="23">
        <f t="shared" si="23"/>
        <v>0</v>
      </c>
      <c r="AB10" s="23"/>
    </row>
    <row r="11" ht="15.75" customHeight="1">
      <c r="A11" s="22" t="str">
        <f t="shared" si="4"/>
        <v>domingo</v>
      </c>
      <c r="B11" s="24" t="str">
        <f t="shared" si="5"/>
        <v>agosto</v>
      </c>
      <c r="C11" s="25">
        <v>46236.0</v>
      </c>
      <c r="D11" s="22" t="s">
        <v>43</v>
      </c>
      <c r="E11" s="27">
        <v>77.0</v>
      </c>
      <c r="F11" s="27">
        <v>24.0</v>
      </c>
      <c r="G11" s="27">
        <v>4.0</v>
      </c>
      <c r="H11" s="27">
        <v>12.0</v>
      </c>
      <c r="J11" s="28" t="s">
        <v>42</v>
      </c>
      <c r="K11" s="23">
        <f t="shared" si="6"/>
        <v>88.41176471</v>
      </c>
      <c r="L11" s="23">
        <f t="shared" si="7"/>
        <v>59.82352941</v>
      </c>
      <c r="M11" s="23">
        <f t="shared" si="8"/>
        <v>2.705882353</v>
      </c>
      <c r="N11" s="23">
        <f t="shared" si="9"/>
        <v>13.23529412</v>
      </c>
      <c r="O11" s="29">
        <f t="shared" si="17"/>
        <v>8.841176471</v>
      </c>
      <c r="P11" s="29">
        <f t="shared" si="18"/>
        <v>5.982352941</v>
      </c>
      <c r="Q11" s="23">
        <f t="shared" si="19"/>
        <v>353.6470588</v>
      </c>
      <c r="R11" s="23">
        <f t="shared" si="20"/>
        <v>239.2941176</v>
      </c>
      <c r="S11" s="30">
        <v>11.0</v>
      </c>
      <c r="T11" s="30">
        <v>4.0</v>
      </c>
      <c r="Z11" s="23">
        <f t="shared" ref="Z11:AA11" si="24">V11/4</f>
        <v>0</v>
      </c>
      <c r="AA11" s="23">
        <f t="shared" si="24"/>
        <v>0</v>
      </c>
      <c r="AB11" s="23"/>
    </row>
    <row r="12" ht="15.75" customHeight="1">
      <c r="A12" s="22" t="str">
        <f t="shared" si="4"/>
        <v>domingo</v>
      </c>
      <c r="B12" s="24" t="str">
        <f t="shared" si="5"/>
        <v>agosto</v>
      </c>
      <c r="C12" s="25">
        <v>46236.0</v>
      </c>
      <c r="D12" s="22" t="s">
        <v>46</v>
      </c>
      <c r="E12" s="27">
        <v>91.0</v>
      </c>
      <c r="F12" s="27">
        <v>42.0</v>
      </c>
      <c r="G12" s="27">
        <v>3.0</v>
      </c>
      <c r="H12" s="27">
        <v>10.0</v>
      </c>
      <c r="J12" s="28" t="s">
        <v>67</v>
      </c>
      <c r="K12" s="23">
        <f t="shared" si="6"/>
        <v>57.23076923</v>
      </c>
      <c r="L12" s="23">
        <f t="shared" si="7"/>
        <v>45.84615385</v>
      </c>
      <c r="M12" s="23">
        <f t="shared" si="8"/>
        <v>3.076923077</v>
      </c>
      <c r="N12" s="23">
        <f t="shared" si="9"/>
        <v>2.076923077</v>
      </c>
      <c r="O12" s="29">
        <f t="shared" si="17"/>
        <v>5.723076923</v>
      </c>
      <c r="P12" s="29">
        <f t="shared" si="18"/>
        <v>4.584615385</v>
      </c>
      <c r="Q12" s="23">
        <f t="shared" si="19"/>
        <v>228.9230769</v>
      </c>
      <c r="R12" s="23">
        <f t="shared" si="20"/>
        <v>183.3846154</v>
      </c>
      <c r="S12" s="30">
        <v>10.0</v>
      </c>
      <c r="T12" s="30">
        <v>4.0</v>
      </c>
      <c r="Z12" s="23">
        <f t="shared" ref="Z12:AA12" si="25">V12/4</f>
        <v>0</v>
      </c>
      <c r="AA12" s="23">
        <f t="shared" si="25"/>
        <v>0</v>
      </c>
      <c r="AB12" s="23"/>
    </row>
    <row r="13" ht="15.75" customHeight="1">
      <c r="A13" s="22" t="str">
        <f t="shared" si="4"/>
        <v>domingo</v>
      </c>
      <c r="B13" s="24" t="str">
        <f t="shared" si="5"/>
        <v>agosto</v>
      </c>
      <c r="C13" s="25">
        <v>46236.0</v>
      </c>
      <c r="D13" s="26" t="s">
        <v>52</v>
      </c>
      <c r="E13" s="27">
        <v>55.0</v>
      </c>
      <c r="F13" s="27">
        <v>39.0</v>
      </c>
      <c r="G13" s="27">
        <v>2.0</v>
      </c>
      <c r="H13" s="27">
        <v>0.0</v>
      </c>
      <c r="J13" s="28" t="s">
        <v>58</v>
      </c>
      <c r="K13" s="23">
        <f t="shared" si="6"/>
        <v>58.73684211</v>
      </c>
      <c r="L13" s="23">
        <f t="shared" si="7"/>
        <v>36.68421053</v>
      </c>
      <c r="M13" s="23">
        <f t="shared" si="8"/>
        <v>2.526315789</v>
      </c>
      <c r="N13" s="23">
        <f t="shared" si="9"/>
        <v>4</v>
      </c>
      <c r="O13" s="29">
        <f t="shared" si="17"/>
        <v>7.342105263</v>
      </c>
      <c r="P13" s="29">
        <f t="shared" si="18"/>
        <v>4.585526316</v>
      </c>
      <c r="Q13" s="23">
        <f t="shared" si="19"/>
        <v>293.6842105</v>
      </c>
      <c r="R13" s="23">
        <f t="shared" si="20"/>
        <v>183.4210526</v>
      </c>
      <c r="S13" s="30">
        <v>10.0</v>
      </c>
      <c r="T13" s="30">
        <v>4.0</v>
      </c>
      <c r="Z13" s="23">
        <f t="shared" ref="Z13:AA13" si="26">V13/4</f>
        <v>0</v>
      </c>
      <c r="AA13" s="23">
        <f t="shared" si="26"/>
        <v>0</v>
      </c>
      <c r="AB13" s="23"/>
    </row>
    <row r="14" ht="15.75" customHeight="1">
      <c r="A14" s="22" t="str">
        <f t="shared" si="4"/>
        <v>domingo</v>
      </c>
      <c r="B14" s="24" t="str">
        <f t="shared" si="5"/>
        <v>agosto</v>
      </c>
      <c r="C14" s="25">
        <v>46236.0</v>
      </c>
      <c r="D14" s="26" t="s">
        <v>53</v>
      </c>
      <c r="E14" s="27">
        <v>108.0</v>
      </c>
      <c r="F14" s="27">
        <v>60.0</v>
      </c>
      <c r="G14" s="27">
        <v>0.0</v>
      </c>
      <c r="H14" s="27">
        <v>0.0</v>
      </c>
      <c r="J14" s="28" t="s">
        <v>64</v>
      </c>
      <c r="K14" s="23">
        <f t="shared" si="6"/>
        <v>113.8947368</v>
      </c>
      <c r="L14" s="23">
        <f t="shared" si="7"/>
        <v>68.10526316</v>
      </c>
      <c r="M14" s="23">
        <f t="shared" si="8"/>
        <v>6</v>
      </c>
      <c r="N14" s="23">
        <f t="shared" si="9"/>
        <v>7.105263158</v>
      </c>
      <c r="O14" s="29">
        <f t="shared" si="17"/>
        <v>14.23684211</v>
      </c>
      <c r="P14" s="29">
        <f t="shared" si="18"/>
        <v>8.513157895</v>
      </c>
      <c r="Q14" s="23">
        <f t="shared" si="19"/>
        <v>569.4736842</v>
      </c>
      <c r="R14" s="23">
        <f t="shared" si="20"/>
        <v>340.5263158</v>
      </c>
      <c r="S14" s="30">
        <v>8.0</v>
      </c>
      <c r="T14" s="30">
        <v>5.0</v>
      </c>
      <c r="Z14" s="23">
        <f t="shared" ref="Z14:AA14" si="27">V14/4</f>
        <v>0</v>
      </c>
      <c r="AA14" s="23">
        <f t="shared" si="27"/>
        <v>0</v>
      </c>
      <c r="AB14" s="23"/>
    </row>
    <row r="15" ht="15.75" customHeight="1">
      <c r="A15" s="22" t="str">
        <f t="shared" si="4"/>
        <v>domingo</v>
      </c>
      <c r="B15" s="24" t="str">
        <f t="shared" si="5"/>
        <v>agosto</v>
      </c>
      <c r="C15" s="25">
        <v>46236.0</v>
      </c>
      <c r="D15" s="26" t="s">
        <v>60</v>
      </c>
      <c r="E15" s="27">
        <v>166.0</v>
      </c>
      <c r="F15" s="27">
        <v>96.0</v>
      </c>
      <c r="G15" s="27">
        <v>2.0</v>
      </c>
      <c r="H15" s="27">
        <v>2.0</v>
      </c>
      <c r="J15" s="28" t="s">
        <v>65</v>
      </c>
      <c r="K15" s="23">
        <f t="shared" si="6"/>
        <v>65.71428571</v>
      </c>
      <c r="L15" s="23">
        <f t="shared" si="7"/>
        <v>54.23809524</v>
      </c>
      <c r="M15" s="23">
        <f t="shared" si="8"/>
        <v>5.142857143</v>
      </c>
      <c r="N15" s="23">
        <f t="shared" si="9"/>
        <v>2.714285714</v>
      </c>
      <c r="O15" s="29">
        <f t="shared" si="17"/>
        <v>8.214285714</v>
      </c>
      <c r="P15" s="29">
        <f t="shared" si="18"/>
        <v>6.779761905</v>
      </c>
      <c r="Q15" s="23">
        <f t="shared" si="19"/>
        <v>328.5714286</v>
      </c>
      <c r="R15" s="23">
        <f t="shared" si="20"/>
        <v>271.1904762</v>
      </c>
      <c r="S15" s="30">
        <v>8.0</v>
      </c>
      <c r="T15" s="30">
        <v>5.0</v>
      </c>
      <c r="Z15" s="23">
        <f t="shared" ref="Z15:AA15" si="28">V15/4</f>
        <v>0</v>
      </c>
      <c r="AA15" s="23">
        <f t="shared" si="28"/>
        <v>0</v>
      </c>
      <c r="AB15" s="23"/>
    </row>
    <row r="16" ht="15.75" customHeight="1">
      <c r="A16" s="22" t="str">
        <f t="shared" si="4"/>
        <v>lunes</v>
      </c>
      <c r="B16" s="24" t="str">
        <f t="shared" si="5"/>
        <v>agosto</v>
      </c>
      <c r="C16" s="25">
        <v>46237.0</v>
      </c>
      <c r="D16" s="26" t="s">
        <v>39</v>
      </c>
      <c r="E16" s="27">
        <v>82.0</v>
      </c>
      <c r="F16" s="27">
        <v>65.0</v>
      </c>
      <c r="G16" s="27">
        <v>0.0</v>
      </c>
      <c r="H16" s="27">
        <v>8.0</v>
      </c>
      <c r="J16" s="28" t="s">
        <v>51</v>
      </c>
      <c r="K16" s="23">
        <f t="shared" si="6"/>
        <v>95.4</v>
      </c>
      <c r="L16" s="23">
        <f t="shared" si="7"/>
        <v>78.33333333</v>
      </c>
      <c r="M16" s="23">
        <f t="shared" si="8"/>
        <v>2.933333333</v>
      </c>
      <c r="N16" s="23">
        <f t="shared" si="9"/>
        <v>15.06666667</v>
      </c>
      <c r="O16" s="29">
        <f t="shared" si="17"/>
        <v>8.672727273</v>
      </c>
      <c r="P16" s="29">
        <f t="shared" si="18"/>
        <v>7.121212121</v>
      </c>
      <c r="Q16" s="23">
        <f t="shared" si="19"/>
        <v>381.6</v>
      </c>
      <c r="R16" s="23">
        <f t="shared" si="20"/>
        <v>313.3333333</v>
      </c>
      <c r="S16" s="30">
        <v>8.0</v>
      </c>
      <c r="T16" s="30">
        <v>5.0</v>
      </c>
      <c r="Z16" s="23">
        <f t="shared" ref="Z16:AA16" si="29">V16/4</f>
        <v>0</v>
      </c>
      <c r="AA16" s="23">
        <f t="shared" si="29"/>
        <v>0</v>
      </c>
      <c r="AB16" s="23"/>
    </row>
    <row r="17" ht="15.75" customHeight="1">
      <c r="A17" s="22" t="str">
        <f t="shared" si="4"/>
        <v>lunes</v>
      </c>
      <c r="B17" s="24" t="str">
        <f t="shared" si="5"/>
        <v>agosto</v>
      </c>
      <c r="C17" s="25">
        <v>46237.0</v>
      </c>
      <c r="D17" s="26" t="s">
        <v>41</v>
      </c>
      <c r="E17" s="27">
        <v>80.0</v>
      </c>
      <c r="F17" s="27">
        <v>52.0</v>
      </c>
      <c r="G17" s="27">
        <v>1.0</v>
      </c>
      <c r="H17" s="27">
        <v>5.0</v>
      </c>
      <c r="J17" s="28" t="s">
        <v>66</v>
      </c>
      <c r="K17" s="23">
        <f t="shared" si="6"/>
        <v>106.6666667</v>
      </c>
      <c r="L17" s="23">
        <f t="shared" si="7"/>
        <v>92.33333333</v>
      </c>
      <c r="M17" s="23">
        <f t="shared" si="8"/>
        <v>0.380952381</v>
      </c>
      <c r="N17" s="23">
        <f t="shared" si="9"/>
        <v>2.904761905</v>
      </c>
      <c r="O17" s="29">
        <f t="shared" si="17"/>
        <v>13.33333333</v>
      </c>
      <c r="P17" s="29">
        <f t="shared" si="18"/>
        <v>11.54166667</v>
      </c>
      <c r="Q17" s="23">
        <f t="shared" si="19"/>
        <v>533.3333333</v>
      </c>
      <c r="R17" s="23">
        <f t="shared" si="20"/>
        <v>461.6666667</v>
      </c>
      <c r="S17" s="30">
        <v>11.0</v>
      </c>
      <c r="T17" s="30">
        <v>4.0</v>
      </c>
      <c r="Z17" s="23">
        <f t="shared" ref="Z17:AA17" si="30">V17/4</f>
        <v>0</v>
      </c>
      <c r="AA17" s="23">
        <f t="shared" si="30"/>
        <v>0</v>
      </c>
      <c r="AB17" s="23"/>
      <c r="AC17" s="23"/>
      <c r="AD17" s="23"/>
      <c r="AE17" s="23"/>
      <c r="AF17" s="23"/>
      <c r="AG17" s="23"/>
    </row>
    <row r="18" ht="15.75" customHeight="1">
      <c r="A18" s="22" t="str">
        <f t="shared" si="4"/>
        <v>lunes</v>
      </c>
      <c r="B18" s="24" t="str">
        <f t="shared" si="5"/>
        <v>agosto</v>
      </c>
      <c r="C18" s="25">
        <v>46237.0</v>
      </c>
      <c r="D18" s="26" t="s">
        <v>42</v>
      </c>
      <c r="E18" s="27">
        <v>80.0</v>
      </c>
      <c r="F18" s="27">
        <v>50.0</v>
      </c>
      <c r="G18" s="27">
        <v>4.0</v>
      </c>
      <c r="H18" s="27">
        <v>10.0</v>
      </c>
      <c r="S18" s="30">
        <v>8.0</v>
      </c>
      <c r="T18" s="30">
        <v>5.0</v>
      </c>
      <c r="AA18" s="23"/>
      <c r="AB18" s="23"/>
      <c r="AC18" s="23"/>
      <c r="AD18" s="23"/>
      <c r="AE18" s="23"/>
      <c r="AF18" s="23"/>
      <c r="AG18" s="23"/>
    </row>
    <row r="19" ht="15.75" customHeight="1">
      <c r="A19" s="22" t="str">
        <f t="shared" si="4"/>
        <v>lunes</v>
      </c>
      <c r="B19" s="24" t="str">
        <f t="shared" si="5"/>
        <v>agosto</v>
      </c>
      <c r="C19" s="25">
        <v>46237.0</v>
      </c>
      <c r="D19" s="26" t="s">
        <v>44</v>
      </c>
      <c r="E19" s="27">
        <v>63.0</v>
      </c>
      <c r="F19" s="27">
        <v>57.0</v>
      </c>
      <c r="G19" s="27">
        <v>0.0</v>
      </c>
      <c r="H19" s="27">
        <v>0.0</v>
      </c>
      <c r="J19" s="5" t="s">
        <v>70</v>
      </c>
      <c r="K19" s="41" t="s">
        <v>71</v>
      </c>
      <c r="Y19" s="23"/>
      <c r="AO19" s="38"/>
    </row>
    <row r="20" ht="15.75" customHeight="1">
      <c r="A20" s="22" t="str">
        <f t="shared" si="4"/>
        <v>lunes</v>
      </c>
      <c r="B20" s="24" t="str">
        <f t="shared" si="5"/>
        <v>agosto</v>
      </c>
      <c r="C20" s="25">
        <v>46237.0</v>
      </c>
      <c r="D20" s="22" t="s">
        <v>46</v>
      </c>
      <c r="E20" s="27">
        <v>102.0</v>
      </c>
      <c r="F20" s="27">
        <v>60.0</v>
      </c>
      <c r="G20" s="27">
        <v>1.0</v>
      </c>
      <c r="H20" s="27">
        <v>6.0</v>
      </c>
      <c r="J20" s="39" t="s">
        <v>69</v>
      </c>
      <c r="K20" s="40">
        <f t="shared" ref="K20:R20" si="31">AVERAGE(K4:K17)</f>
        <v>81.97947618</v>
      </c>
      <c r="L20" s="40">
        <f t="shared" si="31"/>
        <v>59.39524918</v>
      </c>
      <c r="M20" s="40">
        <f t="shared" si="31"/>
        <v>2.91030568</v>
      </c>
      <c r="N20" s="40">
        <f t="shared" si="31"/>
        <v>5.242113427</v>
      </c>
      <c r="O20" s="39">
        <f t="shared" si="31"/>
        <v>8.807530729</v>
      </c>
      <c r="P20" s="39">
        <f t="shared" si="31"/>
        <v>6.367859735</v>
      </c>
      <c r="Q20" s="39">
        <f t="shared" si="31"/>
        <v>358.2954232</v>
      </c>
      <c r="R20" s="39">
        <f t="shared" si="31"/>
        <v>259.6587235</v>
      </c>
      <c r="AA20" s="23"/>
      <c r="AB20" s="23"/>
      <c r="AC20" s="23"/>
      <c r="AD20" s="23"/>
      <c r="AE20" s="23"/>
      <c r="AF20" s="23"/>
      <c r="AG20" s="23"/>
      <c r="AN20" s="38"/>
      <c r="AO20" s="38"/>
    </row>
    <row r="21" ht="15.75" customHeight="1">
      <c r="A21" s="22" t="str">
        <f t="shared" si="4"/>
        <v>lunes</v>
      </c>
      <c r="B21" s="24" t="str">
        <f t="shared" si="5"/>
        <v>agosto</v>
      </c>
      <c r="C21" s="25">
        <v>46237.0</v>
      </c>
      <c r="D21" s="26" t="s">
        <v>67</v>
      </c>
      <c r="E21" s="27">
        <v>57.0</v>
      </c>
      <c r="F21" s="27">
        <v>49.0</v>
      </c>
      <c r="G21" s="27">
        <v>5.0</v>
      </c>
      <c r="H21" s="27">
        <v>1.0</v>
      </c>
      <c r="K21" s="43" t="s">
        <v>58</v>
      </c>
      <c r="L21" s="46">
        <f>SUMIF($D$4:$D$350,K21,$E$4:$E$350)</f>
        <v>1116</v>
      </c>
      <c r="Q21" s="23">
        <f>L21/T21</f>
        <v>223.2</v>
      </c>
      <c r="T21" s="5">
        <v>5.0</v>
      </c>
      <c r="AN21" s="38"/>
      <c r="AO21" s="38"/>
    </row>
    <row r="22" ht="15.75" customHeight="1">
      <c r="A22" s="22" t="str">
        <f t="shared" si="4"/>
        <v>lunes</v>
      </c>
      <c r="B22" s="24" t="str">
        <f t="shared" si="5"/>
        <v>agosto</v>
      </c>
      <c r="C22" s="25">
        <v>46237.0</v>
      </c>
      <c r="D22" s="26" t="s">
        <v>58</v>
      </c>
      <c r="E22" s="27">
        <v>66.0</v>
      </c>
      <c r="F22" s="27">
        <v>41.0</v>
      </c>
      <c r="G22" s="27">
        <v>3.0</v>
      </c>
      <c r="H22" s="27">
        <v>1.0</v>
      </c>
      <c r="J22" s="42" t="s">
        <v>73</v>
      </c>
      <c r="AN22" s="38"/>
      <c r="AO22" s="30"/>
    </row>
    <row r="23" ht="15.75" customHeight="1">
      <c r="A23" s="22" t="str">
        <f t="shared" si="4"/>
        <v>lunes</v>
      </c>
      <c r="B23" s="24" t="str">
        <f t="shared" si="5"/>
        <v>agosto</v>
      </c>
      <c r="C23" s="25">
        <v>46237.0</v>
      </c>
      <c r="D23" s="26" t="s">
        <v>64</v>
      </c>
      <c r="E23" s="27">
        <v>87.0</v>
      </c>
      <c r="F23" s="27">
        <v>44.0</v>
      </c>
      <c r="G23" s="27">
        <v>4.0</v>
      </c>
      <c r="H23" s="27">
        <v>7.0</v>
      </c>
      <c r="K23" s="44" t="s">
        <v>74</v>
      </c>
      <c r="O23" s="45" t="s">
        <v>75</v>
      </c>
      <c r="Q23" s="45" t="s">
        <v>76</v>
      </c>
      <c r="AN23" s="30"/>
      <c r="AO23" s="30"/>
    </row>
    <row r="24" ht="15.75" customHeight="1">
      <c r="A24" s="22" t="str">
        <f t="shared" si="4"/>
        <v>lunes</v>
      </c>
      <c r="B24" s="24" t="str">
        <f t="shared" si="5"/>
        <v>agosto</v>
      </c>
      <c r="C24" s="25">
        <v>46237.0</v>
      </c>
      <c r="D24" s="26" t="s">
        <v>65</v>
      </c>
      <c r="E24" s="27">
        <v>58.0</v>
      </c>
      <c r="F24" s="27">
        <v>45.0</v>
      </c>
      <c r="G24" s="27">
        <v>3.0</v>
      </c>
      <c r="H24" s="27">
        <v>0.0</v>
      </c>
      <c r="I24" s="5" t="s">
        <v>78</v>
      </c>
      <c r="K24" s="47" t="s">
        <v>25</v>
      </c>
      <c r="L24" s="47" t="s">
        <v>26</v>
      </c>
      <c r="M24" s="48" t="s">
        <v>79</v>
      </c>
      <c r="N24" s="47" t="s">
        <v>31</v>
      </c>
      <c r="O24" s="47" t="s">
        <v>25</v>
      </c>
      <c r="P24" s="47" t="s">
        <v>26</v>
      </c>
      <c r="Q24" s="47" t="s">
        <v>25</v>
      </c>
      <c r="R24" s="47" t="s">
        <v>26</v>
      </c>
      <c r="V24" s="44" t="s">
        <v>74</v>
      </c>
      <c r="Z24" s="45"/>
      <c r="AA24" s="45" t="s">
        <v>76</v>
      </c>
      <c r="AN24" s="30"/>
      <c r="AO24" s="30"/>
    </row>
    <row r="25" ht="15.75" customHeight="1">
      <c r="A25" s="22" t="str">
        <f t="shared" si="4"/>
        <v>lunes</v>
      </c>
      <c r="B25" s="24" t="str">
        <f t="shared" si="5"/>
        <v>agosto</v>
      </c>
      <c r="C25" s="25">
        <v>46237.0</v>
      </c>
      <c r="D25" s="26" t="s">
        <v>60</v>
      </c>
      <c r="E25" s="27">
        <v>115.0</v>
      </c>
      <c r="F25" s="27">
        <v>47.0</v>
      </c>
      <c r="G25" s="27">
        <v>0.0</v>
      </c>
      <c r="H25" s="27">
        <v>9.0</v>
      </c>
      <c r="I25" s="5" t="s">
        <v>80</v>
      </c>
      <c r="K25" s="49" t="s">
        <v>60</v>
      </c>
      <c r="L25" s="49" t="s">
        <v>60</v>
      </c>
      <c r="M25" s="49" t="s">
        <v>64</v>
      </c>
      <c r="N25" s="49" t="s">
        <v>51</v>
      </c>
      <c r="O25" s="49" t="s">
        <v>60</v>
      </c>
      <c r="P25" s="49" t="s">
        <v>66</v>
      </c>
      <c r="Q25" s="49" t="s">
        <v>60</v>
      </c>
      <c r="R25" s="50" t="s">
        <v>66</v>
      </c>
      <c r="V25" s="47" t="s">
        <v>25</v>
      </c>
      <c r="W25" s="47" t="s">
        <v>26</v>
      </c>
      <c r="X25" s="48" t="s">
        <v>79</v>
      </c>
      <c r="Y25" s="47" t="s">
        <v>31</v>
      </c>
      <c r="Z25" s="47"/>
      <c r="AA25" s="47" t="s">
        <v>25</v>
      </c>
      <c r="AB25" s="47" t="s">
        <v>26</v>
      </c>
      <c r="AN25" s="30"/>
      <c r="AO25" s="51"/>
    </row>
    <row r="26" ht="15.75" customHeight="1">
      <c r="A26" s="22" t="str">
        <f t="shared" si="4"/>
        <v>lunes</v>
      </c>
      <c r="B26" s="24" t="str">
        <f t="shared" si="5"/>
        <v>agosto</v>
      </c>
      <c r="C26" s="25">
        <v>46237.0</v>
      </c>
      <c r="D26" s="26" t="s">
        <v>66</v>
      </c>
      <c r="E26" s="27">
        <v>81.0</v>
      </c>
      <c r="F26" s="27">
        <v>58.0</v>
      </c>
      <c r="G26" s="27">
        <v>0.0</v>
      </c>
      <c r="H26" s="27">
        <v>6.0</v>
      </c>
      <c r="K26" s="49" t="s">
        <v>64</v>
      </c>
      <c r="L26" s="49" t="s">
        <v>66</v>
      </c>
      <c r="M26" s="49" t="s">
        <v>60</v>
      </c>
      <c r="N26" s="49" t="s">
        <v>42</v>
      </c>
      <c r="O26" s="49" t="s">
        <v>64</v>
      </c>
      <c r="P26" s="49" t="s">
        <v>60</v>
      </c>
      <c r="Q26" s="49" t="s">
        <v>64</v>
      </c>
      <c r="R26" s="50" t="s">
        <v>60</v>
      </c>
      <c r="V26" s="49" t="s">
        <v>66</v>
      </c>
      <c r="W26" s="49" t="s">
        <v>66</v>
      </c>
      <c r="X26" s="49" t="s">
        <v>64</v>
      </c>
      <c r="Y26" s="49" t="s">
        <v>51</v>
      </c>
      <c r="Z26" s="16"/>
      <c r="AA26" s="49" t="s">
        <v>66</v>
      </c>
      <c r="AB26" s="49" t="s">
        <v>66</v>
      </c>
      <c r="AC26" s="38"/>
      <c r="AN26" s="51"/>
      <c r="AO26" s="51"/>
    </row>
    <row r="27" ht="15.75" customHeight="1">
      <c r="A27" s="22" t="str">
        <f t="shared" si="4"/>
        <v>martes</v>
      </c>
      <c r="B27" s="24" t="str">
        <f t="shared" si="5"/>
        <v>agosto</v>
      </c>
      <c r="C27" s="25">
        <v>46238.0</v>
      </c>
      <c r="D27" s="26" t="s">
        <v>39</v>
      </c>
      <c r="E27" s="27">
        <v>101.0</v>
      </c>
      <c r="F27" s="27">
        <v>76.0</v>
      </c>
      <c r="G27" s="27">
        <v>0.0</v>
      </c>
      <c r="H27" s="27">
        <v>7.0</v>
      </c>
      <c r="K27" s="49" t="s">
        <v>66</v>
      </c>
      <c r="L27" s="49" t="s">
        <v>51</v>
      </c>
      <c r="M27" s="49" t="s">
        <v>65</v>
      </c>
      <c r="N27" s="49" t="s">
        <v>40</v>
      </c>
      <c r="O27" s="49" t="s">
        <v>66</v>
      </c>
      <c r="P27" s="49" t="s">
        <v>64</v>
      </c>
      <c r="Q27" s="49" t="s">
        <v>66</v>
      </c>
      <c r="R27" s="50" t="s">
        <v>64</v>
      </c>
      <c r="V27" s="49" t="s">
        <v>64</v>
      </c>
      <c r="W27" s="49" t="s">
        <v>60</v>
      </c>
      <c r="X27" s="49" t="s">
        <v>65</v>
      </c>
      <c r="Y27" s="49" t="s">
        <v>42</v>
      </c>
      <c r="Z27" s="16"/>
      <c r="AA27" s="49" t="s">
        <v>64</v>
      </c>
      <c r="AB27" s="49" t="s">
        <v>60</v>
      </c>
      <c r="AC27" s="38"/>
    </row>
    <row r="28" ht="15.75" customHeight="1">
      <c r="A28" s="22" t="str">
        <f t="shared" si="4"/>
        <v>martes</v>
      </c>
      <c r="B28" s="24" t="str">
        <f t="shared" si="5"/>
        <v>agosto</v>
      </c>
      <c r="C28" s="25">
        <v>46238.0</v>
      </c>
      <c r="D28" s="26" t="s">
        <v>41</v>
      </c>
      <c r="E28" s="27">
        <v>70.0</v>
      </c>
      <c r="F28" s="27">
        <v>54.0</v>
      </c>
      <c r="G28" s="27">
        <v>2.0</v>
      </c>
      <c r="H28" s="27">
        <v>1.0</v>
      </c>
      <c r="K28" s="49" t="s">
        <v>51</v>
      </c>
      <c r="L28" s="49" t="s">
        <v>64</v>
      </c>
      <c r="M28" s="49" t="s">
        <v>40</v>
      </c>
      <c r="N28" s="49" t="s">
        <v>64</v>
      </c>
      <c r="O28" s="49" t="s">
        <v>39</v>
      </c>
      <c r="P28" s="49" t="s">
        <v>39</v>
      </c>
      <c r="Q28" s="49" t="s">
        <v>39</v>
      </c>
      <c r="R28" s="50" t="s">
        <v>51</v>
      </c>
      <c r="V28" s="49" t="s">
        <v>60</v>
      </c>
      <c r="W28" s="49" t="s">
        <v>64</v>
      </c>
      <c r="X28" s="49" t="s">
        <v>60</v>
      </c>
      <c r="Y28" s="49" t="s">
        <v>40</v>
      </c>
      <c r="Z28" s="16"/>
      <c r="AA28" s="49" t="s">
        <v>60</v>
      </c>
      <c r="AB28" s="49" t="s">
        <v>64</v>
      </c>
      <c r="AC28" s="38"/>
    </row>
    <row r="29" ht="15.75" customHeight="1">
      <c r="A29" s="22" t="str">
        <f t="shared" si="4"/>
        <v>martes</v>
      </c>
      <c r="B29" s="24" t="str">
        <f t="shared" si="5"/>
        <v>agosto</v>
      </c>
      <c r="C29" s="25">
        <v>46238.0</v>
      </c>
      <c r="D29" s="26" t="s">
        <v>42</v>
      </c>
      <c r="E29" s="27">
        <v>98.0</v>
      </c>
      <c r="F29" s="27">
        <v>66.0</v>
      </c>
      <c r="G29" s="27">
        <v>5.0</v>
      </c>
      <c r="H29" s="27">
        <v>6.0</v>
      </c>
      <c r="K29" s="49" t="s">
        <v>42</v>
      </c>
      <c r="L29" s="49" t="s">
        <v>42</v>
      </c>
      <c r="M29" s="49" t="s">
        <v>52</v>
      </c>
      <c r="N29" s="49" t="s">
        <v>39</v>
      </c>
      <c r="O29" s="49" t="s">
        <v>42</v>
      </c>
      <c r="P29" s="49" t="s">
        <v>51</v>
      </c>
      <c r="Q29" s="49" t="s">
        <v>51</v>
      </c>
      <c r="R29" s="50" t="s">
        <v>39</v>
      </c>
      <c r="V29" s="49" t="s">
        <v>39</v>
      </c>
      <c r="W29" s="49" t="s">
        <v>39</v>
      </c>
      <c r="X29" s="49" t="s">
        <v>40</v>
      </c>
      <c r="Y29" s="49" t="s">
        <v>64</v>
      </c>
      <c r="Z29" s="16"/>
      <c r="AA29" s="49" t="s">
        <v>39</v>
      </c>
      <c r="AB29" s="49" t="s">
        <v>39</v>
      </c>
      <c r="AC29" s="38"/>
    </row>
    <row r="30" ht="15.75" customHeight="1">
      <c r="A30" s="22" t="str">
        <f t="shared" si="4"/>
        <v>martes</v>
      </c>
      <c r="B30" s="24" t="str">
        <f t="shared" si="5"/>
        <v>agosto</v>
      </c>
      <c r="C30" s="25">
        <v>46238.0</v>
      </c>
      <c r="D30" s="22" t="s">
        <v>83</v>
      </c>
      <c r="E30" s="27">
        <v>66.0</v>
      </c>
      <c r="F30" s="27">
        <v>47.0</v>
      </c>
      <c r="G30" s="27">
        <v>0.0</v>
      </c>
      <c r="H30" s="27">
        <v>4.0</v>
      </c>
      <c r="K30" s="52" t="s">
        <v>39</v>
      </c>
      <c r="L30" s="52" t="s">
        <v>39</v>
      </c>
      <c r="M30" s="52" t="s">
        <v>53</v>
      </c>
      <c r="N30" s="52" t="s">
        <v>41</v>
      </c>
      <c r="O30" s="52" t="s">
        <v>51</v>
      </c>
      <c r="P30" s="52" t="s">
        <v>65</v>
      </c>
      <c r="Q30" s="52" t="s">
        <v>42</v>
      </c>
      <c r="R30" s="52" t="s">
        <v>65</v>
      </c>
      <c r="V30" s="49" t="s">
        <v>42</v>
      </c>
      <c r="W30" s="49" t="s">
        <v>51</v>
      </c>
      <c r="X30" s="49" t="s">
        <v>52</v>
      </c>
      <c r="Y30" s="49" t="s">
        <v>39</v>
      </c>
      <c r="Z30" s="16"/>
      <c r="AA30" s="49" t="s">
        <v>42</v>
      </c>
      <c r="AB30" s="49" t="s">
        <v>51</v>
      </c>
      <c r="AC30" s="38"/>
    </row>
    <row r="31" ht="15.75" customHeight="1">
      <c r="A31" s="22" t="str">
        <f t="shared" si="4"/>
        <v>martes</v>
      </c>
      <c r="B31" s="24" t="str">
        <f t="shared" si="5"/>
        <v>agosto</v>
      </c>
      <c r="C31" s="25">
        <v>46238.0</v>
      </c>
      <c r="D31" s="22" t="s">
        <v>84</v>
      </c>
      <c r="E31" s="27">
        <v>103.0</v>
      </c>
      <c r="F31" s="27">
        <v>47.0</v>
      </c>
      <c r="G31" s="27">
        <v>4.0</v>
      </c>
      <c r="H31" s="27">
        <v>11.0</v>
      </c>
      <c r="K31" s="52" t="s">
        <v>53</v>
      </c>
      <c r="L31" s="52" t="s">
        <v>41</v>
      </c>
      <c r="M31" s="52" t="s">
        <v>67</v>
      </c>
      <c r="N31" s="52" t="s">
        <v>58</v>
      </c>
      <c r="O31" s="52" t="s">
        <v>65</v>
      </c>
      <c r="P31" s="52" t="s">
        <v>42</v>
      </c>
      <c r="Q31" s="52" t="s">
        <v>65</v>
      </c>
      <c r="R31" s="52" t="s">
        <v>42</v>
      </c>
      <c r="V31" s="52" t="s">
        <v>51</v>
      </c>
      <c r="W31" s="52" t="s">
        <v>65</v>
      </c>
      <c r="X31" s="52" t="s">
        <v>53</v>
      </c>
      <c r="Y31" s="52" t="s">
        <v>41</v>
      </c>
      <c r="Z31" s="53"/>
      <c r="AA31" s="52" t="s">
        <v>51</v>
      </c>
      <c r="AB31" s="52" t="s">
        <v>65</v>
      </c>
      <c r="AC31" s="53"/>
    </row>
    <row r="32" ht="15.75" customHeight="1">
      <c r="A32" s="22" t="str">
        <f t="shared" si="4"/>
        <v>martes</v>
      </c>
      <c r="B32" s="24" t="str">
        <f t="shared" si="5"/>
        <v>agosto</v>
      </c>
      <c r="C32" s="25">
        <v>46238.0</v>
      </c>
      <c r="D32" s="26" t="s">
        <v>67</v>
      </c>
      <c r="E32" s="27">
        <v>52.0</v>
      </c>
      <c r="F32" s="27">
        <v>43.0</v>
      </c>
      <c r="G32" s="27">
        <v>2.0</v>
      </c>
      <c r="H32" s="27">
        <v>2.0</v>
      </c>
      <c r="K32" s="52" t="s">
        <v>41</v>
      </c>
      <c r="L32" s="52" t="s">
        <v>44</v>
      </c>
      <c r="M32" s="52" t="s">
        <v>51</v>
      </c>
      <c r="N32" s="52" t="s">
        <v>60</v>
      </c>
      <c r="O32" s="52" t="s">
        <v>53</v>
      </c>
      <c r="P32" s="52" t="s">
        <v>41</v>
      </c>
      <c r="Q32" s="52" t="s">
        <v>53</v>
      </c>
      <c r="R32" s="52" t="s">
        <v>41</v>
      </c>
      <c r="V32" s="52" t="s">
        <v>65</v>
      </c>
      <c r="W32" s="52" t="s">
        <v>42</v>
      </c>
      <c r="X32" s="52" t="s">
        <v>58</v>
      </c>
      <c r="Y32" s="52" t="s">
        <v>58</v>
      </c>
      <c r="Z32" s="53"/>
      <c r="AA32" s="52" t="s">
        <v>65</v>
      </c>
      <c r="AB32" s="52" t="s">
        <v>42</v>
      </c>
      <c r="AC32" s="53"/>
    </row>
    <row r="33" ht="15.75" customHeight="1">
      <c r="A33" s="22" t="str">
        <f t="shared" si="4"/>
        <v>martes</v>
      </c>
      <c r="B33" s="24" t="str">
        <f t="shared" si="5"/>
        <v>agosto</v>
      </c>
      <c r="C33" s="25">
        <v>46238.0</v>
      </c>
      <c r="D33" s="26" t="s">
        <v>58</v>
      </c>
      <c r="E33" s="27">
        <v>62.0</v>
      </c>
      <c r="F33" s="27">
        <v>36.0</v>
      </c>
      <c r="G33" s="27">
        <v>3.0</v>
      </c>
      <c r="H33" s="27">
        <v>1.0</v>
      </c>
      <c r="K33" s="52" t="s">
        <v>40</v>
      </c>
      <c r="L33" s="52" t="s">
        <v>65</v>
      </c>
      <c r="M33" s="52" t="s">
        <v>42</v>
      </c>
      <c r="N33" s="52" t="s">
        <v>52</v>
      </c>
      <c r="O33" s="52" t="s">
        <v>58</v>
      </c>
      <c r="P33" s="52" t="s">
        <v>44</v>
      </c>
      <c r="Q33" s="52" t="s">
        <v>41</v>
      </c>
      <c r="R33" s="52" t="s">
        <v>44</v>
      </c>
      <c r="V33" s="52" t="s">
        <v>53</v>
      </c>
      <c r="W33" s="52" t="s">
        <v>41</v>
      </c>
      <c r="X33" s="52" t="s">
        <v>42</v>
      </c>
      <c r="Y33" s="52" t="s">
        <v>66</v>
      </c>
      <c r="Z33" s="53"/>
      <c r="AA33" s="52" t="s">
        <v>53</v>
      </c>
      <c r="AB33" s="52" t="s">
        <v>41</v>
      </c>
      <c r="AC33" s="53"/>
    </row>
    <row r="34" ht="15.75" customHeight="1">
      <c r="A34" s="22" t="str">
        <f t="shared" si="4"/>
        <v>martes</v>
      </c>
      <c r="B34" s="24" t="str">
        <f t="shared" si="5"/>
        <v>agosto</v>
      </c>
      <c r="C34" s="25">
        <v>46238.0</v>
      </c>
      <c r="D34" s="26" t="s">
        <v>64</v>
      </c>
      <c r="E34" s="27">
        <v>62.0</v>
      </c>
      <c r="F34" s="27">
        <v>39.0</v>
      </c>
      <c r="G34" s="27">
        <v>2.0</v>
      </c>
      <c r="H34" s="27">
        <v>0.0</v>
      </c>
      <c r="K34" s="52" t="s">
        <v>65</v>
      </c>
      <c r="L34" s="52" t="s">
        <v>53</v>
      </c>
      <c r="M34" s="52" t="s">
        <v>58</v>
      </c>
      <c r="N34" s="52" t="s">
        <v>66</v>
      </c>
      <c r="O34" s="52" t="s">
        <v>41</v>
      </c>
      <c r="P34" s="52" t="s">
        <v>53</v>
      </c>
      <c r="Q34" s="52" t="s">
        <v>58</v>
      </c>
      <c r="R34" s="52" t="s">
        <v>53</v>
      </c>
      <c r="V34" s="52" t="s">
        <v>41</v>
      </c>
      <c r="W34" s="52" t="s">
        <v>53</v>
      </c>
      <c r="X34" s="52" t="s">
        <v>51</v>
      </c>
      <c r="Y34" s="52" t="s">
        <v>65</v>
      </c>
      <c r="Z34" s="53"/>
      <c r="AA34" s="52" t="s">
        <v>41</v>
      </c>
      <c r="AB34" s="52" t="s">
        <v>53</v>
      </c>
      <c r="AC34" s="53"/>
      <c r="AN34" s="51"/>
      <c r="AO34" s="51"/>
    </row>
    <row r="35" ht="15.75" customHeight="1">
      <c r="A35" s="22" t="str">
        <f t="shared" si="4"/>
        <v>martes</v>
      </c>
      <c r="B35" s="24" t="str">
        <f t="shared" si="5"/>
        <v>agosto</v>
      </c>
      <c r="C35" s="25">
        <v>46238.0</v>
      </c>
      <c r="D35" s="26" t="s">
        <v>65</v>
      </c>
      <c r="E35" s="27">
        <v>54.0</v>
      </c>
      <c r="F35" s="27">
        <v>42.0</v>
      </c>
      <c r="G35" s="27">
        <v>4.0</v>
      </c>
      <c r="H35" s="27">
        <v>2.0</v>
      </c>
      <c r="K35" s="54" t="s">
        <v>58</v>
      </c>
      <c r="L35" s="54" t="s">
        <v>67</v>
      </c>
      <c r="M35" s="54" t="s">
        <v>41</v>
      </c>
      <c r="N35" s="54" t="s">
        <v>65</v>
      </c>
      <c r="O35" s="54" t="s">
        <v>40</v>
      </c>
      <c r="P35" s="54" t="s">
        <v>58</v>
      </c>
      <c r="Q35" s="54" t="s">
        <v>40</v>
      </c>
      <c r="R35" s="54" t="s">
        <v>58</v>
      </c>
      <c r="V35" s="52" t="s">
        <v>40</v>
      </c>
      <c r="W35" s="52" t="s">
        <v>58</v>
      </c>
      <c r="X35" s="52" t="s">
        <v>67</v>
      </c>
      <c r="Y35" s="52" t="s">
        <v>52</v>
      </c>
      <c r="Z35" s="53"/>
      <c r="AA35" s="52" t="s">
        <v>40</v>
      </c>
      <c r="AB35" s="52" t="s">
        <v>58</v>
      </c>
      <c r="AC35" s="53"/>
      <c r="AN35" s="51"/>
    </row>
    <row r="36" ht="15.75" customHeight="1">
      <c r="A36" s="22" t="str">
        <f t="shared" si="4"/>
        <v>martes</v>
      </c>
      <c r="B36" s="24" t="str">
        <f t="shared" si="5"/>
        <v>agosto</v>
      </c>
      <c r="C36" s="25">
        <v>46238.0</v>
      </c>
      <c r="D36" s="26" t="s">
        <v>66</v>
      </c>
      <c r="E36" s="27">
        <v>54.0</v>
      </c>
      <c r="F36" s="27">
        <v>53.0</v>
      </c>
      <c r="G36" s="27">
        <v>0.0</v>
      </c>
      <c r="H36" s="27">
        <v>1.0</v>
      </c>
      <c r="K36" s="54" t="s">
        <v>67</v>
      </c>
      <c r="L36" s="54" t="s">
        <v>52</v>
      </c>
      <c r="M36" s="54" t="s">
        <v>66</v>
      </c>
      <c r="N36" s="54" t="s">
        <v>53</v>
      </c>
      <c r="O36" s="54" t="s">
        <v>67</v>
      </c>
      <c r="P36" s="54" t="s">
        <v>67</v>
      </c>
      <c r="Q36" s="54" t="s">
        <v>67</v>
      </c>
      <c r="R36" s="54" t="s">
        <v>67</v>
      </c>
      <c r="V36" s="54" t="s">
        <v>58</v>
      </c>
      <c r="W36" s="54" t="s">
        <v>52</v>
      </c>
      <c r="X36" s="54" t="s">
        <v>41</v>
      </c>
      <c r="Y36" s="54" t="s">
        <v>60</v>
      </c>
      <c r="Z36" s="55"/>
      <c r="AA36" s="54" t="s">
        <v>58</v>
      </c>
      <c r="AB36" s="54" t="s">
        <v>52</v>
      </c>
      <c r="AC36" s="55"/>
    </row>
    <row r="37" ht="15.75" customHeight="1">
      <c r="A37" s="22" t="str">
        <f t="shared" si="4"/>
        <v>miércoles</v>
      </c>
      <c r="B37" s="24" t="str">
        <f t="shared" si="5"/>
        <v>agosto</v>
      </c>
      <c r="C37" s="25">
        <v>46239.0</v>
      </c>
      <c r="D37" s="26" t="s">
        <v>39</v>
      </c>
      <c r="E37" s="27">
        <v>89.0</v>
      </c>
      <c r="F37" s="27">
        <v>64.0</v>
      </c>
      <c r="G37" s="27">
        <v>0.0</v>
      </c>
      <c r="H37" s="27">
        <v>12.0</v>
      </c>
      <c r="K37" s="54" t="s">
        <v>44</v>
      </c>
      <c r="L37" s="54" t="s">
        <v>58</v>
      </c>
      <c r="M37" s="54" t="s">
        <v>39</v>
      </c>
      <c r="N37" s="54" t="s">
        <v>67</v>
      </c>
      <c r="O37" s="54" t="s">
        <v>52</v>
      </c>
      <c r="P37" s="54" t="s">
        <v>52</v>
      </c>
      <c r="Q37" s="54" t="s">
        <v>44</v>
      </c>
      <c r="R37" s="54" t="s">
        <v>52</v>
      </c>
      <c r="V37" s="54" t="s">
        <v>52</v>
      </c>
      <c r="W37" s="54" t="s">
        <v>67</v>
      </c>
      <c r="X37" s="54" t="s">
        <v>39</v>
      </c>
      <c r="Y37" s="54" t="s">
        <v>53</v>
      </c>
      <c r="Z37" s="55"/>
      <c r="AA37" s="54" t="s">
        <v>52</v>
      </c>
      <c r="AB37" s="54" t="s">
        <v>67</v>
      </c>
      <c r="AC37" s="55"/>
    </row>
    <row r="38" ht="15.75" customHeight="1">
      <c r="A38" s="22" t="str">
        <f t="shared" si="4"/>
        <v>miércoles</v>
      </c>
      <c r="B38" s="24" t="str">
        <f t="shared" si="5"/>
        <v>agosto</v>
      </c>
      <c r="C38" s="25">
        <v>46239.0</v>
      </c>
      <c r="D38" s="26" t="s">
        <v>41</v>
      </c>
      <c r="E38" s="27">
        <v>74.0</v>
      </c>
      <c r="F38" s="27">
        <v>62.0</v>
      </c>
      <c r="G38" s="27">
        <v>1.0</v>
      </c>
      <c r="H38" s="27">
        <v>4.0</v>
      </c>
      <c r="K38" s="54" t="s">
        <v>52</v>
      </c>
      <c r="L38" s="54" t="s">
        <v>40</v>
      </c>
      <c r="M38" s="54" t="s">
        <v>44</v>
      </c>
      <c r="N38" s="54" t="s">
        <v>44</v>
      </c>
      <c r="O38" s="54" t="s">
        <v>44</v>
      </c>
      <c r="P38" s="54" t="s">
        <v>40</v>
      </c>
      <c r="Q38" s="54" t="s">
        <v>52</v>
      </c>
      <c r="R38" s="54" t="s">
        <v>40</v>
      </c>
      <c r="V38" s="54" t="s">
        <v>67</v>
      </c>
      <c r="W38" s="54" t="s">
        <v>40</v>
      </c>
      <c r="X38" s="54" t="s">
        <v>66</v>
      </c>
      <c r="Y38" s="54" t="s">
        <v>67</v>
      </c>
      <c r="Z38" s="55"/>
      <c r="AA38" s="54" t="s">
        <v>67</v>
      </c>
      <c r="AB38" s="54" t="s">
        <v>40</v>
      </c>
      <c r="AC38" s="55"/>
    </row>
    <row r="39" ht="15.75" customHeight="1">
      <c r="A39" s="22" t="str">
        <f t="shared" si="4"/>
        <v>miércoles</v>
      </c>
      <c r="B39" s="24" t="str">
        <f t="shared" si="5"/>
        <v>agosto</v>
      </c>
      <c r="C39" s="25">
        <v>46239.0</v>
      </c>
      <c r="D39" s="26" t="s">
        <v>42</v>
      </c>
      <c r="E39" s="27">
        <v>82.0</v>
      </c>
      <c r="F39" s="27">
        <v>56.0</v>
      </c>
      <c r="G39" s="27">
        <v>6.0</v>
      </c>
      <c r="H39" s="27">
        <v>20.0</v>
      </c>
      <c r="K39" s="55"/>
      <c r="L39" s="55"/>
      <c r="M39" s="55"/>
      <c r="N39" s="55"/>
      <c r="O39" s="55"/>
      <c r="P39" s="55"/>
      <c r="Q39" s="55"/>
      <c r="R39" s="55"/>
      <c r="U39" s="55"/>
      <c r="V39" s="54" t="s">
        <v>44</v>
      </c>
      <c r="W39" s="54" t="s">
        <v>44</v>
      </c>
      <c r="X39" s="54" t="s">
        <v>44</v>
      </c>
      <c r="Y39" s="54" t="s">
        <v>44</v>
      </c>
      <c r="Z39" s="55"/>
      <c r="AA39" s="54" t="s">
        <v>44</v>
      </c>
      <c r="AB39" s="54" t="s">
        <v>44</v>
      </c>
      <c r="AC39" s="55"/>
    </row>
    <row r="40" ht="15.75" customHeight="1">
      <c r="A40" s="22" t="str">
        <f t="shared" si="4"/>
        <v>miércoles</v>
      </c>
      <c r="B40" s="24" t="str">
        <f t="shared" si="5"/>
        <v>agosto</v>
      </c>
      <c r="C40" s="25">
        <v>46239.0</v>
      </c>
      <c r="D40" s="26" t="s">
        <v>51</v>
      </c>
      <c r="E40" s="27">
        <v>86.0</v>
      </c>
      <c r="F40" s="27">
        <v>67.0</v>
      </c>
      <c r="G40" s="27">
        <v>4.0</v>
      </c>
      <c r="H40" s="27">
        <v>23.0</v>
      </c>
      <c r="AM40" s="38"/>
      <c r="AO40" s="23"/>
    </row>
    <row r="41" ht="15.75" customHeight="1">
      <c r="A41" s="22" t="str">
        <f t="shared" si="4"/>
        <v>miércoles</v>
      </c>
      <c r="B41" s="24" t="str">
        <f t="shared" si="5"/>
        <v>agosto</v>
      </c>
      <c r="C41" s="25">
        <v>46239.0</v>
      </c>
      <c r="D41" s="22" t="s">
        <v>83</v>
      </c>
      <c r="E41" s="27">
        <v>86.0</v>
      </c>
      <c r="F41" s="27">
        <v>42.0</v>
      </c>
      <c r="G41" s="27">
        <v>1.0</v>
      </c>
      <c r="H41" s="27">
        <v>7.0</v>
      </c>
      <c r="J41" s="40" t="s">
        <v>69</v>
      </c>
      <c r="K41" s="40">
        <f t="shared" ref="K41:R41" si="32">AVERAGE(K4:K17)</f>
        <v>81.97947618</v>
      </c>
      <c r="L41" s="40">
        <f t="shared" si="32"/>
        <v>59.39524918</v>
      </c>
      <c r="M41" s="40">
        <f t="shared" si="32"/>
        <v>2.91030568</v>
      </c>
      <c r="N41" s="40">
        <f t="shared" si="32"/>
        <v>5.242113427</v>
      </c>
      <c r="O41" s="40">
        <f t="shared" si="32"/>
        <v>8.807530729</v>
      </c>
      <c r="P41" s="40">
        <f t="shared" si="32"/>
        <v>6.367859735</v>
      </c>
      <c r="Q41" s="40">
        <f t="shared" si="32"/>
        <v>358.2954232</v>
      </c>
      <c r="R41" s="40">
        <f t="shared" si="32"/>
        <v>259.6587235</v>
      </c>
      <c r="AM41" s="38"/>
      <c r="AN41" s="23"/>
      <c r="AO41" s="23"/>
    </row>
    <row r="42" ht="15.75" customHeight="1">
      <c r="A42" s="22" t="str">
        <f t="shared" si="4"/>
        <v>miércoles</v>
      </c>
      <c r="B42" s="24" t="str">
        <f t="shared" si="5"/>
        <v>agosto</v>
      </c>
      <c r="C42" s="25">
        <v>46239.0</v>
      </c>
      <c r="D42" s="26" t="s">
        <v>67</v>
      </c>
      <c r="E42" s="27">
        <v>67.0</v>
      </c>
      <c r="F42" s="27">
        <v>49.0</v>
      </c>
      <c r="G42" s="27">
        <v>4.0</v>
      </c>
      <c r="H42" s="27">
        <v>6.0</v>
      </c>
      <c r="AM42" s="38"/>
      <c r="AN42" s="23"/>
      <c r="AO42" s="23"/>
    </row>
    <row r="43" ht="15.75" customHeight="1">
      <c r="A43" s="22" t="str">
        <f t="shared" si="4"/>
        <v>miércoles</v>
      </c>
      <c r="B43" s="24" t="str">
        <f t="shared" si="5"/>
        <v>agosto</v>
      </c>
      <c r="C43" s="25">
        <v>46239.0</v>
      </c>
      <c r="D43" s="26" t="s">
        <v>58</v>
      </c>
      <c r="E43" s="27">
        <v>45.0</v>
      </c>
      <c r="F43" s="27">
        <v>18.0</v>
      </c>
      <c r="G43" s="27">
        <v>2.0</v>
      </c>
      <c r="H43" s="27">
        <v>8.0</v>
      </c>
      <c r="AM43" s="30"/>
      <c r="AN43" s="23"/>
      <c r="AO43" s="23"/>
    </row>
    <row r="44" ht="15.75" customHeight="1">
      <c r="A44" s="22" t="str">
        <f t="shared" si="4"/>
        <v>miércoles</v>
      </c>
      <c r="B44" s="24" t="str">
        <f t="shared" si="5"/>
        <v>agosto</v>
      </c>
      <c r="C44" s="25">
        <v>46239.0</v>
      </c>
      <c r="D44" s="26" t="s">
        <v>64</v>
      </c>
      <c r="E44" s="27">
        <v>167.0</v>
      </c>
      <c r="F44" s="27">
        <v>112.0</v>
      </c>
      <c r="G44" s="27">
        <v>9.0</v>
      </c>
      <c r="H44" s="27">
        <v>9.0</v>
      </c>
      <c r="AM44" s="30"/>
      <c r="AN44" s="23"/>
      <c r="AO44" s="23"/>
    </row>
    <row r="45" ht="15.75" customHeight="1">
      <c r="A45" s="22" t="str">
        <f t="shared" si="4"/>
        <v>miércoles</v>
      </c>
      <c r="B45" s="24" t="str">
        <f t="shared" si="5"/>
        <v>agosto</v>
      </c>
      <c r="C45" s="25">
        <v>46239.0</v>
      </c>
      <c r="D45" s="26" t="s">
        <v>65</v>
      </c>
      <c r="E45" s="27">
        <v>62.0</v>
      </c>
      <c r="F45" s="27">
        <v>53.0</v>
      </c>
      <c r="G45" s="27">
        <v>8.0</v>
      </c>
      <c r="H45" s="27">
        <v>3.0</v>
      </c>
      <c r="AM45" s="30"/>
      <c r="AN45" s="23"/>
      <c r="AO45" s="23"/>
    </row>
    <row r="46" ht="15.75" customHeight="1">
      <c r="A46" s="22" t="str">
        <f t="shared" si="4"/>
        <v>miércoles</v>
      </c>
      <c r="B46" s="24" t="str">
        <f t="shared" si="5"/>
        <v>agosto</v>
      </c>
      <c r="C46" s="25">
        <v>46239.0</v>
      </c>
      <c r="D46" s="26" t="s">
        <v>66</v>
      </c>
      <c r="E46" s="27">
        <v>125.0</v>
      </c>
      <c r="F46" s="27">
        <v>104.0</v>
      </c>
      <c r="G46" s="27">
        <v>2.0</v>
      </c>
      <c r="H46" s="27">
        <v>1.0</v>
      </c>
      <c r="AM46" s="51"/>
      <c r="AN46" s="23"/>
      <c r="AO46" s="23"/>
    </row>
    <row r="47" ht="15.75" customHeight="1">
      <c r="A47" s="22" t="str">
        <f t="shared" si="4"/>
        <v>jueves</v>
      </c>
      <c r="B47" s="24" t="str">
        <f t="shared" si="5"/>
        <v>agosto</v>
      </c>
      <c r="C47" s="25">
        <v>46240.0</v>
      </c>
      <c r="D47" s="26" t="s">
        <v>39</v>
      </c>
      <c r="E47" s="27">
        <v>83.0</v>
      </c>
      <c r="F47" s="27">
        <v>52.0</v>
      </c>
      <c r="G47" s="27">
        <v>0.0</v>
      </c>
      <c r="H47" s="27">
        <v>10.0</v>
      </c>
      <c r="AM47" s="51"/>
      <c r="AN47" s="23"/>
      <c r="AO47" s="23"/>
    </row>
    <row r="48" ht="15.75" customHeight="1">
      <c r="A48" s="22" t="str">
        <f t="shared" si="4"/>
        <v>jueves</v>
      </c>
      <c r="B48" s="24" t="str">
        <f t="shared" si="5"/>
        <v>agosto</v>
      </c>
      <c r="C48" s="25">
        <v>46240.0</v>
      </c>
      <c r="D48" s="26" t="s">
        <v>40</v>
      </c>
      <c r="E48" s="27">
        <v>56.0</v>
      </c>
      <c r="F48" s="27">
        <v>19.0</v>
      </c>
      <c r="G48" s="27">
        <v>4.0</v>
      </c>
      <c r="H48" s="27">
        <v>7.0</v>
      </c>
      <c r="AM48" s="51"/>
      <c r="AN48" s="23"/>
      <c r="AO48" s="23"/>
    </row>
    <row r="49" ht="15.75" customHeight="1">
      <c r="A49" s="22" t="str">
        <f t="shared" si="4"/>
        <v>jueves</v>
      </c>
      <c r="B49" s="24" t="str">
        <f t="shared" si="5"/>
        <v>agosto</v>
      </c>
      <c r="C49" s="25">
        <v>46240.0</v>
      </c>
      <c r="D49" s="26" t="s">
        <v>41</v>
      </c>
      <c r="E49" s="27">
        <v>71.0</v>
      </c>
      <c r="F49" s="27">
        <v>54.0</v>
      </c>
      <c r="G49" s="27">
        <v>1.0</v>
      </c>
      <c r="H49" s="27">
        <v>2.0</v>
      </c>
      <c r="J49" s="12" t="s">
        <v>88</v>
      </c>
      <c r="O49" s="13" t="s">
        <v>18</v>
      </c>
      <c r="Q49" s="13" t="s">
        <v>19</v>
      </c>
      <c r="AA49" s="45" t="s">
        <v>76</v>
      </c>
    </row>
    <row r="50" ht="15.75" customHeight="1">
      <c r="A50" s="22" t="str">
        <f t="shared" si="4"/>
        <v>jueves</v>
      </c>
      <c r="B50" s="24" t="str">
        <f t="shared" si="5"/>
        <v>agosto</v>
      </c>
      <c r="C50" s="25">
        <v>46240.0</v>
      </c>
      <c r="D50" s="26" t="s">
        <v>42</v>
      </c>
      <c r="E50" s="27">
        <v>66.0</v>
      </c>
      <c r="F50" s="27">
        <v>53.0</v>
      </c>
      <c r="G50" s="27">
        <v>3.0</v>
      </c>
      <c r="H50" s="27">
        <v>6.0</v>
      </c>
      <c r="J50" s="17" t="s">
        <v>29</v>
      </c>
      <c r="K50" s="17" t="s">
        <v>25</v>
      </c>
      <c r="L50" s="17" t="s">
        <v>26</v>
      </c>
      <c r="M50" s="17" t="s">
        <v>30</v>
      </c>
      <c r="N50" s="17" t="s">
        <v>31</v>
      </c>
      <c r="O50" s="18" t="s">
        <v>25</v>
      </c>
      <c r="P50" s="18" t="s">
        <v>26</v>
      </c>
      <c r="Q50" s="17" t="s">
        <v>25</v>
      </c>
      <c r="R50" s="17" t="s">
        <v>26</v>
      </c>
      <c r="U50" s="47" t="s">
        <v>24</v>
      </c>
      <c r="V50" s="47" t="s">
        <v>25</v>
      </c>
      <c r="W50" s="47" t="s">
        <v>26</v>
      </c>
      <c r="X50" s="48" t="s">
        <v>79</v>
      </c>
      <c r="Y50" s="47" t="s">
        <v>31</v>
      </c>
      <c r="Z50" s="47"/>
      <c r="AA50" s="47" t="s">
        <v>25</v>
      </c>
      <c r="AB50" s="47" t="s">
        <v>26</v>
      </c>
    </row>
    <row r="51" ht="15.75" customHeight="1">
      <c r="A51" s="22" t="str">
        <f t="shared" si="4"/>
        <v>jueves</v>
      </c>
      <c r="B51" s="24" t="str">
        <f t="shared" si="5"/>
        <v>agosto</v>
      </c>
      <c r="C51" s="25">
        <v>46240.0</v>
      </c>
      <c r="D51" s="26" t="s">
        <v>51</v>
      </c>
      <c r="E51" s="27">
        <v>72.0</v>
      </c>
      <c r="F51" s="27">
        <v>49.0</v>
      </c>
      <c r="G51" s="27">
        <v>4.0</v>
      </c>
      <c r="H51" s="27">
        <v>21.0</v>
      </c>
      <c r="J51" s="28" t="s">
        <v>39</v>
      </c>
      <c r="K51" s="23">
        <v>80.27272727272727</v>
      </c>
      <c r="L51" s="23">
        <v>57.72727272727273</v>
      </c>
      <c r="M51" s="23">
        <v>0.36363636363636365</v>
      </c>
      <c r="N51" s="23">
        <v>5.181818181818182</v>
      </c>
      <c r="O51" s="23">
        <v>10.034090909090908</v>
      </c>
      <c r="P51" s="23">
        <v>7.215909090909091</v>
      </c>
      <c r="Q51" s="23">
        <v>401.3636363636363</v>
      </c>
      <c r="R51" s="23">
        <v>288.6363636363636</v>
      </c>
      <c r="U51" s="28" t="s">
        <v>39</v>
      </c>
      <c r="V51" s="5">
        <v>1766.0</v>
      </c>
      <c r="W51" s="5">
        <v>1270.0</v>
      </c>
      <c r="X51" s="5">
        <v>8.0</v>
      </c>
      <c r="Y51" s="5">
        <v>114.0</v>
      </c>
      <c r="AA51" s="57">
        <v>441.5</v>
      </c>
      <c r="AB51" s="57">
        <v>317.5</v>
      </c>
    </row>
    <row r="52" ht="15.75" customHeight="1">
      <c r="A52" s="22" t="str">
        <f t="shared" si="4"/>
        <v>jueves</v>
      </c>
      <c r="B52" s="24" t="str">
        <f t="shared" si="5"/>
        <v>agosto</v>
      </c>
      <c r="C52" s="25">
        <v>46240.0</v>
      </c>
      <c r="D52" s="26" t="s">
        <v>58</v>
      </c>
      <c r="E52" s="27">
        <v>60.0</v>
      </c>
      <c r="F52" s="27">
        <v>42.0</v>
      </c>
      <c r="G52" s="27">
        <v>2.0</v>
      </c>
      <c r="H52" s="27">
        <v>2.0</v>
      </c>
      <c r="J52" s="28" t="s">
        <v>40</v>
      </c>
      <c r="K52" s="23">
        <v>70.0</v>
      </c>
      <c r="L52" s="23">
        <v>32.166666666666664</v>
      </c>
      <c r="M52" s="23">
        <v>4.055555555555555</v>
      </c>
      <c r="N52" s="23">
        <v>7.722222222222222</v>
      </c>
      <c r="O52" s="23">
        <v>7.0</v>
      </c>
      <c r="P52" s="23">
        <v>3.2166666666666663</v>
      </c>
      <c r="Q52" s="23">
        <v>280.0</v>
      </c>
      <c r="R52" s="23">
        <v>128.66666666666666</v>
      </c>
      <c r="U52" s="28" t="s">
        <v>40</v>
      </c>
      <c r="V52" s="5">
        <v>1260.0</v>
      </c>
      <c r="W52" s="5">
        <v>579.0</v>
      </c>
      <c r="X52" s="5">
        <v>73.0</v>
      </c>
      <c r="Y52" s="5">
        <v>139.0</v>
      </c>
      <c r="AA52" s="56">
        <v>315.0</v>
      </c>
      <c r="AB52" s="57">
        <v>144.75</v>
      </c>
    </row>
    <row r="53" ht="15.75" customHeight="1">
      <c r="A53" s="22" t="str">
        <f t="shared" si="4"/>
        <v>jueves</v>
      </c>
      <c r="B53" s="24" t="str">
        <f t="shared" si="5"/>
        <v>agosto</v>
      </c>
      <c r="C53" s="25">
        <v>46240.0</v>
      </c>
      <c r="D53" s="26" t="s">
        <v>52</v>
      </c>
      <c r="E53" s="27">
        <v>33.0</v>
      </c>
      <c r="F53" s="27">
        <v>21.0</v>
      </c>
      <c r="G53" s="27">
        <v>2.0</v>
      </c>
      <c r="H53" s="27">
        <v>2.0</v>
      </c>
      <c r="J53" s="28" t="s">
        <v>44</v>
      </c>
      <c r="K53" s="23">
        <v>57.2</v>
      </c>
      <c r="L53" s="23">
        <v>55.2</v>
      </c>
      <c r="M53" s="23">
        <v>0.0</v>
      </c>
      <c r="N53" s="23">
        <v>0.0</v>
      </c>
      <c r="O53" s="23">
        <v>5.2</v>
      </c>
      <c r="P53" s="23">
        <v>5.0181818181818185</v>
      </c>
      <c r="Q53" s="23">
        <v>228.8</v>
      </c>
      <c r="R53" s="23">
        <v>220.8</v>
      </c>
      <c r="U53" s="28" t="s">
        <v>41</v>
      </c>
      <c r="V53" s="5">
        <v>1329.0</v>
      </c>
      <c r="W53" s="5">
        <v>966.0</v>
      </c>
      <c r="X53" s="5">
        <v>23.0</v>
      </c>
      <c r="Y53" s="5">
        <v>78.0</v>
      </c>
      <c r="AA53" s="57">
        <v>332.25</v>
      </c>
      <c r="AB53" s="57">
        <v>241.5</v>
      </c>
    </row>
    <row r="54" ht="15.75" customHeight="1">
      <c r="A54" s="22" t="str">
        <f t="shared" si="4"/>
        <v>jueves</v>
      </c>
      <c r="B54" s="24" t="str">
        <f t="shared" si="5"/>
        <v>agosto</v>
      </c>
      <c r="C54" s="25">
        <v>46240.0</v>
      </c>
      <c r="D54" s="26" t="s">
        <v>53</v>
      </c>
      <c r="E54" s="27">
        <v>81.0</v>
      </c>
      <c r="F54" s="27">
        <v>57.0</v>
      </c>
      <c r="G54" s="27">
        <v>2.0</v>
      </c>
      <c r="H54" s="27">
        <v>0.0</v>
      </c>
      <c r="J54" s="28" t="s">
        <v>52</v>
      </c>
      <c r="K54" s="23">
        <v>53.529411764705884</v>
      </c>
      <c r="L54" s="23">
        <v>40.1764705882353</v>
      </c>
      <c r="M54" s="23">
        <v>3.411764705882353</v>
      </c>
      <c r="N54" s="23">
        <v>3.1176470588235294</v>
      </c>
      <c r="O54" s="23">
        <v>5.352941176470589</v>
      </c>
      <c r="P54" s="23">
        <v>4.017647058823529</v>
      </c>
      <c r="Q54" s="23">
        <v>214.11764705882354</v>
      </c>
      <c r="R54" s="23">
        <v>160.7058823529412</v>
      </c>
      <c r="U54" s="28" t="s">
        <v>42</v>
      </c>
      <c r="V54" s="5">
        <v>1503.0</v>
      </c>
      <c r="W54" s="5">
        <v>1017.0</v>
      </c>
      <c r="X54" s="5">
        <v>46.0</v>
      </c>
      <c r="Y54" s="5">
        <v>225.0</v>
      </c>
      <c r="AA54" s="56">
        <v>375.75</v>
      </c>
      <c r="AB54" s="57">
        <v>254.25</v>
      </c>
    </row>
    <row r="55" ht="15.75" customHeight="1">
      <c r="A55" s="22" t="str">
        <f t="shared" si="4"/>
        <v>jueves</v>
      </c>
      <c r="B55" s="24" t="str">
        <f t="shared" si="5"/>
        <v>agosto</v>
      </c>
      <c r="C55" s="25">
        <v>46240.0</v>
      </c>
      <c r="D55" s="26" t="s">
        <v>64</v>
      </c>
      <c r="E55" s="27">
        <v>109.0</v>
      </c>
      <c r="F55" s="27">
        <v>74.0</v>
      </c>
      <c r="G55" s="27">
        <v>3.0</v>
      </c>
      <c r="H55" s="27">
        <v>5.0</v>
      </c>
      <c r="J55" s="28" t="s">
        <v>53</v>
      </c>
      <c r="K55" s="23">
        <v>78.76470588235294</v>
      </c>
      <c r="L55" s="23">
        <v>49.64705882352941</v>
      </c>
      <c r="M55" s="23">
        <v>3.2941176470588234</v>
      </c>
      <c r="N55" s="23">
        <v>2.176470588235294</v>
      </c>
      <c r="O55" s="23">
        <v>7.876470588235295</v>
      </c>
      <c r="P55" s="23">
        <v>4.964705882352941</v>
      </c>
      <c r="Q55" s="23">
        <v>315.05882352941177</v>
      </c>
      <c r="R55" s="23">
        <v>198.58823529411765</v>
      </c>
      <c r="U55" s="28" t="s">
        <v>44</v>
      </c>
      <c r="V55" s="5">
        <v>286.0</v>
      </c>
      <c r="W55" s="5">
        <v>276.0</v>
      </c>
      <c r="X55" s="5">
        <v>0.0</v>
      </c>
      <c r="Y55" s="5">
        <v>0.0</v>
      </c>
      <c r="AA55" s="56">
        <v>71.5</v>
      </c>
      <c r="AB55" s="57">
        <v>69.0</v>
      </c>
    </row>
    <row r="56" ht="15.75" customHeight="1">
      <c r="A56" s="22" t="str">
        <f t="shared" si="4"/>
        <v>jueves</v>
      </c>
      <c r="B56" s="24" t="str">
        <f t="shared" si="5"/>
        <v>agosto</v>
      </c>
      <c r="C56" s="25">
        <v>46240.0</v>
      </c>
      <c r="D56" s="26" t="s">
        <v>65</v>
      </c>
      <c r="E56" s="27">
        <v>69.0</v>
      </c>
      <c r="F56" s="27">
        <v>54.0</v>
      </c>
      <c r="G56" s="27">
        <v>5.0</v>
      </c>
      <c r="H56" s="27">
        <v>0.0</v>
      </c>
      <c r="J56" s="28" t="s">
        <v>60</v>
      </c>
      <c r="K56" s="23">
        <v>143.71428571428572</v>
      </c>
      <c r="L56" s="23">
        <v>104.42857142857143</v>
      </c>
      <c r="M56" s="23">
        <v>5.5</v>
      </c>
      <c r="N56" s="23">
        <v>3.5</v>
      </c>
      <c r="O56" s="23">
        <v>14.371428571428572</v>
      </c>
      <c r="P56" s="23">
        <v>10.442857142857143</v>
      </c>
      <c r="Q56" s="23">
        <v>574.8571428571429</v>
      </c>
      <c r="R56" s="23">
        <v>417.7142857142857</v>
      </c>
      <c r="U56" s="28" t="s">
        <v>51</v>
      </c>
      <c r="V56" s="5">
        <v>1431.0</v>
      </c>
      <c r="W56" s="5">
        <v>1175.0</v>
      </c>
      <c r="X56" s="5">
        <v>44.0</v>
      </c>
      <c r="Y56" s="5">
        <v>226.0</v>
      </c>
      <c r="AA56" s="57">
        <v>357.75</v>
      </c>
      <c r="AB56" s="57">
        <v>293.75</v>
      </c>
    </row>
    <row r="57" ht="15.75" customHeight="1">
      <c r="A57" s="22" t="str">
        <f t="shared" si="4"/>
        <v>jueves</v>
      </c>
      <c r="B57" s="24" t="str">
        <f t="shared" si="5"/>
        <v>agosto</v>
      </c>
      <c r="C57" s="25">
        <v>46240.0</v>
      </c>
      <c r="D57" s="26" t="s">
        <v>66</v>
      </c>
      <c r="E57" s="27">
        <v>103.0</v>
      </c>
      <c r="F57" s="27">
        <v>83.0</v>
      </c>
      <c r="G57" s="27">
        <v>0.0</v>
      </c>
      <c r="H57" s="27">
        <v>1.0</v>
      </c>
      <c r="J57" s="28" t="s">
        <v>41</v>
      </c>
      <c r="K57" s="23">
        <v>78.17647058823529</v>
      </c>
      <c r="L57" s="23">
        <v>56.8235294117647</v>
      </c>
      <c r="M57" s="23">
        <v>1.3529411764705883</v>
      </c>
      <c r="N57" s="23">
        <v>4.588235294117647</v>
      </c>
      <c r="O57" s="23">
        <v>7.1069518716577535</v>
      </c>
      <c r="P57" s="23">
        <v>5.165775401069518</v>
      </c>
      <c r="Q57" s="23">
        <v>312.70588235294116</v>
      </c>
      <c r="R57" s="23">
        <v>227.2941176470588</v>
      </c>
      <c r="U57" s="28" t="s">
        <v>67</v>
      </c>
      <c r="V57" s="5">
        <v>744.0</v>
      </c>
      <c r="W57" s="5">
        <v>596.0</v>
      </c>
      <c r="X57" s="5">
        <v>40.0</v>
      </c>
      <c r="Y57" s="5">
        <v>27.0</v>
      </c>
      <c r="AA57" s="57">
        <v>186.0</v>
      </c>
      <c r="AB57" s="57">
        <v>149.0</v>
      </c>
    </row>
    <row r="58" ht="15.75" customHeight="1">
      <c r="A58" s="22" t="str">
        <f t="shared" si="4"/>
        <v>viernes</v>
      </c>
      <c r="B58" s="24" t="str">
        <f t="shared" si="5"/>
        <v>agosto</v>
      </c>
      <c r="C58" s="25">
        <v>46241.0</v>
      </c>
      <c r="D58" s="26" t="s">
        <v>40</v>
      </c>
      <c r="E58" s="27">
        <v>72.0</v>
      </c>
      <c r="F58" s="27">
        <v>37.0</v>
      </c>
      <c r="G58" s="27">
        <v>5.0</v>
      </c>
      <c r="H58" s="27">
        <v>7.0</v>
      </c>
      <c r="J58" s="28" t="s">
        <v>42</v>
      </c>
      <c r="K58" s="23">
        <v>88.41176470588235</v>
      </c>
      <c r="L58" s="23">
        <v>59.8235294117647</v>
      </c>
      <c r="M58" s="23">
        <v>2.7058823529411766</v>
      </c>
      <c r="N58" s="23">
        <v>13.235294117647058</v>
      </c>
      <c r="O58" s="23">
        <v>8.841176470588234</v>
      </c>
      <c r="P58" s="23">
        <v>5.982352941176471</v>
      </c>
      <c r="Q58" s="23">
        <v>353.6470588235294</v>
      </c>
      <c r="R58" s="23">
        <v>239.2941176470588</v>
      </c>
      <c r="U58" s="28" t="s">
        <v>58</v>
      </c>
      <c r="V58" s="5">
        <v>1116.0</v>
      </c>
      <c r="W58" s="5">
        <v>697.0</v>
      </c>
      <c r="X58" s="5">
        <v>48.0</v>
      </c>
      <c r="Y58" s="5">
        <v>76.0</v>
      </c>
      <c r="AA58" s="57">
        <v>279.0</v>
      </c>
      <c r="AB58" s="57">
        <v>174.25</v>
      </c>
    </row>
    <row r="59" ht="15.75" customHeight="1">
      <c r="A59" s="22" t="str">
        <f t="shared" si="4"/>
        <v>viernes</v>
      </c>
      <c r="B59" s="24" t="str">
        <f t="shared" si="5"/>
        <v>agosto</v>
      </c>
      <c r="C59" s="25">
        <v>46241.0</v>
      </c>
      <c r="D59" s="26" t="s">
        <v>51</v>
      </c>
      <c r="E59" s="27">
        <v>55.0</v>
      </c>
      <c r="F59" s="27">
        <v>34.0</v>
      </c>
      <c r="G59" s="27">
        <v>3.0</v>
      </c>
      <c r="H59" s="27">
        <v>26.0</v>
      </c>
      <c r="J59" s="28" t="s">
        <v>67</v>
      </c>
      <c r="K59" s="23">
        <v>57.23076923076923</v>
      </c>
      <c r="L59" s="23">
        <v>45.84615384615385</v>
      </c>
      <c r="M59" s="23">
        <v>3.076923076923077</v>
      </c>
      <c r="N59" s="23">
        <v>2.076923076923077</v>
      </c>
      <c r="O59" s="23">
        <v>5.723076923076923</v>
      </c>
      <c r="P59" s="23">
        <v>4.584615384615384</v>
      </c>
      <c r="Q59" s="23">
        <v>228.92307692307693</v>
      </c>
      <c r="R59" s="23">
        <v>183.3846153846154</v>
      </c>
      <c r="U59" s="28" t="s">
        <v>52</v>
      </c>
      <c r="V59" s="5">
        <v>910.0</v>
      </c>
      <c r="W59" s="5">
        <v>683.0</v>
      </c>
      <c r="X59" s="5">
        <v>58.0</v>
      </c>
      <c r="Y59" s="5">
        <v>53.0</v>
      </c>
      <c r="AA59" s="57">
        <v>227.5</v>
      </c>
      <c r="AB59" s="57">
        <v>170.75</v>
      </c>
    </row>
    <row r="60" ht="15.75" customHeight="1">
      <c r="A60" s="22" t="str">
        <f t="shared" si="4"/>
        <v>viernes</v>
      </c>
      <c r="B60" s="24" t="str">
        <f t="shared" si="5"/>
        <v>agosto</v>
      </c>
      <c r="C60" s="25">
        <v>46241.0</v>
      </c>
      <c r="D60" s="26" t="s">
        <v>58</v>
      </c>
      <c r="E60" s="27">
        <v>76.0</v>
      </c>
      <c r="F60" s="27">
        <v>55.0</v>
      </c>
      <c r="G60" s="27">
        <v>4.0</v>
      </c>
      <c r="H60" s="27">
        <v>1.0</v>
      </c>
      <c r="J60" s="28" t="s">
        <v>58</v>
      </c>
      <c r="K60" s="23">
        <v>58.73684210526316</v>
      </c>
      <c r="L60" s="23">
        <v>36.68421052631579</v>
      </c>
      <c r="M60" s="23">
        <v>2.526315789473684</v>
      </c>
      <c r="N60" s="23">
        <v>4.0</v>
      </c>
      <c r="O60" s="23">
        <v>7.342105263157895</v>
      </c>
      <c r="P60" s="23">
        <v>4.5855263157894735</v>
      </c>
      <c r="Q60" s="23">
        <v>293.6842105263158</v>
      </c>
      <c r="R60" s="23">
        <v>183.42105263157893</v>
      </c>
      <c r="U60" s="28" t="s">
        <v>53</v>
      </c>
      <c r="V60" s="5">
        <v>1339.0</v>
      </c>
      <c r="W60" s="5">
        <v>844.0</v>
      </c>
      <c r="X60" s="5">
        <v>56.0</v>
      </c>
      <c r="Y60" s="5">
        <v>37.0</v>
      </c>
      <c r="AA60" s="58">
        <v>334.75</v>
      </c>
      <c r="AB60" s="57">
        <v>211.0</v>
      </c>
      <c r="AC60" s="30"/>
      <c r="AF60" s="53"/>
      <c r="AG60" s="53"/>
      <c r="AH60" s="53"/>
      <c r="AI60" s="53"/>
      <c r="AJ60" s="53"/>
      <c r="AK60" s="53"/>
      <c r="AL60" s="53"/>
      <c r="AM60" s="30"/>
    </row>
    <row r="61" ht="15.75" customHeight="1">
      <c r="A61" s="22" t="str">
        <f t="shared" si="4"/>
        <v>viernes</v>
      </c>
      <c r="B61" s="24" t="str">
        <f t="shared" si="5"/>
        <v>agosto</v>
      </c>
      <c r="C61" s="25">
        <v>46241.0</v>
      </c>
      <c r="D61" s="26" t="s">
        <v>52</v>
      </c>
      <c r="E61" s="27">
        <v>55.0</v>
      </c>
      <c r="F61" s="27">
        <v>41.0</v>
      </c>
      <c r="G61" s="27">
        <v>2.0</v>
      </c>
      <c r="H61" s="27">
        <v>2.0</v>
      </c>
      <c r="J61" s="28" t="s">
        <v>64</v>
      </c>
      <c r="K61" s="23">
        <v>113.89473684210526</v>
      </c>
      <c r="L61" s="23">
        <v>68.10526315789474</v>
      </c>
      <c r="M61" s="23">
        <v>6.0</v>
      </c>
      <c r="N61" s="23">
        <v>7.105263157894737</v>
      </c>
      <c r="O61" s="23">
        <v>14.236842105263158</v>
      </c>
      <c r="P61" s="23">
        <v>8.513157894736842</v>
      </c>
      <c r="Q61" s="23">
        <v>569.4736842105262</v>
      </c>
      <c r="R61" s="23">
        <v>340.5263157894737</v>
      </c>
      <c r="U61" s="28" t="s">
        <v>64</v>
      </c>
      <c r="V61" s="5">
        <v>2164.0</v>
      </c>
      <c r="W61" s="5">
        <v>1294.0</v>
      </c>
      <c r="X61" s="5">
        <v>114.0</v>
      </c>
      <c r="Y61" s="5">
        <v>135.0</v>
      </c>
      <c r="AA61" s="57">
        <v>541.0</v>
      </c>
      <c r="AB61" s="57">
        <v>323.5</v>
      </c>
      <c r="AC61" s="30"/>
      <c r="AF61" s="53"/>
      <c r="AG61" s="53"/>
      <c r="AH61" s="53"/>
      <c r="AI61" s="53"/>
      <c r="AJ61" s="53"/>
      <c r="AK61" s="53"/>
      <c r="AL61" s="53"/>
      <c r="AM61" s="30"/>
    </row>
    <row r="62" ht="15.75" customHeight="1">
      <c r="A62" s="22" t="str">
        <f t="shared" si="4"/>
        <v>viernes</v>
      </c>
      <c r="B62" s="24" t="str">
        <f t="shared" si="5"/>
        <v>agosto</v>
      </c>
      <c r="C62" s="25">
        <v>46241.0</v>
      </c>
      <c r="D62" s="26" t="s">
        <v>64</v>
      </c>
      <c r="E62" s="27">
        <v>126.0</v>
      </c>
      <c r="F62" s="27">
        <v>76.0</v>
      </c>
      <c r="G62" s="27">
        <v>4.0</v>
      </c>
      <c r="H62" s="27">
        <v>2.0</v>
      </c>
      <c r="J62" s="28" t="s">
        <v>65</v>
      </c>
      <c r="K62" s="23">
        <v>65.71428571428571</v>
      </c>
      <c r="L62" s="23">
        <v>54.23809523809524</v>
      </c>
      <c r="M62" s="23">
        <v>5.142857142857143</v>
      </c>
      <c r="N62" s="23">
        <v>2.7142857142857144</v>
      </c>
      <c r="O62" s="23">
        <v>8.214285714285714</v>
      </c>
      <c r="P62" s="23">
        <v>6.779761904761905</v>
      </c>
      <c r="Q62" s="23">
        <v>328.57142857142856</v>
      </c>
      <c r="R62" s="23">
        <v>271.1904761904762</v>
      </c>
      <c r="U62" s="28" t="s">
        <v>65</v>
      </c>
      <c r="V62" s="5">
        <v>1380.0</v>
      </c>
      <c r="W62" s="5">
        <v>1139.0</v>
      </c>
      <c r="X62" s="5">
        <v>108.0</v>
      </c>
      <c r="Y62" s="5">
        <v>57.0</v>
      </c>
      <c r="AA62" s="57">
        <v>345.0</v>
      </c>
      <c r="AB62" s="57">
        <v>284.75</v>
      </c>
      <c r="AC62" s="30"/>
      <c r="AF62" s="55"/>
      <c r="AG62" s="55"/>
      <c r="AH62" s="55"/>
      <c r="AI62" s="55"/>
      <c r="AJ62" s="55"/>
      <c r="AK62" s="55"/>
      <c r="AL62" s="55"/>
      <c r="AM62" s="51"/>
    </row>
    <row r="63" ht="15.75" customHeight="1">
      <c r="A63" s="22" t="str">
        <f t="shared" si="4"/>
        <v>viernes</v>
      </c>
      <c r="B63" s="24" t="str">
        <f t="shared" si="5"/>
        <v>agosto</v>
      </c>
      <c r="C63" s="25">
        <v>46241.0</v>
      </c>
      <c r="D63" s="26" t="s">
        <v>65</v>
      </c>
      <c r="E63" s="27">
        <v>55.0</v>
      </c>
      <c r="F63" s="27">
        <v>44.0</v>
      </c>
      <c r="G63" s="27">
        <v>4.0</v>
      </c>
      <c r="H63" s="27">
        <v>3.0</v>
      </c>
      <c r="J63" s="28" t="s">
        <v>51</v>
      </c>
      <c r="K63" s="23">
        <v>95.4</v>
      </c>
      <c r="L63" s="23">
        <v>78.33333333333333</v>
      </c>
      <c r="M63" s="23">
        <v>2.933333333333333</v>
      </c>
      <c r="N63" s="23">
        <v>15.066666666666666</v>
      </c>
      <c r="O63" s="23">
        <v>8.672727272727274</v>
      </c>
      <c r="P63" s="23">
        <v>7.121212121212121</v>
      </c>
      <c r="Q63" s="23">
        <v>381.6</v>
      </c>
      <c r="R63" s="23">
        <v>313.3333333333333</v>
      </c>
      <c r="U63" s="28" t="s">
        <v>60</v>
      </c>
      <c r="V63" s="5">
        <v>2012.0</v>
      </c>
      <c r="W63" s="5">
        <v>1462.0</v>
      </c>
      <c r="X63" s="5">
        <v>77.0</v>
      </c>
      <c r="Y63" s="5">
        <v>49.0</v>
      </c>
      <c r="AA63" s="57">
        <v>503.0</v>
      </c>
      <c r="AB63" s="57">
        <v>365.5</v>
      </c>
      <c r="AC63" s="51"/>
      <c r="AF63" s="55"/>
      <c r="AG63" s="55"/>
      <c r="AH63" s="55"/>
      <c r="AI63" s="55"/>
      <c r="AJ63" s="55"/>
      <c r="AK63" s="55"/>
      <c r="AL63" s="55"/>
      <c r="AM63" s="51"/>
    </row>
    <row r="64" ht="15.75" customHeight="1">
      <c r="A64" s="22" t="str">
        <f t="shared" si="4"/>
        <v>viernes</v>
      </c>
      <c r="B64" s="24" t="str">
        <f t="shared" si="5"/>
        <v>agosto</v>
      </c>
      <c r="C64" s="25">
        <v>46241.0</v>
      </c>
      <c r="D64" s="26" t="s">
        <v>66</v>
      </c>
      <c r="E64" s="27">
        <v>110.0</v>
      </c>
      <c r="F64" s="27">
        <v>82.0</v>
      </c>
      <c r="G64" s="27">
        <v>1.0</v>
      </c>
      <c r="H64" s="27">
        <v>12.0</v>
      </c>
      <c r="J64" s="28" t="s">
        <v>66</v>
      </c>
      <c r="K64" s="23">
        <v>106.66666666666667</v>
      </c>
      <c r="L64" s="23">
        <v>92.33333333333333</v>
      </c>
      <c r="M64" s="23">
        <v>0.38095238095238093</v>
      </c>
      <c r="N64" s="23">
        <v>2.9047619047619047</v>
      </c>
      <c r="O64" s="23">
        <v>13.333333333333334</v>
      </c>
      <c r="P64" s="23">
        <v>11.541666666666666</v>
      </c>
      <c r="Q64" s="23">
        <v>533.3333333333334</v>
      </c>
      <c r="R64" s="23">
        <v>461.66666666666663</v>
      </c>
      <c r="U64" s="28" t="s">
        <v>66</v>
      </c>
      <c r="V64" s="5">
        <v>2240.0</v>
      </c>
      <c r="W64" s="5">
        <v>1939.0</v>
      </c>
      <c r="X64" s="5">
        <v>8.0</v>
      </c>
      <c r="Y64" s="5">
        <v>61.0</v>
      </c>
      <c r="AA64" s="57">
        <v>560.0</v>
      </c>
      <c r="AB64" s="57">
        <v>484.75</v>
      </c>
    </row>
    <row r="65" ht="15.75" customHeight="1">
      <c r="A65" s="22" t="str">
        <f t="shared" si="4"/>
        <v>sábado</v>
      </c>
      <c r="B65" s="24" t="str">
        <f t="shared" si="5"/>
        <v>agosto</v>
      </c>
      <c r="C65" s="25">
        <v>46242.0</v>
      </c>
      <c r="D65" s="26" t="s">
        <v>40</v>
      </c>
      <c r="E65" s="27">
        <v>58.0</v>
      </c>
      <c r="F65" s="27">
        <v>29.0</v>
      </c>
      <c r="G65" s="27">
        <v>2.0</v>
      </c>
      <c r="H65" s="27">
        <v>6.0</v>
      </c>
      <c r="K65" s="23"/>
      <c r="L65" s="23"/>
      <c r="M65" s="23"/>
      <c r="N65" s="23"/>
      <c r="O65" s="23"/>
      <c r="P65" s="23"/>
      <c r="Q65" s="23"/>
      <c r="R65" s="23"/>
      <c r="V65" s="55"/>
      <c r="W65" s="55"/>
      <c r="X65" s="55"/>
      <c r="Y65" s="55"/>
      <c r="AA65" s="23"/>
      <c r="AB65" s="23"/>
    </row>
    <row r="66" ht="15.75" customHeight="1">
      <c r="A66" s="22" t="str">
        <f t="shared" si="4"/>
        <v>sábado</v>
      </c>
      <c r="B66" s="24" t="str">
        <f t="shared" si="5"/>
        <v>agosto</v>
      </c>
      <c r="C66" s="25">
        <v>46242.0</v>
      </c>
      <c r="D66" s="22" t="s">
        <v>43</v>
      </c>
      <c r="E66" s="27">
        <v>56.0</v>
      </c>
      <c r="F66" s="27">
        <v>23.0</v>
      </c>
      <c r="G66" s="27">
        <v>5.0</v>
      </c>
      <c r="H66" s="27">
        <v>13.0</v>
      </c>
      <c r="V66" s="57"/>
      <c r="W66" s="57"/>
      <c r="X66" s="57"/>
      <c r="Y66" s="57"/>
    </row>
    <row r="67" ht="15.75" customHeight="1">
      <c r="A67" s="22" t="str">
        <f t="shared" si="4"/>
        <v>sábado</v>
      </c>
      <c r="B67" s="24" t="str">
        <f t="shared" si="5"/>
        <v>agosto</v>
      </c>
      <c r="C67" s="25">
        <v>46242.0</v>
      </c>
      <c r="D67" s="22" t="s">
        <v>46</v>
      </c>
      <c r="E67" s="27">
        <v>71.0</v>
      </c>
      <c r="F67" s="27">
        <v>42.0</v>
      </c>
      <c r="G67" s="27">
        <v>3.0</v>
      </c>
      <c r="H67" s="27">
        <v>10.0</v>
      </c>
      <c r="J67" s="5" t="s">
        <v>95</v>
      </c>
    </row>
    <row r="68" ht="15.75" customHeight="1">
      <c r="A68" s="22" t="str">
        <f t="shared" si="4"/>
        <v>sábado</v>
      </c>
      <c r="B68" s="24" t="str">
        <f t="shared" si="5"/>
        <v>agosto</v>
      </c>
      <c r="C68" s="25">
        <v>46242.0</v>
      </c>
      <c r="D68" s="26" t="s">
        <v>52</v>
      </c>
      <c r="E68" s="27">
        <v>33.0</v>
      </c>
      <c r="F68" s="27">
        <v>23.0</v>
      </c>
      <c r="G68" s="27">
        <v>4.0</v>
      </c>
      <c r="H68" s="27">
        <v>3.0</v>
      </c>
      <c r="V68" s="44"/>
    </row>
    <row r="69" ht="15.75" customHeight="1">
      <c r="A69" s="22" t="str">
        <f t="shared" si="4"/>
        <v>sábado</v>
      </c>
      <c r="B69" s="24" t="str">
        <f t="shared" si="5"/>
        <v>agosto</v>
      </c>
      <c r="C69" s="25">
        <v>46242.0</v>
      </c>
      <c r="D69" s="26" t="s">
        <v>53</v>
      </c>
      <c r="E69" s="27">
        <v>89.0</v>
      </c>
      <c r="F69" s="27">
        <v>58.0</v>
      </c>
      <c r="G69" s="27">
        <v>5.0</v>
      </c>
      <c r="H69" s="27">
        <v>5.0</v>
      </c>
      <c r="J69" s="28" t="s">
        <v>39</v>
      </c>
      <c r="K69" s="23">
        <v>78.52941176470588</v>
      </c>
      <c r="L69" s="23">
        <v>56.8235294117647</v>
      </c>
      <c r="M69" s="23">
        <v>0.4117647058823529</v>
      </c>
      <c r="N69" s="23">
        <v>5.705882352941177</v>
      </c>
      <c r="O69" s="23">
        <v>9.816176470588236</v>
      </c>
      <c r="P69" s="23">
        <v>7.102941176470588</v>
      </c>
      <c r="Q69" s="23">
        <v>392.6470588235294</v>
      </c>
      <c r="R69" s="23">
        <v>284.11764705882354</v>
      </c>
      <c r="U69" s="28" t="s">
        <v>39</v>
      </c>
      <c r="V69" s="5">
        <v>1692.0</v>
      </c>
      <c r="W69" s="5">
        <v>1213.0</v>
      </c>
      <c r="X69" s="5">
        <v>8.0</v>
      </c>
      <c r="Y69" s="5">
        <v>114.0</v>
      </c>
      <c r="Z69" s="5">
        <v>423.0</v>
      </c>
      <c r="AA69" s="5">
        <v>303.25</v>
      </c>
    </row>
    <row r="70" ht="15.75" customHeight="1">
      <c r="A70" s="22" t="str">
        <f t="shared" si="4"/>
        <v>sábado</v>
      </c>
      <c r="B70" s="24" t="str">
        <f t="shared" si="5"/>
        <v>agosto</v>
      </c>
      <c r="C70" s="25">
        <v>46242.0</v>
      </c>
      <c r="D70" s="26" t="s">
        <v>60</v>
      </c>
      <c r="E70" s="27">
        <v>127.0</v>
      </c>
      <c r="F70" s="27">
        <v>92.0</v>
      </c>
      <c r="G70" s="27">
        <v>3.0</v>
      </c>
      <c r="H70" s="27">
        <v>2.0</v>
      </c>
      <c r="J70" s="28" t="s">
        <v>40</v>
      </c>
      <c r="K70" s="23">
        <v>70.64285714285714</v>
      </c>
      <c r="L70" s="23">
        <v>33.42857142857143</v>
      </c>
      <c r="M70" s="23">
        <v>4.357142857142857</v>
      </c>
      <c r="N70" s="23">
        <v>7.5</v>
      </c>
      <c r="O70" s="23">
        <v>7.064285714285714</v>
      </c>
      <c r="P70" s="23">
        <v>3.342857142857143</v>
      </c>
      <c r="Q70" s="23">
        <v>282.57142857142856</v>
      </c>
      <c r="R70" s="23">
        <v>133.71428571428572</v>
      </c>
      <c r="U70" s="28" t="s">
        <v>40</v>
      </c>
      <c r="V70" s="5">
        <v>1260.0</v>
      </c>
      <c r="W70" s="5">
        <v>579.0</v>
      </c>
      <c r="X70" s="5">
        <v>73.0</v>
      </c>
      <c r="Y70" s="5">
        <v>139.0</v>
      </c>
      <c r="Z70" s="23">
        <v>315.0</v>
      </c>
      <c r="AA70" s="23">
        <v>144.75</v>
      </c>
    </row>
    <row r="71" ht="15.75" customHeight="1">
      <c r="A71" s="22" t="str">
        <f t="shared" si="4"/>
        <v>domingo</v>
      </c>
      <c r="B71" s="24" t="str">
        <f t="shared" si="5"/>
        <v>agosto</v>
      </c>
      <c r="C71" s="25">
        <v>46243.0</v>
      </c>
      <c r="D71" s="26" t="s">
        <v>39</v>
      </c>
      <c r="E71" s="27">
        <v>57.0</v>
      </c>
      <c r="F71" s="27">
        <v>43.0</v>
      </c>
      <c r="G71" s="27">
        <v>2.0</v>
      </c>
      <c r="H71" s="27">
        <v>0.0</v>
      </c>
      <c r="J71" s="28" t="s">
        <v>44</v>
      </c>
      <c r="K71" s="23">
        <v>58.25</v>
      </c>
      <c r="L71" s="23">
        <v>55.75</v>
      </c>
      <c r="M71" s="23">
        <v>0.0</v>
      </c>
      <c r="N71" s="23">
        <v>0.0</v>
      </c>
      <c r="O71" s="23">
        <v>5.295454545454546</v>
      </c>
      <c r="P71" s="23">
        <v>5.068181818181818</v>
      </c>
      <c r="Q71" s="23">
        <v>233.0</v>
      </c>
      <c r="R71" s="23">
        <v>223.0</v>
      </c>
      <c r="U71" s="28" t="s">
        <v>41</v>
      </c>
      <c r="V71" s="5">
        <v>1234.0</v>
      </c>
      <c r="W71" s="5">
        <v>902.0</v>
      </c>
      <c r="X71" s="5">
        <v>22.0</v>
      </c>
      <c r="Y71" s="5">
        <v>76.0</v>
      </c>
      <c r="Z71" s="23">
        <v>308.5</v>
      </c>
      <c r="AA71" s="23">
        <v>225.5</v>
      </c>
    </row>
    <row r="72" ht="15.75" customHeight="1">
      <c r="A72" s="22" t="str">
        <f t="shared" si="4"/>
        <v>domingo</v>
      </c>
      <c r="B72" s="24" t="str">
        <f t="shared" si="5"/>
        <v>agosto</v>
      </c>
      <c r="C72" s="25">
        <v>46243.0</v>
      </c>
      <c r="D72" s="26" t="s">
        <v>40</v>
      </c>
      <c r="E72" s="27">
        <v>59.0</v>
      </c>
      <c r="F72" s="27">
        <v>38.0</v>
      </c>
      <c r="G72" s="27">
        <v>6.0</v>
      </c>
      <c r="H72" s="27">
        <v>9.0</v>
      </c>
      <c r="J72" s="28" t="s">
        <v>52</v>
      </c>
      <c r="K72" s="23">
        <v>51.0</v>
      </c>
      <c r="L72" s="23">
        <v>39.15384615384615</v>
      </c>
      <c r="M72" s="23">
        <v>3.3076923076923075</v>
      </c>
      <c r="N72" s="23">
        <v>2.230769230769231</v>
      </c>
      <c r="O72" s="23">
        <v>5.1</v>
      </c>
      <c r="P72" s="23">
        <v>3.9153846153846152</v>
      </c>
      <c r="Q72" s="23">
        <v>204.0</v>
      </c>
      <c r="R72" s="23">
        <v>156.6153846153846</v>
      </c>
      <c r="U72" s="28" t="s">
        <v>42</v>
      </c>
      <c r="V72" s="5">
        <v>1406.0</v>
      </c>
      <c r="W72" s="5">
        <v>963.0</v>
      </c>
      <c r="X72" s="5">
        <v>43.0</v>
      </c>
      <c r="Y72" s="5">
        <v>203.0</v>
      </c>
      <c r="Z72" s="23">
        <v>351.5</v>
      </c>
      <c r="AA72" s="23">
        <v>240.75</v>
      </c>
    </row>
    <row r="73" ht="15.75" customHeight="1">
      <c r="A73" s="22" t="str">
        <f t="shared" si="4"/>
        <v>domingo</v>
      </c>
      <c r="B73" s="24" t="str">
        <f t="shared" si="5"/>
        <v>agosto</v>
      </c>
      <c r="C73" s="25">
        <v>46243.0</v>
      </c>
      <c r="D73" s="22" t="s">
        <v>43</v>
      </c>
      <c r="E73" s="27">
        <v>57.0</v>
      </c>
      <c r="F73" s="27">
        <v>26.0</v>
      </c>
      <c r="G73" s="27">
        <v>4.0</v>
      </c>
      <c r="H73" s="27">
        <v>12.0</v>
      </c>
      <c r="J73" s="28" t="s">
        <v>53</v>
      </c>
      <c r="K73" s="23">
        <v>78.46153846153847</v>
      </c>
      <c r="L73" s="23">
        <v>47.84615384615385</v>
      </c>
      <c r="M73" s="23">
        <v>3.076923076923077</v>
      </c>
      <c r="N73" s="23">
        <v>2.4615384615384617</v>
      </c>
      <c r="O73" s="23">
        <v>7.846153846153847</v>
      </c>
      <c r="P73" s="23">
        <v>4.7846153846153845</v>
      </c>
      <c r="Q73" s="23">
        <v>313.84615384615387</v>
      </c>
      <c r="R73" s="23">
        <v>191.3846153846154</v>
      </c>
      <c r="U73" s="28" t="s">
        <v>44</v>
      </c>
      <c r="V73" s="5">
        <v>233.0</v>
      </c>
      <c r="W73" s="5">
        <v>223.0</v>
      </c>
      <c r="X73" s="5">
        <v>0.0</v>
      </c>
      <c r="Y73" s="5">
        <v>0.0</v>
      </c>
      <c r="Z73" s="23">
        <v>58.25</v>
      </c>
      <c r="AA73" s="23">
        <v>55.75</v>
      </c>
    </row>
    <row r="74" ht="15.75" customHeight="1">
      <c r="A74" s="22" t="str">
        <f t="shared" si="4"/>
        <v>domingo</v>
      </c>
      <c r="B74" s="24" t="str">
        <f t="shared" si="5"/>
        <v>agosto</v>
      </c>
      <c r="C74" s="25">
        <v>46243.0</v>
      </c>
      <c r="D74" s="22" t="s">
        <v>46</v>
      </c>
      <c r="E74" s="27">
        <v>75.0</v>
      </c>
      <c r="F74" s="27">
        <v>38.0</v>
      </c>
      <c r="G74" s="27">
        <v>6.0</v>
      </c>
      <c r="H74" s="27">
        <v>7.0</v>
      </c>
      <c r="J74" s="28" t="s">
        <v>60</v>
      </c>
      <c r="K74" s="23">
        <v>134.16666666666666</v>
      </c>
      <c r="L74" s="23">
        <v>93.08333333333333</v>
      </c>
      <c r="M74" s="23">
        <v>5.583333333333333</v>
      </c>
      <c r="N74" s="23">
        <v>3.9166666666666665</v>
      </c>
      <c r="O74" s="23">
        <v>13.416666666666666</v>
      </c>
      <c r="P74" s="23">
        <v>9.308333333333334</v>
      </c>
      <c r="Q74" s="23">
        <v>536.6666666666666</v>
      </c>
      <c r="R74" s="23">
        <v>372.3333333333333</v>
      </c>
      <c r="U74" s="28" t="s">
        <v>51</v>
      </c>
      <c r="V74" s="5">
        <v>1431.0</v>
      </c>
      <c r="W74" s="5">
        <v>1175.0</v>
      </c>
      <c r="X74" s="5">
        <v>44.0</v>
      </c>
      <c r="Y74" s="5">
        <v>226.0</v>
      </c>
      <c r="Z74" s="23">
        <v>357.75</v>
      </c>
      <c r="AA74" s="23">
        <v>293.75</v>
      </c>
    </row>
    <row r="75" ht="15.75" customHeight="1">
      <c r="A75" s="22" t="str">
        <f t="shared" si="4"/>
        <v>domingo</v>
      </c>
      <c r="B75" s="24" t="str">
        <f t="shared" si="5"/>
        <v>agosto</v>
      </c>
      <c r="C75" s="25">
        <v>46243.0</v>
      </c>
      <c r="D75" s="26" t="s">
        <v>52</v>
      </c>
      <c r="E75" s="27">
        <v>68.0</v>
      </c>
      <c r="F75" s="27">
        <v>44.0</v>
      </c>
      <c r="G75" s="27">
        <v>7.0</v>
      </c>
      <c r="H75" s="27">
        <v>4.0</v>
      </c>
      <c r="J75" s="28" t="s">
        <v>41</v>
      </c>
      <c r="K75" s="23">
        <v>77.46153846153847</v>
      </c>
      <c r="L75" s="23">
        <v>57.0</v>
      </c>
      <c r="M75" s="23">
        <v>1.3846153846153846</v>
      </c>
      <c r="N75" s="23">
        <v>4.384615384615385</v>
      </c>
      <c r="O75" s="23">
        <v>7.0419580419580425</v>
      </c>
      <c r="P75" s="23">
        <v>5.181818181818182</v>
      </c>
      <c r="Q75" s="23">
        <v>309.84615384615387</v>
      </c>
      <c r="R75" s="23">
        <v>228.0</v>
      </c>
      <c r="U75" s="28" t="s">
        <v>67</v>
      </c>
      <c r="V75" s="5">
        <v>690.0</v>
      </c>
      <c r="W75" s="5">
        <v>554.0</v>
      </c>
      <c r="X75" s="5">
        <v>39.0</v>
      </c>
      <c r="Y75" s="5">
        <v>26.0</v>
      </c>
      <c r="Z75" s="23">
        <v>172.5</v>
      </c>
      <c r="AA75" s="23">
        <v>138.5</v>
      </c>
    </row>
    <row r="76" ht="15.75" customHeight="1">
      <c r="A76" s="22" t="str">
        <f t="shared" si="4"/>
        <v>domingo</v>
      </c>
      <c r="B76" s="24" t="str">
        <f t="shared" si="5"/>
        <v>agosto</v>
      </c>
      <c r="C76" s="25">
        <v>46243.0</v>
      </c>
      <c r="D76" s="26" t="s">
        <v>53</v>
      </c>
      <c r="E76" s="27">
        <v>99.0</v>
      </c>
      <c r="F76" s="27">
        <v>40.0</v>
      </c>
      <c r="G76" s="27">
        <v>0.0</v>
      </c>
      <c r="H76" s="27">
        <v>0.0</v>
      </c>
      <c r="J76" s="28" t="s">
        <v>42</v>
      </c>
      <c r="K76" s="23">
        <v>86.92307692307692</v>
      </c>
      <c r="L76" s="23">
        <v>58.69230769230769</v>
      </c>
      <c r="M76" s="23">
        <v>2.8461538461538463</v>
      </c>
      <c r="N76" s="23">
        <v>12.153846153846153</v>
      </c>
      <c r="O76" s="23">
        <v>8.692307692307692</v>
      </c>
      <c r="P76" s="23">
        <v>5.86923076923077</v>
      </c>
      <c r="Q76" s="23">
        <v>347.6923076923077</v>
      </c>
      <c r="R76" s="23">
        <v>234.76923076923077</v>
      </c>
      <c r="U76" s="28" t="s">
        <v>58</v>
      </c>
      <c r="V76" s="5">
        <v>1067.0</v>
      </c>
      <c r="W76" s="5">
        <v>665.0</v>
      </c>
      <c r="X76" s="5">
        <v>47.0</v>
      </c>
      <c r="Y76" s="5">
        <v>72.0</v>
      </c>
      <c r="Z76" s="23">
        <v>266.75</v>
      </c>
      <c r="AA76" s="23">
        <v>166.25</v>
      </c>
    </row>
    <row r="77" ht="15.75" customHeight="1">
      <c r="A77" s="22" t="str">
        <f t="shared" si="4"/>
        <v>domingo</v>
      </c>
      <c r="B77" s="24" t="str">
        <f t="shared" si="5"/>
        <v>agosto</v>
      </c>
      <c r="C77" s="25">
        <v>46243.0</v>
      </c>
      <c r="D77" s="26" t="s">
        <v>60</v>
      </c>
      <c r="E77" s="27">
        <v>129.0</v>
      </c>
      <c r="F77" s="27">
        <v>100.0</v>
      </c>
      <c r="G77" s="27">
        <v>5.0</v>
      </c>
      <c r="H77" s="27">
        <v>0.0</v>
      </c>
      <c r="J77" s="28" t="s">
        <v>67</v>
      </c>
      <c r="K77" s="23">
        <v>57.6</v>
      </c>
      <c r="L77" s="23">
        <v>45.5</v>
      </c>
      <c r="M77" s="23">
        <v>3.4</v>
      </c>
      <c r="N77" s="23">
        <v>2.4</v>
      </c>
      <c r="O77" s="23">
        <v>5.76</v>
      </c>
      <c r="P77" s="23">
        <v>4.55</v>
      </c>
      <c r="Q77" s="23">
        <v>230.4</v>
      </c>
      <c r="R77" s="23">
        <v>182.0</v>
      </c>
      <c r="U77" s="28" t="s">
        <v>52</v>
      </c>
      <c r="V77" s="5">
        <v>910.0</v>
      </c>
      <c r="W77" s="5">
        <v>683.0</v>
      </c>
      <c r="X77" s="5">
        <v>58.0</v>
      </c>
      <c r="Y77" s="5">
        <v>53.0</v>
      </c>
      <c r="Z77" s="23">
        <v>227.5</v>
      </c>
      <c r="AA77" s="23">
        <v>170.75</v>
      </c>
    </row>
    <row r="78" ht="15.75" customHeight="1">
      <c r="A78" s="22" t="str">
        <f t="shared" si="4"/>
        <v>lunes</v>
      </c>
      <c r="B78" s="24" t="str">
        <f t="shared" si="5"/>
        <v>agosto</v>
      </c>
      <c r="C78" s="25">
        <v>46244.0</v>
      </c>
      <c r="D78" s="26" t="s">
        <v>39</v>
      </c>
      <c r="E78" s="27">
        <v>62.0</v>
      </c>
      <c r="F78" s="27">
        <v>47.0</v>
      </c>
      <c r="G78" s="27">
        <v>0.0</v>
      </c>
      <c r="H78" s="27">
        <v>7.0</v>
      </c>
      <c r="J78" s="28" t="s">
        <v>58</v>
      </c>
      <c r="K78" s="23">
        <v>59.285714285714285</v>
      </c>
      <c r="L78" s="23">
        <v>36.642857142857146</v>
      </c>
      <c r="M78" s="23">
        <v>2.5</v>
      </c>
      <c r="N78" s="23">
        <v>4.428571428571429</v>
      </c>
      <c r="O78" s="23">
        <v>7.410714285714286</v>
      </c>
      <c r="P78" s="23">
        <v>4.580357142857143</v>
      </c>
      <c r="Q78" s="23">
        <v>296.42857142857144</v>
      </c>
      <c r="R78" s="23">
        <v>183.21428571428572</v>
      </c>
      <c r="U78" s="28" t="s">
        <v>53</v>
      </c>
      <c r="V78" s="5">
        <v>1339.0</v>
      </c>
      <c r="W78" s="5">
        <v>844.0</v>
      </c>
      <c r="X78" s="5">
        <v>56.0</v>
      </c>
      <c r="Y78" s="5">
        <v>37.0</v>
      </c>
      <c r="Z78" s="23">
        <v>334.75</v>
      </c>
      <c r="AA78" s="23">
        <v>211.0</v>
      </c>
    </row>
    <row r="79" ht="15.75" customHeight="1">
      <c r="A79" s="22" t="str">
        <f t="shared" si="4"/>
        <v>lunes</v>
      </c>
      <c r="B79" s="24" t="str">
        <f t="shared" si="5"/>
        <v>agosto</v>
      </c>
      <c r="C79" s="25">
        <v>46244.0</v>
      </c>
      <c r="D79" s="26" t="s">
        <v>41</v>
      </c>
      <c r="E79" s="27">
        <v>75.0</v>
      </c>
      <c r="F79" s="27">
        <v>55.0</v>
      </c>
      <c r="G79" s="27">
        <v>1.0</v>
      </c>
      <c r="H79" s="27">
        <v>3.0</v>
      </c>
      <c r="J79" s="28" t="s">
        <v>64</v>
      </c>
      <c r="K79" s="23">
        <v>110.4</v>
      </c>
      <c r="L79" s="23">
        <v>65.13333333333334</v>
      </c>
      <c r="M79" s="23">
        <v>5.533333333333333</v>
      </c>
      <c r="N79" s="23">
        <v>7.266666666666667</v>
      </c>
      <c r="O79" s="23">
        <v>13.8</v>
      </c>
      <c r="P79" s="23">
        <v>8.141666666666667</v>
      </c>
      <c r="Q79" s="23">
        <v>552.0</v>
      </c>
      <c r="R79" s="23">
        <v>325.6666666666667</v>
      </c>
      <c r="U79" s="28" t="s">
        <v>64</v>
      </c>
      <c r="V79" s="5">
        <v>2164.0</v>
      </c>
      <c r="W79" s="5">
        <v>1294.0</v>
      </c>
      <c r="X79" s="5">
        <v>114.0</v>
      </c>
      <c r="Y79" s="5">
        <v>135.0</v>
      </c>
      <c r="Z79" s="23">
        <v>541.0</v>
      </c>
      <c r="AA79" s="23">
        <v>323.5</v>
      </c>
    </row>
    <row r="80" ht="15.75" customHeight="1">
      <c r="A80" s="22" t="str">
        <f t="shared" si="4"/>
        <v>lunes</v>
      </c>
      <c r="B80" s="24" t="str">
        <f t="shared" si="5"/>
        <v>agosto</v>
      </c>
      <c r="C80" s="25">
        <v>46244.0</v>
      </c>
      <c r="D80" s="26" t="s">
        <v>42</v>
      </c>
      <c r="E80" s="27">
        <v>84.0</v>
      </c>
      <c r="F80" s="27">
        <v>55.0</v>
      </c>
      <c r="G80" s="27">
        <v>2.0</v>
      </c>
      <c r="H80" s="27">
        <v>8.0</v>
      </c>
      <c r="J80" s="28" t="s">
        <v>65</v>
      </c>
      <c r="K80" s="23">
        <v>64.5625</v>
      </c>
      <c r="L80" s="23">
        <v>53.5625</v>
      </c>
      <c r="M80" s="23">
        <v>5.4375</v>
      </c>
      <c r="N80" s="23">
        <v>2.6875</v>
      </c>
      <c r="O80" s="23">
        <v>8.0703125</v>
      </c>
      <c r="P80" s="23">
        <v>6.6953125</v>
      </c>
      <c r="Q80" s="23">
        <v>322.8125</v>
      </c>
      <c r="R80" s="23">
        <v>267.8125</v>
      </c>
      <c r="U80" s="28" t="s">
        <v>65</v>
      </c>
      <c r="V80" s="5">
        <v>1316.0</v>
      </c>
      <c r="W80" s="5">
        <v>1093.0</v>
      </c>
      <c r="X80" s="5">
        <v>106.0</v>
      </c>
      <c r="Y80" s="5">
        <v>54.0</v>
      </c>
      <c r="Z80" s="23">
        <v>329.0</v>
      </c>
      <c r="AA80" s="23">
        <v>273.25</v>
      </c>
    </row>
    <row r="81" ht="15.75" customHeight="1">
      <c r="A81" s="22" t="str">
        <f t="shared" si="4"/>
        <v>lunes</v>
      </c>
      <c r="B81" s="24" t="str">
        <f t="shared" si="5"/>
        <v>agosto</v>
      </c>
      <c r="C81" s="25">
        <v>46244.0</v>
      </c>
      <c r="D81" s="26" t="s">
        <v>44</v>
      </c>
      <c r="E81" s="27">
        <v>62.0</v>
      </c>
      <c r="F81" s="27">
        <v>65.0</v>
      </c>
      <c r="G81" s="27">
        <v>0.0</v>
      </c>
      <c r="H81" s="27">
        <v>0.0</v>
      </c>
      <c r="J81" s="28" t="s">
        <v>51</v>
      </c>
      <c r="K81" s="23">
        <v>93.9090909090909</v>
      </c>
      <c r="L81" s="23">
        <v>75.72727272727273</v>
      </c>
      <c r="M81" s="23">
        <v>3.3636363636363638</v>
      </c>
      <c r="N81" s="23">
        <v>16.181818181818183</v>
      </c>
      <c r="O81" s="23">
        <v>8.537190082644628</v>
      </c>
      <c r="P81" s="23">
        <v>6.884297520661158</v>
      </c>
      <c r="Q81" s="23">
        <v>375.6363636363636</v>
      </c>
      <c r="R81" s="23">
        <v>302.90909090909093</v>
      </c>
      <c r="U81" s="28" t="s">
        <v>60</v>
      </c>
      <c r="V81" s="5">
        <v>2012.0</v>
      </c>
      <c r="W81" s="5">
        <v>1462.0</v>
      </c>
      <c r="X81" s="5">
        <v>77.0</v>
      </c>
      <c r="Y81" s="5">
        <v>49.0</v>
      </c>
      <c r="Z81" s="23">
        <v>503.0</v>
      </c>
      <c r="AA81" s="23">
        <v>365.5</v>
      </c>
    </row>
    <row r="82" ht="15.75" customHeight="1">
      <c r="A82" s="22" t="str">
        <f t="shared" si="4"/>
        <v>lunes</v>
      </c>
      <c r="B82" s="24" t="str">
        <f t="shared" si="5"/>
        <v>agosto</v>
      </c>
      <c r="C82" s="25">
        <v>46244.0</v>
      </c>
      <c r="D82" s="22" t="s">
        <v>46</v>
      </c>
      <c r="E82" s="27">
        <v>68.0</v>
      </c>
      <c r="F82" s="27">
        <v>30.0</v>
      </c>
      <c r="G82" s="27">
        <v>8.0</v>
      </c>
      <c r="H82" s="27">
        <v>10.0</v>
      </c>
      <c r="J82" s="28" t="s">
        <v>66</v>
      </c>
      <c r="K82" s="23">
        <v>104.625</v>
      </c>
      <c r="L82" s="23">
        <v>89.375</v>
      </c>
      <c r="M82" s="23">
        <v>0.5</v>
      </c>
      <c r="N82" s="23">
        <v>3.0</v>
      </c>
      <c r="O82" s="23">
        <v>13.078125</v>
      </c>
      <c r="P82" s="23">
        <v>11.171875</v>
      </c>
      <c r="Q82" s="23">
        <v>523.125</v>
      </c>
      <c r="R82" s="23">
        <v>446.875</v>
      </c>
      <c r="U82" s="28" t="s">
        <v>66</v>
      </c>
      <c r="V82" s="5">
        <v>2163.0</v>
      </c>
      <c r="W82" s="5">
        <v>1870.0</v>
      </c>
      <c r="X82" s="5">
        <v>8.0</v>
      </c>
      <c r="Y82" s="5">
        <v>59.0</v>
      </c>
      <c r="Z82" s="23">
        <v>540.75</v>
      </c>
      <c r="AA82" s="23">
        <v>467.5</v>
      </c>
    </row>
    <row r="83" ht="15.75" customHeight="1">
      <c r="A83" s="22" t="str">
        <f t="shared" si="4"/>
        <v>lunes</v>
      </c>
      <c r="B83" s="24" t="str">
        <f t="shared" si="5"/>
        <v>agosto</v>
      </c>
      <c r="C83" s="25">
        <v>46244.0</v>
      </c>
      <c r="D83" s="26" t="s">
        <v>67</v>
      </c>
      <c r="E83" s="27">
        <v>48.0</v>
      </c>
      <c r="F83" s="27">
        <v>40.0</v>
      </c>
      <c r="G83" s="27">
        <v>2.0</v>
      </c>
      <c r="H83" s="27">
        <v>7.0</v>
      </c>
      <c r="U83" s="5" t="s">
        <v>98</v>
      </c>
      <c r="V83" s="5">
        <v>18917.0</v>
      </c>
      <c r="W83" s="5">
        <v>13520.0</v>
      </c>
      <c r="X83" s="5">
        <v>695.0</v>
      </c>
      <c r="Y83" s="5">
        <v>1243.0</v>
      </c>
      <c r="Z83" s="23">
        <v>4729.25</v>
      </c>
      <c r="AA83" s="23">
        <v>3380.0</v>
      </c>
    </row>
    <row r="84" ht="15.75" customHeight="1">
      <c r="A84" s="22" t="str">
        <f t="shared" si="4"/>
        <v>lunes</v>
      </c>
      <c r="B84" s="24" t="str">
        <f t="shared" si="5"/>
        <v>agosto</v>
      </c>
      <c r="C84" s="25">
        <v>46244.0</v>
      </c>
      <c r="D84" s="26" t="s">
        <v>58</v>
      </c>
      <c r="E84" s="27">
        <v>53.0</v>
      </c>
      <c r="F84" s="27">
        <v>27.0</v>
      </c>
      <c r="G84" s="27">
        <v>2.0</v>
      </c>
      <c r="H84" s="27">
        <v>4.0</v>
      </c>
    </row>
    <row r="85" ht="15.75" customHeight="1">
      <c r="A85" s="22" t="str">
        <f t="shared" si="4"/>
        <v>lunes</v>
      </c>
      <c r="B85" s="24" t="str">
        <f t="shared" si="5"/>
        <v>agosto</v>
      </c>
      <c r="C85" s="25">
        <v>46244.0</v>
      </c>
      <c r="D85" s="26" t="s">
        <v>64</v>
      </c>
      <c r="E85" s="27">
        <v>95.0</v>
      </c>
      <c r="F85" s="27">
        <v>53.0</v>
      </c>
      <c r="G85" s="27">
        <v>9.0</v>
      </c>
      <c r="H85" s="27">
        <v>6.0</v>
      </c>
      <c r="K85" s="49" t="s">
        <v>60</v>
      </c>
      <c r="L85" s="49" t="s">
        <v>60</v>
      </c>
      <c r="M85" s="49" t="s">
        <v>60</v>
      </c>
      <c r="N85" s="49" t="s">
        <v>51</v>
      </c>
      <c r="O85" s="49" t="s">
        <v>64</v>
      </c>
      <c r="P85" s="49" t="s">
        <v>66</v>
      </c>
      <c r="Q85" s="49" t="s">
        <v>64</v>
      </c>
      <c r="R85" s="50" t="s">
        <v>66</v>
      </c>
    </row>
    <row r="86" ht="15.75" customHeight="1">
      <c r="A86" s="22" t="str">
        <f t="shared" si="4"/>
        <v>lunes</v>
      </c>
      <c r="B86" s="24" t="str">
        <f t="shared" si="5"/>
        <v>agosto</v>
      </c>
      <c r="C86" s="25">
        <v>46244.0</v>
      </c>
      <c r="D86" s="26" t="s">
        <v>65</v>
      </c>
      <c r="E86" s="27">
        <v>71.0</v>
      </c>
      <c r="F86" s="27">
        <v>60.0</v>
      </c>
      <c r="G86" s="27">
        <v>4.0</v>
      </c>
      <c r="H86" s="27">
        <v>2.0</v>
      </c>
      <c r="K86" s="49" t="s">
        <v>64</v>
      </c>
      <c r="L86" s="49" t="s">
        <v>66</v>
      </c>
      <c r="M86" s="49" t="s">
        <v>64</v>
      </c>
      <c r="N86" s="49" t="s">
        <v>42</v>
      </c>
      <c r="O86" s="49" t="s">
        <v>60</v>
      </c>
      <c r="P86" s="49" t="s">
        <v>60</v>
      </c>
      <c r="Q86" s="49" t="s">
        <v>60</v>
      </c>
      <c r="R86" s="50" t="s">
        <v>60</v>
      </c>
    </row>
    <row r="87" ht="15.75" customHeight="1">
      <c r="A87" s="22" t="str">
        <f t="shared" si="4"/>
        <v>lunes</v>
      </c>
      <c r="B87" s="24" t="str">
        <f t="shared" si="5"/>
        <v>agosto</v>
      </c>
      <c r="C87" s="25">
        <v>46244.0</v>
      </c>
      <c r="D87" s="26" t="s">
        <v>60</v>
      </c>
      <c r="E87" s="27">
        <v>71.0</v>
      </c>
      <c r="F87" s="27">
        <v>27.0</v>
      </c>
      <c r="G87" s="27">
        <v>6.0</v>
      </c>
      <c r="H87" s="27">
        <v>8.0</v>
      </c>
      <c r="K87" s="49" t="s">
        <v>66</v>
      </c>
      <c r="L87" s="49" t="s">
        <v>51</v>
      </c>
      <c r="M87" s="49" t="s">
        <v>65</v>
      </c>
      <c r="N87" s="49" t="s">
        <v>40</v>
      </c>
      <c r="O87" s="49" t="s">
        <v>66</v>
      </c>
      <c r="P87" s="49" t="s">
        <v>64</v>
      </c>
      <c r="Q87" s="49" t="s">
        <v>66</v>
      </c>
      <c r="R87" s="50" t="s">
        <v>64</v>
      </c>
    </row>
    <row r="88" ht="15.75" customHeight="1">
      <c r="A88" s="22" t="str">
        <f t="shared" si="4"/>
        <v>lunes</v>
      </c>
      <c r="B88" s="24" t="str">
        <f t="shared" si="5"/>
        <v>agosto</v>
      </c>
      <c r="C88" s="25">
        <v>46244.0</v>
      </c>
      <c r="D88" s="26" t="s">
        <v>66</v>
      </c>
      <c r="E88" s="27">
        <v>86.0</v>
      </c>
      <c r="F88" s="27">
        <v>79.0</v>
      </c>
      <c r="G88" s="27">
        <v>1.0</v>
      </c>
      <c r="H88" s="27">
        <v>3.0</v>
      </c>
      <c r="K88" s="49" t="s">
        <v>51</v>
      </c>
      <c r="L88" s="49" t="s">
        <v>64</v>
      </c>
      <c r="M88" s="49" t="s">
        <v>40</v>
      </c>
      <c r="N88" s="49" t="s">
        <v>64</v>
      </c>
      <c r="O88" s="49" t="s">
        <v>39</v>
      </c>
      <c r="P88" s="49" t="s">
        <v>39</v>
      </c>
      <c r="Q88" s="49" t="s">
        <v>39</v>
      </c>
      <c r="R88" s="50" t="s">
        <v>51</v>
      </c>
    </row>
    <row r="89" ht="15.75" customHeight="1">
      <c r="A89" s="22" t="str">
        <f t="shared" si="4"/>
        <v>martes</v>
      </c>
      <c r="B89" s="24" t="str">
        <f t="shared" si="5"/>
        <v>agosto</v>
      </c>
      <c r="C89" s="25">
        <v>46245.0</v>
      </c>
      <c r="D89" s="26" t="s">
        <v>39</v>
      </c>
      <c r="E89" s="27">
        <v>64.0</v>
      </c>
      <c r="F89" s="27">
        <v>52.0</v>
      </c>
      <c r="G89" s="27">
        <v>0.0</v>
      </c>
      <c r="H89" s="27">
        <v>7.0</v>
      </c>
      <c r="K89" s="49" t="s">
        <v>42</v>
      </c>
      <c r="L89" s="49" t="s">
        <v>42</v>
      </c>
      <c r="M89" s="49" t="s">
        <v>67</v>
      </c>
      <c r="N89" s="49" t="s">
        <v>39</v>
      </c>
      <c r="O89" s="49" t="s">
        <v>42</v>
      </c>
      <c r="P89" s="49" t="s">
        <v>51</v>
      </c>
      <c r="Q89" s="49" t="s">
        <v>51</v>
      </c>
      <c r="R89" s="50" t="s">
        <v>39</v>
      </c>
    </row>
    <row r="90" ht="15.75" customHeight="1">
      <c r="A90" s="22" t="str">
        <f t="shared" si="4"/>
        <v>martes</v>
      </c>
      <c r="B90" s="24" t="str">
        <f t="shared" si="5"/>
        <v>agosto</v>
      </c>
      <c r="C90" s="25">
        <v>46245.0</v>
      </c>
      <c r="D90" s="26" t="s">
        <v>41</v>
      </c>
      <c r="E90" s="27">
        <v>73.0</v>
      </c>
      <c r="F90" s="27">
        <v>62.0</v>
      </c>
      <c r="G90" s="27">
        <v>2.0</v>
      </c>
      <c r="H90" s="27">
        <v>5.0</v>
      </c>
      <c r="K90" s="52" t="s">
        <v>39</v>
      </c>
      <c r="L90" s="52" t="s">
        <v>41</v>
      </c>
      <c r="M90" s="52" t="s">
        <v>51</v>
      </c>
      <c r="N90" s="52" t="s">
        <v>58</v>
      </c>
      <c r="O90" s="52" t="s">
        <v>51</v>
      </c>
      <c r="P90" s="52" t="s">
        <v>65</v>
      </c>
      <c r="Q90" s="52" t="s">
        <v>42</v>
      </c>
      <c r="R90" s="52" t="s">
        <v>65</v>
      </c>
    </row>
    <row r="91" ht="15.75" customHeight="1">
      <c r="A91" s="22" t="str">
        <f t="shared" si="4"/>
        <v>martes</v>
      </c>
      <c r="B91" s="24" t="str">
        <f t="shared" si="5"/>
        <v>agosto</v>
      </c>
      <c r="C91" s="25">
        <v>46245.0</v>
      </c>
      <c r="D91" s="26" t="s">
        <v>42</v>
      </c>
      <c r="E91" s="27">
        <v>93.0</v>
      </c>
      <c r="F91" s="27">
        <v>73.0</v>
      </c>
      <c r="G91" s="27">
        <v>6.0</v>
      </c>
      <c r="H91" s="27">
        <v>10.0</v>
      </c>
      <c r="K91" s="52" t="s">
        <v>53</v>
      </c>
      <c r="L91" s="52" t="s">
        <v>39</v>
      </c>
      <c r="M91" s="52" t="s">
        <v>52</v>
      </c>
      <c r="N91" s="52" t="s">
        <v>41</v>
      </c>
      <c r="O91" s="52" t="s">
        <v>65</v>
      </c>
      <c r="P91" s="52" t="s">
        <v>42</v>
      </c>
      <c r="Q91" s="52" t="s">
        <v>65</v>
      </c>
      <c r="R91" s="52" t="s">
        <v>42</v>
      </c>
    </row>
    <row r="92" ht="15.75" customHeight="1">
      <c r="A92" s="22" t="str">
        <f t="shared" si="4"/>
        <v>martes</v>
      </c>
      <c r="B92" s="24" t="str">
        <f t="shared" si="5"/>
        <v>agosto</v>
      </c>
      <c r="C92" s="25">
        <v>46245.0</v>
      </c>
      <c r="D92" s="22" t="s">
        <v>83</v>
      </c>
      <c r="E92" s="27">
        <v>64.0</v>
      </c>
      <c r="F92" s="27">
        <v>47.0</v>
      </c>
      <c r="G92" s="27">
        <v>1.0</v>
      </c>
      <c r="H92" s="27">
        <v>0.0</v>
      </c>
      <c r="K92" s="52" t="s">
        <v>41</v>
      </c>
      <c r="L92" s="52" t="s">
        <v>44</v>
      </c>
      <c r="M92" s="52" t="s">
        <v>53</v>
      </c>
      <c r="N92" s="52" t="s">
        <v>60</v>
      </c>
      <c r="O92" s="52" t="s">
        <v>53</v>
      </c>
      <c r="P92" s="52" t="s">
        <v>41</v>
      </c>
      <c r="Q92" s="52" t="s">
        <v>53</v>
      </c>
      <c r="R92" s="52" t="s">
        <v>41</v>
      </c>
    </row>
    <row r="93" ht="15.75" customHeight="1">
      <c r="A93" s="22" t="str">
        <f t="shared" si="4"/>
        <v>martes</v>
      </c>
      <c r="B93" s="24" t="str">
        <f t="shared" si="5"/>
        <v>agosto</v>
      </c>
      <c r="C93" s="25">
        <v>46245.0</v>
      </c>
      <c r="D93" s="22" t="s">
        <v>84</v>
      </c>
      <c r="E93" s="27">
        <v>110.0</v>
      </c>
      <c r="F93" s="27">
        <v>58.0</v>
      </c>
      <c r="G93" s="27">
        <v>4.0</v>
      </c>
      <c r="H93" s="27">
        <v>8.0</v>
      </c>
      <c r="K93" s="52" t="s">
        <v>40</v>
      </c>
      <c r="L93" s="52" t="s">
        <v>65</v>
      </c>
      <c r="M93" s="52" t="s">
        <v>42</v>
      </c>
      <c r="N93" s="52" t="s">
        <v>66</v>
      </c>
      <c r="O93" s="52" t="s">
        <v>58</v>
      </c>
      <c r="P93" s="52" t="s">
        <v>44</v>
      </c>
      <c r="Q93" s="52" t="s">
        <v>41</v>
      </c>
      <c r="R93" s="52" t="s">
        <v>44</v>
      </c>
    </row>
    <row r="94" ht="15.75" customHeight="1">
      <c r="A94" s="22" t="str">
        <f t="shared" si="4"/>
        <v>martes</v>
      </c>
      <c r="B94" s="24" t="str">
        <f t="shared" si="5"/>
        <v>agosto</v>
      </c>
      <c r="C94" s="25">
        <v>46245.0</v>
      </c>
      <c r="D94" s="26" t="s">
        <v>58</v>
      </c>
      <c r="E94" s="27">
        <v>78.0</v>
      </c>
      <c r="F94" s="27">
        <v>63.0</v>
      </c>
      <c r="G94" s="27">
        <v>2.0</v>
      </c>
      <c r="H94" s="27">
        <v>6.0</v>
      </c>
      <c r="K94" s="52" t="s">
        <v>65</v>
      </c>
      <c r="L94" s="52" t="s">
        <v>53</v>
      </c>
      <c r="M94" s="52" t="s">
        <v>58</v>
      </c>
      <c r="N94" s="52" t="s">
        <v>65</v>
      </c>
      <c r="O94" s="52" t="s">
        <v>40</v>
      </c>
      <c r="P94" s="52" t="s">
        <v>53</v>
      </c>
      <c r="Q94" s="52" t="s">
        <v>58</v>
      </c>
      <c r="R94" s="52" t="s">
        <v>53</v>
      </c>
    </row>
    <row r="95" ht="15.75" customHeight="1">
      <c r="A95" s="22" t="str">
        <f t="shared" si="4"/>
        <v>martes</v>
      </c>
      <c r="B95" s="24" t="str">
        <f t="shared" si="5"/>
        <v>agosto</v>
      </c>
      <c r="C95" s="25">
        <v>46245.0</v>
      </c>
      <c r="D95" s="26" t="s">
        <v>64</v>
      </c>
      <c r="E95" s="27">
        <v>116.0</v>
      </c>
      <c r="F95" s="27">
        <v>86.0</v>
      </c>
      <c r="G95" s="27">
        <v>2.0</v>
      </c>
      <c r="H95" s="27">
        <v>9.0</v>
      </c>
      <c r="K95" s="54" t="s">
        <v>58</v>
      </c>
      <c r="L95" s="54" t="s">
        <v>67</v>
      </c>
      <c r="M95" s="54" t="s">
        <v>41</v>
      </c>
      <c r="N95" s="54" t="s">
        <v>53</v>
      </c>
      <c r="O95" s="54" t="s">
        <v>41</v>
      </c>
      <c r="P95" s="54" t="s">
        <v>58</v>
      </c>
      <c r="Q95" s="54" t="s">
        <v>40</v>
      </c>
      <c r="R95" s="54" t="s">
        <v>58</v>
      </c>
    </row>
    <row r="96" ht="15.75" customHeight="1">
      <c r="A96" s="22" t="str">
        <f t="shared" si="4"/>
        <v>martes</v>
      </c>
      <c r="B96" s="24" t="str">
        <f t="shared" si="5"/>
        <v>agosto</v>
      </c>
      <c r="C96" s="25">
        <v>46245.0</v>
      </c>
      <c r="D96" s="26" t="s">
        <v>65</v>
      </c>
      <c r="E96" s="27">
        <v>78.0</v>
      </c>
      <c r="F96" s="27">
        <v>74.0</v>
      </c>
      <c r="G96" s="27">
        <v>9.0</v>
      </c>
      <c r="H96" s="27">
        <v>2.0</v>
      </c>
      <c r="K96" s="54" t="s">
        <v>44</v>
      </c>
      <c r="L96" s="54" t="s">
        <v>52</v>
      </c>
      <c r="M96" s="54" t="s">
        <v>66</v>
      </c>
      <c r="N96" s="54" t="s">
        <v>67</v>
      </c>
      <c r="O96" s="54" t="s">
        <v>67</v>
      </c>
      <c r="P96" s="54" t="s">
        <v>67</v>
      </c>
      <c r="Q96" s="54" t="s">
        <v>44</v>
      </c>
      <c r="R96" s="54" t="s">
        <v>67</v>
      </c>
    </row>
    <row r="97" ht="15.75" customHeight="1">
      <c r="A97" s="22" t="str">
        <f t="shared" si="4"/>
        <v>martes</v>
      </c>
      <c r="B97" s="24" t="str">
        <f t="shared" si="5"/>
        <v>agosto</v>
      </c>
      <c r="C97" s="25">
        <v>46245.0</v>
      </c>
      <c r="D97" s="26" t="s">
        <v>66</v>
      </c>
      <c r="E97" s="27">
        <v>104.0</v>
      </c>
      <c r="F97" s="27">
        <v>87.0</v>
      </c>
      <c r="G97" s="27">
        <v>0.0</v>
      </c>
      <c r="H97" s="27">
        <v>5.0</v>
      </c>
      <c r="K97" s="54" t="s">
        <v>67</v>
      </c>
      <c r="L97" s="54" t="s">
        <v>58</v>
      </c>
      <c r="M97" s="54" t="s">
        <v>39</v>
      </c>
      <c r="N97" s="54" t="s">
        <v>52</v>
      </c>
      <c r="O97" s="54" t="s">
        <v>44</v>
      </c>
      <c r="P97" s="54" t="s">
        <v>52</v>
      </c>
      <c r="Q97" s="54" t="s">
        <v>67</v>
      </c>
      <c r="R97" s="54" t="s">
        <v>52</v>
      </c>
    </row>
    <row r="98" ht="15.75" customHeight="1">
      <c r="A98" s="22" t="str">
        <f t="shared" si="4"/>
        <v>miércoles</v>
      </c>
      <c r="B98" s="24" t="str">
        <f t="shared" si="5"/>
        <v>agosto</v>
      </c>
      <c r="C98" s="25">
        <v>46246.0</v>
      </c>
      <c r="D98" s="26" t="s">
        <v>39</v>
      </c>
      <c r="E98" s="27">
        <v>84.0</v>
      </c>
      <c r="F98" s="27">
        <v>66.0</v>
      </c>
      <c r="G98" s="27">
        <v>0.0</v>
      </c>
      <c r="H98" s="27">
        <v>4.0</v>
      </c>
      <c r="K98" s="54" t="s">
        <v>52</v>
      </c>
      <c r="L98" s="54" t="s">
        <v>40</v>
      </c>
      <c r="M98" s="54" t="s">
        <v>44</v>
      </c>
      <c r="N98" s="54" t="s">
        <v>44</v>
      </c>
      <c r="O98" s="54" t="s">
        <v>52</v>
      </c>
      <c r="P98" s="54" t="s">
        <v>40</v>
      </c>
      <c r="Q98" s="54" t="s">
        <v>52</v>
      </c>
      <c r="R98" s="54" t="s">
        <v>40</v>
      </c>
    </row>
    <row r="99" ht="15.75" customHeight="1">
      <c r="A99" s="22" t="str">
        <f t="shared" si="4"/>
        <v>miércoles</v>
      </c>
      <c r="B99" s="24" t="str">
        <f t="shared" si="5"/>
        <v>agosto</v>
      </c>
      <c r="C99" s="25">
        <v>46246.0</v>
      </c>
      <c r="D99" s="26" t="s">
        <v>41</v>
      </c>
      <c r="E99" s="27">
        <v>104.0</v>
      </c>
      <c r="F99" s="27">
        <v>71.0</v>
      </c>
      <c r="G99" s="27">
        <v>2.0</v>
      </c>
      <c r="H99" s="27">
        <v>3.0</v>
      </c>
      <c r="K99" s="55"/>
      <c r="L99" s="55"/>
      <c r="M99" s="55"/>
      <c r="N99" s="55"/>
      <c r="O99" s="55"/>
      <c r="P99" s="55"/>
      <c r="Q99" s="55"/>
      <c r="R99" s="55"/>
    </row>
    <row r="100" ht="15.75" customHeight="1">
      <c r="A100" s="22" t="str">
        <f t="shared" si="4"/>
        <v>miércoles</v>
      </c>
      <c r="B100" s="24" t="str">
        <f t="shared" si="5"/>
        <v>agosto</v>
      </c>
      <c r="C100" s="25">
        <v>46246.0</v>
      </c>
      <c r="D100" s="26" t="s">
        <v>42</v>
      </c>
      <c r="E100" s="27">
        <v>94.0</v>
      </c>
      <c r="F100" s="27">
        <v>74.0</v>
      </c>
      <c r="G100" s="27">
        <v>1.0</v>
      </c>
      <c r="H100" s="27">
        <v>4.0</v>
      </c>
    </row>
    <row r="101" ht="15.75" customHeight="1">
      <c r="A101" s="22" t="str">
        <f t="shared" si="4"/>
        <v>miércoles</v>
      </c>
      <c r="B101" s="24" t="str">
        <f t="shared" si="5"/>
        <v>agosto</v>
      </c>
      <c r="C101" s="25">
        <v>46246.0</v>
      </c>
      <c r="D101" s="26" t="s">
        <v>51</v>
      </c>
      <c r="E101" s="27">
        <v>190.0</v>
      </c>
      <c r="F101" s="27">
        <v>168.0</v>
      </c>
      <c r="G101" s="27">
        <v>2.0</v>
      </c>
      <c r="H101" s="27">
        <v>21.0</v>
      </c>
      <c r="K101" s="40">
        <f t="shared" ref="K101:R101" si="33">AVERAGE(K64:K77)</f>
        <v>79.97017561</v>
      </c>
      <c r="L101" s="40">
        <f t="shared" si="33"/>
        <v>57.96110752</v>
      </c>
      <c r="M101" s="40">
        <f t="shared" si="33"/>
        <v>2.474857789</v>
      </c>
      <c r="N101" s="40">
        <f t="shared" si="33"/>
        <v>4.365808016</v>
      </c>
      <c r="O101" s="40">
        <f t="shared" si="33"/>
        <v>8.336633631</v>
      </c>
      <c r="P101" s="40">
        <f t="shared" si="33"/>
        <v>6.066502909</v>
      </c>
      <c r="Q101" s="40">
        <f t="shared" si="33"/>
        <v>338.4003103</v>
      </c>
      <c r="R101" s="40">
        <f t="shared" si="33"/>
        <v>246.7601164</v>
      </c>
    </row>
    <row r="102" ht="15.75" customHeight="1">
      <c r="A102" s="22" t="str">
        <f t="shared" si="4"/>
        <v>miércoles</v>
      </c>
      <c r="B102" s="24" t="str">
        <f t="shared" si="5"/>
        <v>agosto</v>
      </c>
      <c r="C102" s="25">
        <v>46246.0</v>
      </c>
      <c r="D102" s="22" t="s">
        <v>83</v>
      </c>
      <c r="E102" s="27">
        <v>74.0</v>
      </c>
      <c r="F102" s="27">
        <v>46.0</v>
      </c>
      <c r="G102" s="27">
        <v>4.0</v>
      </c>
      <c r="H102" s="27">
        <v>4.0</v>
      </c>
    </row>
    <row r="103" ht="15.75" customHeight="1">
      <c r="A103" s="22" t="str">
        <f t="shared" si="4"/>
        <v>miércoles</v>
      </c>
      <c r="B103" s="24" t="str">
        <f t="shared" si="5"/>
        <v>agosto</v>
      </c>
      <c r="C103" s="25">
        <v>46246.0</v>
      </c>
      <c r="D103" s="26" t="s">
        <v>58</v>
      </c>
      <c r="E103" s="27">
        <v>72.0</v>
      </c>
      <c r="F103" s="27">
        <v>49.0</v>
      </c>
      <c r="G103" s="27">
        <v>3.0</v>
      </c>
      <c r="H103" s="27">
        <v>10.0</v>
      </c>
    </row>
    <row r="104" ht="15.75" customHeight="1">
      <c r="A104" s="22" t="str">
        <f t="shared" si="4"/>
        <v>miércoles</v>
      </c>
      <c r="B104" s="24" t="str">
        <f t="shared" si="5"/>
        <v>agosto</v>
      </c>
      <c r="C104" s="25">
        <v>46246.0</v>
      </c>
      <c r="D104" s="26" t="s">
        <v>65</v>
      </c>
      <c r="E104" s="27">
        <v>71.0</v>
      </c>
      <c r="F104" s="27">
        <v>62.0</v>
      </c>
      <c r="G104" s="27">
        <v>9.0</v>
      </c>
      <c r="H104" s="27">
        <v>8.0</v>
      </c>
    </row>
    <row r="105" ht="15.75" customHeight="1">
      <c r="A105" s="22" t="str">
        <f t="shared" si="4"/>
        <v>miércoles</v>
      </c>
      <c r="B105" s="24" t="str">
        <f t="shared" si="5"/>
        <v>agosto</v>
      </c>
      <c r="C105" s="25">
        <v>46246.0</v>
      </c>
      <c r="D105" s="26" t="s">
        <v>66</v>
      </c>
      <c r="E105" s="27">
        <v>99.0</v>
      </c>
      <c r="F105" s="27">
        <v>93.0</v>
      </c>
      <c r="G105" s="27">
        <v>0.0</v>
      </c>
      <c r="H105" s="27">
        <v>6.0</v>
      </c>
    </row>
    <row r="106" ht="15.75" customHeight="1">
      <c r="A106" s="22" t="str">
        <f t="shared" si="4"/>
        <v>jueves</v>
      </c>
      <c r="B106" s="24" t="str">
        <f t="shared" si="5"/>
        <v>agosto</v>
      </c>
      <c r="C106" s="25">
        <v>46247.0</v>
      </c>
      <c r="D106" s="26" t="s">
        <v>39</v>
      </c>
      <c r="E106" s="27">
        <v>81.0</v>
      </c>
      <c r="F106" s="27">
        <v>55.0</v>
      </c>
      <c r="G106" s="27">
        <v>0.0</v>
      </c>
      <c r="H106" s="27">
        <v>3.0</v>
      </c>
    </row>
    <row r="107" ht="15.75" customHeight="1">
      <c r="A107" s="22" t="str">
        <f t="shared" si="4"/>
        <v>jueves</v>
      </c>
      <c r="B107" s="24" t="str">
        <f t="shared" si="5"/>
        <v>agosto</v>
      </c>
      <c r="C107" s="25">
        <v>46247.0</v>
      </c>
      <c r="D107" s="26" t="s">
        <v>40</v>
      </c>
      <c r="E107" s="27">
        <v>79.0</v>
      </c>
      <c r="F107" s="27">
        <v>43.0</v>
      </c>
      <c r="G107" s="27">
        <v>4.0</v>
      </c>
      <c r="H107" s="27">
        <v>9.0</v>
      </c>
    </row>
    <row r="108" ht="15.75" customHeight="1">
      <c r="A108" s="22" t="str">
        <f t="shared" si="4"/>
        <v>jueves</v>
      </c>
      <c r="B108" s="24" t="str">
        <f t="shared" si="5"/>
        <v>agosto</v>
      </c>
      <c r="C108" s="25">
        <v>46247.0</v>
      </c>
      <c r="D108" s="26" t="s">
        <v>41</v>
      </c>
      <c r="E108" s="27">
        <v>82.0</v>
      </c>
      <c r="F108" s="27">
        <v>61.0</v>
      </c>
      <c r="G108" s="27">
        <v>1.0</v>
      </c>
      <c r="H108" s="27">
        <v>6.0</v>
      </c>
    </row>
    <row r="109" ht="15.75" customHeight="1">
      <c r="A109" s="22" t="str">
        <f t="shared" si="4"/>
        <v>jueves</v>
      </c>
      <c r="B109" s="24" t="str">
        <f t="shared" si="5"/>
        <v>agosto</v>
      </c>
      <c r="C109" s="25">
        <v>46247.0</v>
      </c>
      <c r="D109" s="26" t="s">
        <v>42</v>
      </c>
      <c r="E109" s="27">
        <v>65.0</v>
      </c>
      <c r="F109" s="27">
        <v>39.0</v>
      </c>
      <c r="G109" s="27">
        <v>1.0</v>
      </c>
      <c r="H109" s="27">
        <v>10.0</v>
      </c>
    </row>
    <row r="110" ht="15.75" customHeight="1">
      <c r="A110" s="22" t="str">
        <f t="shared" si="4"/>
        <v>jueves</v>
      </c>
      <c r="B110" s="24" t="str">
        <f t="shared" si="5"/>
        <v>agosto</v>
      </c>
      <c r="C110" s="25">
        <v>46247.0</v>
      </c>
      <c r="D110" s="26" t="s">
        <v>51</v>
      </c>
      <c r="E110" s="27">
        <v>84.0</v>
      </c>
      <c r="F110" s="27">
        <v>72.0</v>
      </c>
      <c r="G110" s="27">
        <v>5.0</v>
      </c>
      <c r="H110" s="27">
        <v>9.0</v>
      </c>
    </row>
    <row r="111" ht="15.75" customHeight="1">
      <c r="A111" s="22" t="str">
        <f t="shared" si="4"/>
        <v>jueves</v>
      </c>
      <c r="B111" s="24" t="str">
        <f t="shared" si="5"/>
        <v>agosto</v>
      </c>
      <c r="C111" s="25">
        <v>46247.0</v>
      </c>
      <c r="D111" s="26" t="s">
        <v>67</v>
      </c>
      <c r="E111" s="27">
        <v>64.0</v>
      </c>
      <c r="F111" s="27">
        <v>49.0</v>
      </c>
      <c r="G111" s="27">
        <v>5.0</v>
      </c>
      <c r="H111" s="27">
        <v>3.0</v>
      </c>
    </row>
    <row r="112" ht="15.75" customHeight="1">
      <c r="A112" s="22" t="str">
        <f t="shared" si="4"/>
        <v>jueves</v>
      </c>
      <c r="B112" s="24" t="str">
        <f t="shared" si="5"/>
        <v>agosto</v>
      </c>
      <c r="C112" s="25">
        <v>46247.0</v>
      </c>
      <c r="D112" s="26" t="s">
        <v>58</v>
      </c>
      <c r="E112" s="27">
        <v>40.0</v>
      </c>
      <c r="F112" s="27">
        <v>16.0</v>
      </c>
      <c r="G112" s="27">
        <v>1.0</v>
      </c>
      <c r="H112" s="27">
        <v>3.0</v>
      </c>
    </row>
    <row r="113" ht="15.75" customHeight="1">
      <c r="A113" s="22" t="str">
        <f t="shared" si="4"/>
        <v>jueves</v>
      </c>
      <c r="B113" s="24" t="str">
        <f t="shared" si="5"/>
        <v>agosto</v>
      </c>
      <c r="C113" s="25">
        <v>46247.0</v>
      </c>
      <c r="D113" s="26" t="s">
        <v>52</v>
      </c>
      <c r="E113" s="27">
        <v>42.0</v>
      </c>
      <c r="F113" s="27">
        <v>33.0</v>
      </c>
      <c r="G113" s="27">
        <v>2.0</v>
      </c>
      <c r="H113" s="27">
        <v>5.0</v>
      </c>
    </row>
    <row r="114" ht="15.75" customHeight="1">
      <c r="A114" s="22" t="str">
        <f t="shared" si="4"/>
        <v>jueves</v>
      </c>
      <c r="B114" s="24" t="str">
        <f t="shared" si="5"/>
        <v>agosto</v>
      </c>
      <c r="C114" s="25">
        <v>46247.0</v>
      </c>
      <c r="D114" s="26" t="s">
        <v>53</v>
      </c>
      <c r="E114" s="27">
        <v>63.0</v>
      </c>
      <c r="F114" s="27">
        <v>41.0</v>
      </c>
      <c r="G114" s="27">
        <v>3.0</v>
      </c>
      <c r="H114" s="27">
        <v>0.0</v>
      </c>
    </row>
    <row r="115" ht="15.75" customHeight="1">
      <c r="A115" s="22" t="str">
        <f t="shared" si="4"/>
        <v>jueves</v>
      </c>
      <c r="B115" s="24" t="str">
        <f t="shared" si="5"/>
        <v>agosto</v>
      </c>
      <c r="C115" s="25">
        <v>46247.0</v>
      </c>
      <c r="D115" s="26" t="s">
        <v>64</v>
      </c>
      <c r="E115" s="27">
        <v>124.0</v>
      </c>
      <c r="F115" s="27">
        <v>70.0</v>
      </c>
      <c r="G115" s="27">
        <v>6.0</v>
      </c>
      <c r="H115" s="27">
        <v>11.0</v>
      </c>
    </row>
    <row r="116" ht="15.75" customHeight="1">
      <c r="A116" s="22" t="str">
        <f t="shared" si="4"/>
        <v>jueves</v>
      </c>
      <c r="B116" s="24" t="str">
        <f t="shared" si="5"/>
        <v>agosto</v>
      </c>
      <c r="C116" s="25">
        <v>46247.0</v>
      </c>
      <c r="D116" s="26" t="s">
        <v>65</v>
      </c>
      <c r="E116" s="27">
        <v>59.0</v>
      </c>
      <c r="F116" s="27">
        <v>44.0</v>
      </c>
      <c r="G116" s="27">
        <v>4.0</v>
      </c>
      <c r="H116" s="27">
        <v>9.0</v>
      </c>
    </row>
    <row r="117" ht="15.75" customHeight="1">
      <c r="A117" s="22" t="str">
        <f t="shared" si="4"/>
        <v>jueves</v>
      </c>
      <c r="B117" s="24" t="str">
        <f t="shared" si="5"/>
        <v>agosto</v>
      </c>
      <c r="C117" s="25">
        <v>46247.0</v>
      </c>
      <c r="D117" s="26" t="s">
        <v>66</v>
      </c>
      <c r="E117" s="27">
        <v>87.0</v>
      </c>
      <c r="F117" s="27">
        <v>72.0</v>
      </c>
      <c r="G117" s="27">
        <v>1.0</v>
      </c>
      <c r="H117" s="27">
        <v>2.0</v>
      </c>
    </row>
    <row r="118" ht="15.75" customHeight="1">
      <c r="A118" s="22" t="str">
        <f t="shared" si="4"/>
        <v>viernes</v>
      </c>
      <c r="B118" s="24" t="str">
        <f t="shared" si="5"/>
        <v>agosto</v>
      </c>
      <c r="C118" s="25">
        <v>46248.0</v>
      </c>
      <c r="D118" s="26" t="s">
        <v>40</v>
      </c>
      <c r="E118" s="27">
        <v>71.0</v>
      </c>
      <c r="F118" s="27">
        <v>36.0</v>
      </c>
      <c r="G118" s="27">
        <v>5.0</v>
      </c>
      <c r="H118" s="27">
        <v>11.0</v>
      </c>
    </row>
    <row r="119" ht="15.75" customHeight="1">
      <c r="A119" s="22" t="str">
        <f t="shared" si="4"/>
        <v>viernes</v>
      </c>
      <c r="B119" s="24" t="str">
        <f t="shared" si="5"/>
        <v>agosto</v>
      </c>
      <c r="C119" s="25">
        <v>46248.0</v>
      </c>
      <c r="D119" s="26" t="s">
        <v>44</v>
      </c>
      <c r="E119" s="27">
        <v>66.0</v>
      </c>
      <c r="F119" s="27">
        <v>61.0</v>
      </c>
      <c r="G119" s="27">
        <v>0.0</v>
      </c>
      <c r="H119" s="27">
        <v>0.0</v>
      </c>
    </row>
    <row r="120" ht="15.75" customHeight="1">
      <c r="A120" s="22" t="str">
        <f t="shared" si="4"/>
        <v>viernes</v>
      </c>
      <c r="B120" s="24" t="str">
        <f t="shared" si="5"/>
        <v>agosto</v>
      </c>
      <c r="C120" s="25">
        <v>46248.0</v>
      </c>
      <c r="D120" s="26" t="s">
        <v>51</v>
      </c>
      <c r="E120" s="27">
        <v>80.0</v>
      </c>
      <c r="F120" s="27">
        <v>67.0</v>
      </c>
      <c r="G120" s="27">
        <v>5.0</v>
      </c>
      <c r="H120" s="27">
        <v>14.0</v>
      </c>
    </row>
    <row r="121" ht="15.75" customHeight="1">
      <c r="A121" s="22" t="str">
        <f t="shared" si="4"/>
        <v>viernes</v>
      </c>
      <c r="B121" s="24" t="str">
        <f t="shared" si="5"/>
        <v>agosto</v>
      </c>
      <c r="C121" s="25">
        <v>46248.0</v>
      </c>
      <c r="D121" s="26" t="s">
        <v>58</v>
      </c>
      <c r="E121" s="27">
        <v>39.0</v>
      </c>
      <c r="F121" s="27">
        <v>29.0</v>
      </c>
      <c r="G121" s="27">
        <v>2.0</v>
      </c>
      <c r="H121" s="27">
        <v>1.0</v>
      </c>
      <c r="J121" s="22"/>
      <c r="K121" s="24"/>
      <c r="L121" s="37"/>
    </row>
    <row r="122" ht="15.75" customHeight="1">
      <c r="A122" s="22" t="str">
        <f t="shared" si="4"/>
        <v>viernes</v>
      </c>
      <c r="B122" s="24" t="str">
        <f t="shared" si="5"/>
        <v>agosto</v>
      </c>
      <c r="C122" s="25">
        <v>46248.0</v>
      </c>
      <c r="D122" s="26" t="s">
        <v>52</v>
      </c>
      <c r="E122" s="27">
        <v>41.0</v>
      </c>
      <c r="F122" s="27">
        <v>27.0</v>
      </c>
      <c r="G122" s="27">
        <v>2.0</v>
      </c>
      <c r="H122" s="27">
        <v>3.0</v>
      </c>
      <c r="J122" s="22"/>
      <c r="K122" s="24"/>
      <c r="L122" s="37"/>
    </row>
    <row r="123" ht="15.75" customHeight="1">
      <c r="A123" s="22" t="str">
        <f t="shared" si="4"/>
        <v>viernes</v>
      </c>
      <c r="B123" s="24" t="str">
        <f t="shared" si="5"/>
        <v>agosto</v>
      </c>
      <c r="C123" s="25">
        <v>46248.0</v>
      </c>
      <c r="D123" s="26" t="s">
        <v>53</v>
      </c>
      <c r="E123" s="27">
        <v>55.0</v>
      </c>
      <c r="F123" s="27">
        <v>32.0</v>
      </c>
      <c r="G123" s="27">
        <v>2.0</v>
      </c>
      <c r="H123" s="27">
        <v>0.0</v>
      </c>
      <c r="J123" s="22"/>
      <c r="K123" s="24"/>
      <c r="L123" s="37"/>
    </row>
    <row r="124" ht="15.75" customHeight="1">
      <c r="A124" s="22" t="str">
        <f t="shared" si="4"/>
        <v>viernes</v>
      </c>
      <c r="B124" s="24" t="str">
        <f t="shared" si="5"/>
        <v>agosto</v>
      </c>
      <c r="C124" s="25">
        <v>46248.0</v>
      </c>
      <c r="D124" s="26" t="s">
        <v>64</v>
      </c>
      <c r="E124" s="27">
        <v>125.0</v>
      </c>
      <c r="F124" s="27">
        <v>59.0</v>
      </c>
      <c r="G124" s="27">
        <v>8.0</v>
      </c>
      <c r="H124" s="27">
        <v>5.0</v>
      </c>
      <c r="J124" s="22"/>
      <c r="K124" s="24"/>
      <c r="L124" s="37"/>
    </row>
    <row r="125" ht="15.75" customHeight="1">
      <c r="A125" s="22" t="str">
        <f t="shared" si="4"/>
        <v>viernes</v>
      </c>
      <c r="B125" s="24" t="str">
        <f t="shared" si="5"/>
        <v>agosto</v>
      </c>
      <c r="C125" s="25">
        <v>46248.0</v>
      </c>
      <c r="D125" s="26" t="s">
        <v>65</v>
      </c>
      <c r="E125" s="27">
        <v>65.0</v>
      </c>
      <c r="F125" s="27">
        <v>53.0</v>
      </c>
      <c r="G125" s="27">
        <v>6.0</v>
      </c>
      <c r="H125" s="27">
        <v>5.0</v>
      </c>
      <c r="J125" s="22"/>
      <c r="K125" s="24"/>
      <c r="L125" s="37"/>
    </row>
    <row r="126" ht="15.75" customHeight="1">
      <c r="A126" s="22" t="str">
        <f t="shared" si="4"/>
        <v>viernes</v>
      </c>
      <c r="B126" s="24" t="str">
        <f t="shared" si="5"/>
        <v>agosto</v>
      </c>
      <c r="C126" s="25">
        <v>46248.0</v>
      </c>
      <c r="D126" s="26" t="s">
        <v>66</v>
      </c>
      <c r="E126" s="27">
        <v>164.0</v>
      </c>
      <c r="F126" s="27">
        <v>116.0</v>
      </c>
      <c r="G126" s="27">
        <v>0.0</v>
      </c>
      <c r="H126" s="27">
        <v>9.0</v>
      </c>
      <c r="J126" s="22"/>
      <c r="K126" s="24"/>
      <c r="L126" s="37"/>
    </row>
    <row r="127" ht="15.75" customHeight="1">
      <c r="A127" s="22" t="str">
        <f t="shared" si="4"/>
        <v>sábado</v>
      </c>
      <c r="B127" s="24" t="str">
        <f t="shared" si="5"/>
        <v>agosto</v>
      </c>
      <c r="C127" s="25">
        <v>46249.0</v>
      </c>
      <c r="D127" s="26" t="s">
        <v>40</v>
      </c>
      <c r="E127" s="27">
        <v>66.0</v>
      </c>
      <c r="F127" s="27">
        <v>34.0</v>
      </c>
      <c r="G127" s="27">
        <v>5.0</v>
      </c>
      <c r="H127" s="27">
        <v>6.0</v>
      </c>
      <c r="J127" s="22"/>
      <c r="K127" s="24"/>
      <c r="L127" s="37"/>
    </row>
    <row r="128" ht="15.75" customHeight="1">
      <c r="A128" s="22" t="str">
        <f t="shared" si="4"/>
        <v>sábado</v>
      </c>
      <c r="B128" s="24" t="str">
        <f t="shared" si="5"/>
        <v>agosto</v>
      </c>
      <c r="C128" s="25">
        <v>46249.0</v>
      </c>
      <c r="D128" s="22" t="s">
        <v>43</v>
      </c>
      <c r="E128" s="27">
        <v>55.0</v>
      </c>
      <c r="F128" s="27">
        <v>21.0</v>
      </c>
      <c r="G128" s="27">
        <v>4.0</v>
      </c>
      <c r="H128" s="27">
        <v>8.0</v>
      </c>
      <c r="J128" s="22"/>
      <c r="K128" s="24"/>
      <c r="L128" s="37"/>
    </row>
    <row r="129" ht="15.75" customHeight="1">
      <c r="A129" s="22" t="str">
        <f t="shared" si="4"/>
        <v>sábado</v>
      </c>
      <c r="B129" s="24" t="str">
        <f t="shared" si="5"/>
        <v>agosto</v>
      </c>
      <c r="C129" s="25">
        <v>46249.0</v>
      </c>
      <c r="D129" s="26" t="s">
        <v>51</v>
      </c>
      <c r="E129" s="27">
        <v>85.0</v>
      </c>
      <c r="F129" s="27">
        <v>68.0</v>
      </c>
      <c r="G129" s="27">
        <v>1.0</v>
      </c>
      <c r="H129" s="27">
        <v>7.0</v>
      </c>
      <c r="J129" s="22"/>
      <c r="K129" s="24"/>
      <c r="L129" s="37"/>
    </row>
    <row r="130" ht="15.75" customHeight="1">
      <c r="A130" s="22" t="str">
        <f t="shared" si="4"/>
        <v>sábado</v>
      </c>
      <c r="B130" s="24" t="str">
        <f t="shared" si="5"/>
        <v>agosto</v>
      </c>
      <c r="C130" s="25">
        <v>46249.0</v>
      </c>
      <c r="D130" s="22" t="s">
        <v>46</v>
      </c>
      <c r="E130" s="27">
        <v>65.0</v>
      </c>
      <c r="F130" s="27">
        <v>36.0</v>
      </c>
      <c r="G130" s="27">
        <v>3.0</v>
      </c>
      <c r="H130" s="27">
        <v>4.0</v>
      </c>
      <c r="J130" s="22"/>
      <c r="K130" s="24"/>
      <c r="L130" s="37"/>
    </row>
    <row r="131" ht="15.75" customHeight="1">
      <c r="A131" s="22" t="str">
        <f t="shared" si="4"/>
        <v>sábado</v>
      </c>
      <c r="B131" s="24" t="str">
        <f t="shared" si="5"/>
        <v>agosto</v>
      </c>
      <c r="C131" s="25">
        <v>46249.0</v>
      </c>
      <c r="D131" s="26" t="s">
        <v>52</v>
      </c>
      <c r="E131" s="27">
        <v>45.0</v>
      </c>
      <c r="F131" s="27">
        <v>38.0</v>
      </c>
      <c r="G131" s="27">
        <v>7.0</v>
      </c>
      <c r="H131" s="27">
        <v>1.0</v>
      </c>
      <c r="J131" s="22"/>
      <c r="K131" s="24"/>
      <c r="L131" s="37"/>
    </row>
    <row r="132" ht="15.75" customHeight="1">
      <c r="A132" s="22" t="str">
        <f t="shared" si="4"/>
        <v>sábado</v>
      </c>
      <c r="B132" s="24" t="str">
        <f t="shared" si="5"/>
        <v>agosto</v>
      </c>
      <c r="C132" s="25">
        <v>46249.0</v>
      </c>
      <c r="D132" s="26" t="s">
        <v>53</v>
      </c>
      <c r="E132" s="27">
        <v>62.0</v>
      </c>
      <c r="F132" s="27">
        <v>39.0</v>
      </c>
      <c r="G132" s="27">
        <v>3.0</v>
      </c>
      <c r="H132" s="27">
        <v>0.0</v>
      </c>
      <c r="J132" s="22"/>
      <c r="K132" s="24"/>
      <c r="L132" s="37"/>
    </row>
    <row r="133" ht="15.75" customHeight="1">
      <c r="A133" s="22" t="str">
        <f t="shared" si="4"/>
        <v>sábado</v>
      </c>
      <c r="B133" s="24" t="str">
        <f t="shared" si="5"/>
        <v>agosto</v>
      </c>
      <c r="C133" s="25">
        <v>46249.0</v>
      </c>
      <c r="D133" s="26" t="s">
        <v>60</v>
      </c>
      <c r="E133" s="27">
        <v>177.0</v>
      </c>
      <c r="F133" s="27">
        <v>164.0</v>
      </c>
      <c r="G133" s="27">
        <v>6.0</v>
      </c>
      <c r="H133" s="27">
        <v>2.0</v>
      </c>
      <c r="J133" s="22"/>
      <c r="K133" s="24"/>
      <c r="L133" s="37"/>
    </row>
    <row r="134" ht="15.75" customHeight="1">
      <c r="A134" s="22" t="str">
        <f t="shared" si="4"/>
        <v>domingo</v>
      </c>
      <c r="B134" s="24" t="str">
        <f t="shared" si="5"/>
        <v>agosto</v>
      </c>
      <c r="C134" s="25">
        <v>46250.0</v>
      </c>
      <c r="D134" s="26" t="s">
        <v>39</v>
      </c>
      <c r="E134" s="27">
        <v>91.0</v>
      </c>
      <c r="F134" s="27">
        <v>63.0</v>
      </c>
      <c r="G134" s="27">
        <v>1.0</v>
      </c>
      <c r="H134" s="27">
        <v>0.0</v>
      </c>
      <c r="J134" s="22"/>
      <c r="K134" s="24"/>
      <c r="L134" s="37"/>
    </row>
    <row r="135" ht="15.75" customHeight="1">
      <c r="A135" s="22" t="str">
        <f t="shared" si="4"/>
        <v>domingo</v>
      </c>
      <c r="B135" s="24" t="str">
        <f t="shared" si="5"/>
        <v>agosto</v>
      </c>
      <c r="C135" s="25">
        <v>46250.0</v>
      </c>
      <c r="D135" s="26" t="s">
        <v>40</v>
      </c>
      <c r="E135" s="27">
        <v>79.0</v>
      </c>
      <c r="F135" s="27">
        <v>38.0</v>
      </c>
      <c r="G135" s="27">
        <v>1.0</v>
      </c>
      <c r="H135" s="27">
        <v>6.0</v>
      </c>
      <c r="J135" s="22"/>
      <c r="K135" s="24"/>
      <c r="L135" s="37"/>
    </row>
    <row r="136" ht="15.75" customHeight="1">
      <c r="A136" s="22" t="str">
        <f t="shared" si="4"/>
        <v>domingo</v>
      </c>
      <c r="B136" s="24" t="str">
        <f t="shared" si="5"/>
        <v>agosto</v>
      </c>
      <c r="C136" s="25">
        <v>46250.0</v>
      </c>
      <c r="D136" s="22" t="s">
        <v>46</v>
      </c>
      <c r="E136" s="27">
        <v>102.0</v>
      </c>
      <c r="F136" s="27">
        <v>49.0</v>
      </c>
      <c r="G136" s="27">
        <v>4.0</v>
      </c>
      <c r="H136" s="27">
        <v>3.0</v>
      </c>
      <c r="J136" s="22"/>
      <c r="K136" s="24"/>
      <c r="L136" s="37"/>
    </row>
    <row r="137" ht="15.75" customHeight="1">
      <c r="A137" s="22" t="str">
        <f t="shared" si="4"/>
        <v>domingo</v>
      </c>
      <c r="B137" s="24" t="str">
        <f t="shared" si="5"/>
        <v>agosto</v>
      </c>
      <c r="C137" s="25">
        <v>46250.0</v>
      </c>
      <c r="D137" s="26" t="s">
        <v>52</v>
      </c>
      <c r="E137" s="27">
        <v>76.0</v>
      </c>
      <c r="F137" s="27">
        <v>54.0</v>
      </c>
      <c r="G137" s="27">
        <v>2.0</v>
      </c>
      <c r="H137" s="27">
        <v>5.0</v>
      </c>
      <c r="J137" s="22"/>
      <c r="K137" s="24"/>
      <c r="L137" s="37"/>
    </row>
    <row r="138" ht="15.75" customHeight="1">
      <c r="A138" s="22" t="str">
        <f t="shared" si="4"/>
        <v>domingo</v>
      </c>
      <c r="B138" s="24" t="str">
        <f t="shared" si="5"/>
        <v>agosto</v>
      </c>
      <c r="C138" s="25">
        <v>46250.0</v>
      </c>
      <c r="D138" s="26" t="s">
        <v>53</v>
      </c>
      <c r="E138" s="27">
        <v>72.0</v>
      </c>
      <c r="F138" s="27">
        <v>32.0</v>
      </c>
      <c r="G138" s="27">
        <v>2.0</v>
      </c>
      <c r="H138" s="27">
        <v>6.0</v>
      </c>
      <c r="J138" s="22"/>
      <c r="K138" s="24"/>
      <c r="L138" s="37"/>
    </row>
    <row r="139" ht="15.75" customHeight="1">
      <c r="A139" s="22" t="str">
        <f t="shared" si="4"/>
        <v>domingo</v>
      </c>
      <c r="B139" s="24" t="str">
        <f t="shared" si="5"/>
        <v>agosto</v>
      </c>
      <c r="C139" s="25">
        <v>46250.0</v>
      </c>
      <c r="D139" s="26" t="s">
        <v>60</v>
      </c>
      <c r="E139" s="27">
        <v>187.0</v>
      </c>
      <c r="F139" s="27">
        <v>172.0</v>
      </c>
      <c r="G139" s="27">
        <v>10.0</v>
      </c>
      <c r="H139" s="27">
        <v>1.0</v>
      </c>
      <c r="J139" s="22"/>
      <c r="K139" s="24"/>
      <c r="L139" s="37"/>
    </row>
    <row r="140" ht="15.75" customHeight="1">
      <c r="A140" s="22" t="str">
        <f t="shared" si="4"/>
        <v>lunes</v>
      </c>
      <c r="B140" s="24" t="str">
        <f t="shared" si="5"/>
        <v>agosto</v>
      </c>
      <c r="C140" s="25">
        <v>46251.0</v>
      </c>
      <c r="D140" s="26" t="s">
        <v>39</v>
      </c>
      <c r="E140" s="27">
        <v>60.0</v>
      </c>
      <c r="F140" s="27">
        <v>43.0</v>
      </c>
      <c r="G140" s="27">
        <v>0.0</v>
      </c>
      <c r="H140" s="27">
        <v>8.0</v>
      </c>
      <c r="J140" s="22"/>
      <c r="K140" s="24"/>
      <c r="L140" s="37"/>
    </row>
    <row r="141" ht="15.75" customHeight="1">
      <c r="A141" s="22" t="str">
        <f t="shared" si="4"/>
        <v>lunes</v>
      </c>
      <c r="B141" s="24" t="str">
        <f t="shared" si="5"/>
        <v>agosto</v>
      </c>
      <c r="C141" s="25">
        <v>46251.0</v>
      </c>
      <c r="D141" s="26" t="s">
        <v>41</v>
      </c>
      <c r="E141" s="27">
        <v>82.0</v>
      </c>
      <c r="F141" s="27">
        <v>51.0</v>
      </c>
      <c r="G141" s="27">
        <v>3.0</v>
      </c>
      <c r="H141" s="27">
        <v>4.0</v>
      </c>
      <c r="J141" s="22"/>
      <c r="K141" s="24"/>
      <c r="L141" s="37"/>
    </row>
    <row r="142" ht="15.75" customHeight="1">
      <c r="A142" s="22" t="str">
        <f t="shared" si="4"/>
        <v>lunes</v>
      </c>
      <c r="B142" s="24" t="str">
        <f t="shared" si="5"/>
        <v>agosto</v>
      </c>
      <c r="C142" s="25">
        <v>46251.0</v>
      </c>
      <c r="D142" s="26" t="s">
        <v>42</v>
      </c>
      <c r="E142" s="27">
        <v>89.0</v>
      </c>
      <c r="F142" s="27">
        <v>47.0</v>
      </c>
      <c r="G142" s="27">
        <v>2.0</v>
      </c>
      <c r="H142" s="27">
        <v>18.0</v>
      </c>
      <c r="J142" s="22"/>
      <c r="K142" s="24"/>
      <c r="L142" s="37"/>
    </row>
    <row r="143" ht="15.75" customHeight="1">
      <c r="A143" s="22" t="str">
        <f t="shared" si="4"/>
        <v>lunes</v>
      </c>
      <c r="B143" s="24" t="str">
        <f t="shared" si="5"/>
        <v>agosto</v>
      </c>
      <c r="C143" s="25">
        <v>46251.0</v>
      </c>
      <c r="D143" s="22" t="s">
        <v>46</v>
      </c>
      <c r="E143" s="27">
        <v>87.0</v>
      </c>
      <c r="F143" s="27">
        <v>42.0</v>
      </c>
      <c r="G143" s="27">
        <v>4.0</v>
      </c>
      <c r="H143" s="27">
        <v>8.0</v>
      </c>
      <c r="J143" s="22"/>
      <c r="K143" s="24"/>
      <c r="L143" s="37"/>
    </row>
    <row r="144" ht="15.75" customHeight="1">
      <c r="A144" s="22" t="str">
        <f t="shared" si="4"/>
        <v>lunes</v>
      </c>
      <c r="B144" s="24" t="str">
        <f t="shared" si="5"/>
        <v>agosto</v>
      </c>
      <c r="C144" s="25">
        <v>46251.0</v>
      </c>
      <c r="D144" s="26" t="s">
        <v>67</v>
      </c>
      <c r="E144" s="27">
        <v>55.0</v>
      </c>
      <c r="F144" s="27">
        <v>44.0</v>
      </c>
      <c r="G144" s="27">
        <v>3.0</v>
      </c>
      <c r="H144" s="27">
        <v>1.0</v>
      </c>
      <c r="J144" s="22"/>
      <c r="K144" s="24"/>
      <c r="L144" s="37"/>
    </row>
    <row r="145" ht="15.75" customHeight="1">
      <c r="A145" s="22" t="str">
        <f t="shared" si="4"/>
        <v>lunes</v>
      </c>
      <c r="B145" s="24" t="str">
        <f t="shared" si="5"/>
        <v>agosto</v>
      </c>
      <c r="C145" s="25">
        <v>46251.0</v>
      </c>
      <c r="D145" s="26" t="s">
        <v>64</v>
      </c>
      <c r="E145" s="27">
        <v>118.0</v>
      </c>
      <c r="F145" s="27">
        <v>65.0</v>
      </c>
      <c r="G145" s="27">
        <v>12.0</v>
      </c>
      <c r="H145" s="27">
        <v>7.0</v>
      </c>
      <c r="J145" s="22"/>
      <c r="K145" s="24"/>
      <c r="L145" s="37"/>
    </row>
    <row r="146" ht="15.75" customHeight="1">
      <c r="A146" s="22" t="str">
        <f t="shared" si="4"/>
        <v>lunes</v>
      </c>
      <c r="B146" s="24" t="str">
        <f t="shared" si="5"/>
        <v>agosto</v>
      </c>
      <c r="C146" s="25">
        <v>46251.0</v>
      </c>
      <c r="D146" s="26" t="s">
        <v>65</v>
      </c>
      <c r="E146" s="27">
        <v>54.0</v>
      </c>
      <c r="F146" s="27">
        <v>48.0</v>
      </c>
      <c r="G146" s="27">
        <v>5.0</v>
      </c>
      <c r="H146" s="27">
        <v>0.0</v>
      </c>
      <c r="J146" s="22"/>
      <c r="K146" s="24"/>
      <c r="L146" s="37"/>
    </row>
    <row r="147" ht="15.75" customHeight="1">
      <c r="A147" s="22" t="str">
        <f t="shared" si="4"/>
        <v>lunes</v>
      </c>
      <c r="B147" s="24" t="str">
        <f t="shared" si="5"/>
        <v>agosto</v>
      </c>
      <c r="C147" s="25">
        <v>46251.0</v>
      </c>
      <c r="D147" s="26" t="s">
        <v>60</v>
      </c>
      <c r="E147" s="27">
        <v>107.0</v>
      </c>
      <c r="F147" s="27">
        <v>49.0</v>
      </c>
      <c r="G147" s="27">
        <v>5.0</v>
      </c>
      <c r="H147" s="27">
        <v>14.0</v>
      </c>
      <c r="J147" s="22"/>
      <c r="K147" s="24"/>
      <c r="L147" s="37"/>
    </row>
    <row r="148" ht="15.75" customHeight="1">
      <c r="A148" s="22" t="str">
        <f t="shared" si="4"/>
        <v>lunes</v>
      </c>
      <c r="B148" s="24" t="str">
        <f t="shared" si="5"/>
        <v>agosto</v>
      </c>
      <c r="C148" s="25">
        <v>46251.0</v>
      </c>
      <c r="D148" s="26" t="s">
        <v>66</v>
      </c>
      <c r="E148" s="27">
        <v>114.0</v>
      </c>
      <c r="F148" s="27">
        <v>103.0</v>
      </c>
      <c r="G148" s="27">
        <v>1.0</v>
      </c>
      <c r="H148" s="27">
        <v>0.0</v>
      </c>
      <c r="J148" s="22"/>
      <c r="K148" s="24"/>
      <c r="L148" s="37"/>
    </row>
    <row r="149" ht="15.75" customHeight="1">
      <c r="A149" s="22" t="str">
        <f t="shared" si="4"/>
        <v>martes</v>
      </c>
      <c r="B149" s="24" t="str">
        <f t="shared" si="5"/>
        <v>agosto</v>
      </c>
      <c r="C149" s="25">
        <v>46252.0</v>
      </c>
      <c r="D149" s="26" t="s">
        <v>39</v>
      </c>
      <c r="E149" s="27">
        <v>54.0</v>
      </c>
      <c r="F149" s="27">
        <v>33.0</v>
      </c>
      <c r="G149" s="27">
        <v>1.0</v>
      </c>
      <c r="H149" s="27">
        <v>6.0</v>
      </c>
      <c r="J149" s="22"/>
      <c r="K149" s="24"/>
      <c r="L149" s="37"/>
    </row>
    <row r="150" ht="15.75" customHeight="1">
      <c r="A150" s="22" t="str">
        <f t="shared" si="4"/>
        <v>martes</v>
      </c>
      <c r="B150" s="24" t="str">
        <f t="shared" si="5"/>
        <v>agosto</v>
      </c>
      <c r="C150" s="25">
        <v>46252.0</v>
      </c>
      <c r="D150" s="26" t="s">
        <v>41</v>
      </c>
      <c r="E150" s="27">
        <v>74.0</v>
      </c>
      <c r="F150" s="27">
        <v>52.0</v>
      </c>
      <c r="G150" s="27">
        <v>2.0</v>
      </c>
      <c r="H150" s="27">
        <v>10.0</v>
      </c>
      <c r="J150" s="22"/>
      <c r="K150" s="24"/>
      <c r="L150" s="37"/>
    </row>
    <row r="151" ht="15.75" customHeight="1">
      <c r="A151" s="22" t="str">
        <f t="shared" si="4"/>
        <v>martes</v>
      </c>
      <c r="B151" s="24" t="str">
        <f t="shared" si="5"/>
        <v>agosto</v>
      </c>
      <c r="C151" s="25">
        <v>46252.0</v>
      </c>
      <c r="D151" s="26" t="s">
        <v>42</v>
      </c>
      <c r="E151" s="27">
        <v>97.0</v>
      </c>
      <c r="F151" s="27">
        <v>53.0</v>
      </c>
      <c r="G151" s="27">
        <v>1.0</v>
      </c>
      <c r="H151" s="27">
        <v>18.0</v>
      </c>
      <c r="J151" s="22"/>
      <c r="K151" s="24"/>
      <c r="L151" s="37"/>
    </row>
    <row r="152" ht="15.75" customHeight="1">
      <c r="A152" s="22" t="str">
        <f t="shared" si="4"/>
        <v>martes</v>
      </c>
      <c r="B152" s="24" t="str">
        <f t="shared" si="5"/>
        <v>agosto</v>
      </c>
      <c r="C152" s="25">
        <v>46252.0</v>
      </c>
      <c r="D152" s="22" t="s">
        <v>83</v>
      </c>
      <c r="E152" s="27">
        <v>66.0</v>
      </c>
      <c r="F152" s="27">
        <v>41.0</v>
      </c>
      <c r="G152" s="27">
        <v>1.0</v>
      </c>
      <c r="H152" s="27">
        <v>0.0</v>
      </c>
      <c r="J152" s="22"/>
      <c r="K152" s="24"/>
      <c r="L152" s="37"/>
    </row>
    <row r="153" ht="15.75" customHeight="1">
      <c r="A153" s="22" t="str">
        <f t="shared" si="4"/>
        <v>martes</v>
      </c>
      <c r="B153" s="24" t="str">
        <f t="shared" si="5"/>
        <v>agosto</v>
      </c>
      <c r="C153" s="25">
        <v>46252.0</v>
      </c>
      <c r="D153" s="22" t="s">
        <v>84</v>
      </c>
      <c r="E153" s="27">
        <v>75.0</v>
      </c>
      <c r="F153" s="27">
        <v>32.0</v>
      </c>
      <c r="G153" s="27">
        <v>1.0</v>
      </c>
      <c r="H153" s="27">
        <v>5.0</v>
      </c>
      <c r="J153" s="22"/>
      <c r="K153" s="24"/>
      <c r="L153" s="37"/>
    </row>
    <row r="154" ht="15.75" customHeight="1">
      <c r="A154" s="22" t="str">
        <f t="shared" si="4"/>
        <v>martes</v>
      </c>
      <c r="B154" s="24" t="str">
        <f t="shared" si="5"/>
        <v>agosto</v>
      </c>
      <c r="C154" s="25">
        <v>46252.0</v>
      </c>
      <c r="D154" s="26" t="s">
        <v>67</v>
      </c>
      <c r="E154" s="27">
        <v>50.0</v>
      </c>
      <c r="F154" s="27">
        <v>40.0</v>
      </c>
      <c r="G154" s="27">
        <v>3.0</v>
      </c>
      <c r="H154" s="27">
        <v>0.0</v>
      </c>
      <c r="J154" s="22"/>
      <c r="K154" s="24"/>
      <c r="L154" s="37"/>
    </row>
    <row r="155" ht="15.75" customHeight="1">
      <c r="A155" s="22" t="str">
        <f t="shared" si="4"/>
        <v>martes</v>
      </c>
      <c r="B155" s="24" t="str">
        <f t="shared" si="5"/>
        <v>agosto</v>
      </c>
      <c r="C155" s="25">
        <v>46252.0</v>
      </c>
      <c r="D155" s="26" t="s">
        <v>64</v>
      </c>
      <c r="E155" s="27">
        <v>118.0</v>
      </c>
      <c r="F155" s="27">
        <v>58.0</v>
      </c>
      <c r="G155" s="27">
        <v>9.0</v>
      </c>
      <c r="H155" s="27">
        <v>10.0</v>
      </c>
      <c r="J155" s="22"/>
      <c r="K155" s="24"/>
      <c r="L155" s="37"/>
    </row>
    <row r="156" ht="15.75" customHeight="1">
      <c r="A156" s="22" t="str">
        <f t="shared" si="4"/>
        <v>martes</v>
      </c>
      <c r="B156" s="24" t="str">
        <f t="shared" si="5"/>
        <v>agosto</v>
      </c>
      <c r="C156" s="25">
        <v>46252.0</v>
      </c>
      <c r="D156" s="26" t="s">
        <v>65</v>
      </c>
      <c r="E156" s="27">
        <v>65.0</v>
      </c>
      <c r="F156" s="27">
        <v>57.0</v>
      </c>
      <c r="G156" s="27">
        <v>5.0</v>
      </c>
      <c r="H156" s="27">
        <v>1.0</v>
      </c>
      <c r="J156" s="22"/>
      <c r="K156" s="24"/>
      <c r="L156" s="37"/>
    </row>
    <row r="157" ht="15.75" customHeight="1">
      <c r="A157" s="22" t="str">
        <f t="shared" si="4"/>
        <v>martes</v>
      </c>
      <c r="B157" s="24" t="str">
        <f t="shared" si="5"/>
        <v>agosto</v>
      </c>
      <c r="C157" s="25">
        <v>46252.0</v>
      </c>
      <c r="D157" s="26" t="s">
        <v>66</v>
      </c>
      <c r="E157" s="27">
        <v>105.0</v>
      </c>
      <c r="F157" s="27">
        <v>105.0</v>
      </c>
      <c r="G157" s="27">
        <v>0.0</v>
      </c>
      <c r="H157" s="27">
        <v>0.0</v>
      </c>
      <c r="J157" s="22"/>
      <c r="K157" s="24"/>
      <c r="L157" s="37"/>
    </row>
    <row r="158" ht="15.75" customHeight="1">
      <c r="A158" s="22" t="str">
        <f t="shared" si="4"/>
        <v>miércoles</v>
      </c>
      <c r="B158" s="24" t="str">
        <f t="shared" si="5"/>
        <v>agosto</v>
      </c>
      <c r="C158" s="25">
        <v>46253.0</v>
      </c>
      <c r="D158" s="26" t="s">
        <v>39</v>
      </c>
      <c r="E158" s="27">
        <v>41.0</v>
      </c>
      <c r="F158" s="27">
        <v>35.0</v>
      </c>
      <c r="G158" s="27">
        <v>0.0</v>
      </c>
      <c r="H158" s="27">
        <v>0.0</v>
      </c>
      <c r="J158" s="22"/>
      <c r="K158" s="24"/>
      <c r="L158" s="37"/>
    </row>
    <row r="159" ht="15.75" customHeight="1">
      <c r="A159" s="22" t="str">
        <f t="shared" si="4"/>
        <v>miércoles</v>
      </c>
      <c r="B159" s="24" t="str">
        <f t="shared" si="5"/>
        <v>agosto</v>
      </c>
      <c r="C159" s="25">
        <v>46253.0</v>
      </c>
      <c r="D159" s="26" t="s">
        <v>41</v>
      </c>
      <c r="E159" s="27">
        <v>82.0</v>
      </c>
      <c r="F159" s="27">
        <v>61.0</v>
      </c>
      <c r="G159" s="27">
        <v>1.0</v>
      </c>
      <c r="H159" s="27">
        <v>7.0</v>
      </c>
      <c r="J159" s="22"/>
      <c r="K159" s="24"/>
      <c r="L159" s="37"/>
    </row>
    <row r="160" ht="15.75" customHeight="1">
      <c r="A160" s="22" t="str">
        <f t="shared" si="4"/>
        <v>miércoles</v>
      </c>
      <c r="B160" s="24" t="str">
        <f t="shared" si="5"/>
        <v>agosto</v>
      </c>
      <c r="C160" s="25">
        <v>46253.0</v>
      </c>
      <c r="D160" s="26" t="s">
        <v>42</v>
      </c>
      <c r="E160" s="27">
        <v>97.0</v>
      </c>
      <c r="F160" s="27">
        <v>66.0</v>
      </c>
      <c r="G160" s="27">
        <v>2.0</v>
      </c>
      <c r="H160" s="27">
        <v>21.0</v>
      </c>
      <c r="J160" s="22"/>
      <c r="K160" s="24"/>
      <c r="L160" s="37"/>
    </row>
    <row r="161" ht="15.75" customHeight="1">
      <c r="A161" s="22" t="str">
        <f t="shared" si="4"/>
        <v>miércoles</v>
      </c>
      <c r="B161" s="24" t="str">
        <f t="shared" si="5"/>
        <v>agosto</v>
      </c>
      <c r="C161" s="25">
        <v>46253.0</v>
      </c>
      <c r="D161" s="26" t="s">
        <v>51</v>
      </c>
      <c r="E161" s="27">
        <v>116.0</v>
      </c>
      <c r="F161" s="27">
        <v>95.0</v>
      </c>
      <c r="G161" s="27">
        <v>2.0</v>
      </c>
      <c r="H161" s="27">
        <v>23.0</v>
      </c>
      <c r="J161" s="22"/>
      <c r="K161" s="24"/>
      <c r="L161" s="37"/>
    </row>
    <row r="162" ht="15.75" customHeight="1">
      <c r="A162" s="22" t="str">
        <f t="shared" si="4"/>
        <v>miércoles</v>
      </c>
      <c r="B162" s="24" t="str">
        <f t="shared" si="5"/>
        <v>agosto</v>
      </c>
      <c r="C162" s="25">
        <v>46253.0</v>
      </c>
      <c r="D162" s="22" t="s">
        <v>83</v>
      </c>
      <c r="E162" s="27">
        <v>47.0</v>
      </c>
      <c r="F162" s="27">
        <v>16.0</v>
      </c>
      <c r="G162" s="27">
        <v>1.0</v>
      </c>
      <c r="H162" s="27">
        <v>4.0</v>
      </c>
      <c r="J162" s="22"/>
      <c r="K162" s="24"/>
      <c r="L162" s="37"/>
    </row>
    <row r="163" ht="15.75" customHeight="1">
      <c r="A163" s="22" t="str">
        <f t="shared" si="4"/>
        <v>miércoles</v>
      </c>
      <c r="B163" s="24" t="str">
        <f t="shared" si="5"/>
        <v>agosto</v>
      </c>
      <c r="C163" s="25">
        <v>46253.0</v>
      </c>
      <c r="D163" s="26" t="s">
        <v>67</v>
      </c>
      <c r="E163" s="27">
        <v>73.0</v>
      </c>
      <c r="F163" s="27">
        <v>59.0</v>
      </c>
      <c r="G163" s="27">
        <v>2.0</v>
      </c>
      <c r="H163" s="27">
        <v>1.0</v>
      </c>
      <c r="J163" s="22"/>
      <c r="K163" s="24"/>
      <c r="L163" s="37"/>
    </row>
    <row r="164" ht="15.75" customHeight="1">
      <c r="A164" s="22" t="str">
        <f t="shared" si="4"/>
        <v>miércoles</v>
      </c>
      <c r="B164" s="24" t="str">
        <f t="shared" si="5"/>
        <v>agosto</v>
      </c>
      <c r="C164" s="25">
        <v>46253.0</v>
      </c>
      <c r="D164" s="26" t="s">
        <v>58</v>
      </c>
      <c r="E164" s="27">
        <v>61.0</v>
      </c>
      <c r="F164" s="27">
        <v>37.0</v>
      </c>
      <c r="G164" s="27">
        <v>3.0</v>
      </c>
      <c r="H164" s="27">
        <v>9.0</v>
      </c>
      <c r="J164" s="22"/>
      <c r="K164" s="24"/>
      <c r="L164" s="37"/>
    </row>
    <row r="165" ht="15.75" customHeight="1">
      <c r="A165" s="22" t="str">
        <f t="shared" si="4"/>
        <v>miércoles</v>
      </c>
      <c r="B165" s="24" t="str">
        <f t="shared" si="5"/>
        <v>agosto</v>
      </c>
      <c r="C165" s="25">
        <v>46253.0</v>
      </c>
      <c r="D165" s="26" t="s">
        <v>64</v>
      </c>
      <c r="E165" s="27">
        <v>103.0</v>
      </c>
      <c r="F165" s="27">
        <v>50.0</v>
      </c>
      <c r="G165" s="27">
        <v>8.0</v>
      </c>
      <c r="H165" s="27">
        <v>6.0</v>
      </c>
      <c r="J165" s="22"/>
      <c r="K165" s="24"/>
      <c r="L165" s="37"/>
    </row>
    <row r="166" ht="15.75" customHeight="1">
      <c r="A166" s="22" t="str">
        <f t="shared" si="4"/>
        <v>miércoles</v>
      </c>
      <c r="B166" s="24" t="str">
        <f t="shared" si="5"/>
        <v>agosto</v>
      </c>
      <c r="C166" s="25">
        <v>46253.0</v>
      </c>
      <c r="D166" s="26" t="s">
        <v>65</v>
      </c>
      <c r="E166" s="27">
        <v>60.0</v>
      </c>
      <c r="F166" s="27">
        <v>50.0</v>
      </c>
      <c r="G166" s="27">
        <v>5.0</v>
      </c>
      <c r="H166" s="27">
        <v>1.0</v>
      </c>
      <c r="J166" s="22"/>
      <c r="K166" s="24"/>
      <c r="L166" s="37"/>
    </row>
    <row r="167" ht="15.75" customHeight="1">
      <c r="A167" s="22" t="str">
        <f t="shared" si="4"/>
        <v>miércoles</v>
      </c>
      <c r="B167" s="24" t="str">
        <f t="shared" si="5"/>
        <v>agosto</v>
      </c>
      <c r="C167" s="25">
        <v>46253.0</v>
      </c>
      <c r="D167" s="26" t="s">
        <v>66</v>
      </c>
      <c r="E167" s="27">
        <v>98.0</v>
      </c>
      <c r="F167" s="27">
        <v>82.0</v>
      </c>
      <c r="G167" s="27">
        <v>0.0</v>
      </c>
      <c r="H167" s="27">
        <v>0.0</v>
      </c>
      <c r="J167" s="22"/>
      <c r="K167" s="24"/>
      <c r="L167" s="37"/>
    </row>
    <row r="168" ht="15.75" customHeight="1">
      <c r="A168" s="22" t="str">
        <f t="shared" si="4"/>
        <v>jueves</v>
      </c>
      <c r="B168" s="24" t="str">
        <f t="shared" si="5"/>
        <v>agosto</v>
      </c>
      <c r="C168" s="25">
        <v>46254.0</v>
      </c>
      <c r="D168" s="26" t="s">
        <v>39</v>
      </c>
      <c r="E168" s="27">
        <v>86.0</v>
      </c>
      <c r="F168" s="27">
        <v>67.0</v>
      </c>
      <c r="G168" s="27">
        <v>0.0</v>
      </c>
      <c r="H168" s="27">
        <v>5.0</v>
      </c>
      <c r="J168" s="22"/>
      <c r="K168" s="24"/>
      <c r="L168" s="37"/>
    </row>
    <row r="169" ht="15.75" customHeight="1">
      <c r="A169" s="22" t="str">
        <f t="shared" si="4"/>
        <v>jueves</v>
      </c>
      <c r="B169" s="24" t="str">
        <f t="shared" si="5"/>
        <v>agosto</v>
      </c>
      <c r="C169" s="25">
        <v>46254.0</v>
      </c>
      <c r="D169" s="26" t="s">
        <v>40</v>
      </c>
      <c r="E169" s="27">
        <v>92.0</v>
      </c>
      <c r="F169" s="27">
        <v>40.0</v>
      </c>
      <c r="G169" s="27">
        <v>3.0</v>
      </c>
      <c r="H169" s="27">
        <v>8.0</v>
      </c>
      <c r="J169" s="22"/>
      <c r="K169" s="24"/>
      <c r="L169" s="37"/>
    </row>
    <row r="170" ht="15.75" customHeight="1">
      <c r="A170" s="22" t="str">
        <f t="shared" si="4"/>
        <v>jueves</v>
      </c>
      <c r="B170" s="24" t="str">
        <f t="shared" si="5"/>
        <v>agosto</v>
      </c>
      <c r="C170" s="25">
        <v>46254.0</v>
      </c>
      <c r="D170" s="26" t="s">
        <v>41</v>
      </c>
      <c r="E170" s="27">
        <v>72.0</v>
      </c>
      <c r="F170" s="27">
        <v>53.0</v>
      </c>
      <c r="G170" s="27">
        <v>0.0</v>
      </c>
      <c r="H170" s="27">
        <v>4.0</v>
      </c>
      <c r="J170" s="22"/>
      <c r="K170" s="24"/>
      <c r="L170" s="37"/>
    </row>
    <row r="171" ht="15.75" customHeight="1">
      <c r="A171" s="22" t="str">
        <f t="shared" si="4"/>
        <v>jueves</v>
      </c>
      <c r="B171" s="24" t="str">
        <f t="shared" si="5"/>
        <v>agosto</v>
      </c>
      <c r="C171" s="25">
        <v>46254.0</v>
      </c>
      <c r="D171" s="26" t="s">
        <v>42</v>
      </c>
      <c r="E171" s="27">
        <v>91.0</v>
      </c>
      <c r="F171" s="27">
        <v>67.0</v>
      </c>
      <c r="G171" s="27">
        <v>1.0</v>
      </c>
      <c r="H171" s="27">
        <v>13.0</v>
      </c>
      <c r="J171" s="22"/>
      <c r="K171" s="24"/>
      <c r="L171" s="37"/>
    </row>
    <row r="172" ht="15.75" customHeight="1">
      <c r="A172" s="22" t="str">
        <f t="shared" si="4"/>
        <v>jueves</v>
      </c>
      <c r="B172" s="24" t="str">
        <f t="shared" si="5"/>
        <v>agosto</v>
      </c>
      <c r="C172" s="25">
        <v>46254.0</v>
      </c>
      <c r="D172" s="26" t="s">
        <v>51</v>
      </c>
      <c r="E172" s="27">
        <v>69.0</v>
      </c>
      <c r="F172" s="27">
        <v>52.0</v>
      </c>
      <c r="G172" s="27">
        <v>2.0</v>
      </c>
      <c r="H172" s="27">
        <v>22.0</v>
      </c>
      <c r="J172" s="22"/>
      <c r="K172" s="24"/>
      <c r="L172" s="37"/>
    </row>
    <row r="173" ht="15.75" customHeight="1">
      <c r="A173" s="22" t="str">
        <f t="shared" si="4"/>
        <v>jueves</v>
      </c>
      <c r="B173" s="24" t="str">
        <f t="shared" si="5"/>
        <v>agosto</v>
      </c>
      <c r="C173" s="25">
        <v>46254.0</v>
      </c>
      <c r="D173" s="26" t="s">
        <v>67</v>
      </c>
      <c r="E173" s="27">
        <v>57.0</v>
      </c>
      <c r="F173" s="27">
        <v>39.0</v>
      </c>
      <c r="G173" s="27">
        <v>3.0</v>
      </c>
      <c r="H173" s="27">
        <v>2.0</v>
      </c>
      <c r="J173" s="22"/>
      <c r="K173" s="24"/>
      <c r="L173" s="37"/>
    </row>
    <row r="174" ht="15.75" customHeight="1">
      <c r="A174" s="22" t="str">
        <f t="shared" si="4"/>
        <v>jueves</v>
      </c>
      <c r="B174" s="24" t="str">
        <f t="shared" si="5"/>
        <v>agosto</v>
      </c>
      <c r="C174" s="25">
        <v>46254.0</v>
      </c>
      <c r="D174" s="26" t="s">
        <v>58</v>
      </c>
      <c r="E174" s="27">
        <v>78.0</v>
      </c>
      <c r="F174" s="27">
        <v>48.0</v>
      </c>
      <c r="G174" s="27">
        <v>2.0</v>
      </c>
      <c r="H174" s="27">
        <v>0.0</v>
      </c>
      <c r="J174" s="22"/>
      <c r="K174" s="24"/>
      <c r="L174" s="37"/>
    </row>
    <row r="175" ht="15.75" customHeight="1">
      <c r="A175" s="22" t="str">
        <f t="shared" si="4"/>
        <v>jueves</v>
      </c>
      <c r="B175" s="24" t="str">
        <f t="shared" si="5"/>
        <v>agosto</v>
      </c>
      <c r="C175" s="25">
        <v>46254.0</v>
      </c>
      <c r="D175" s="26" t="s">
        <v>52</v>
      </c>
      <c r="E175" s="27">
        <v>31.0</v>
      </c>
      <c r="F175" s="27">
        <v>45.0</v>
      </c>
      <c r="G175" s="27">
        <v>2.0</v>
      </c>
      <c r="H175" s="27">
        <v>0.0</v>
      </c>
      <c r="J175" s="22"/>
      <c r="K175" s="24"/>
      <c r="L175" s="37"/>
    </row>
    <row r="176" ht="15.75" customHeight="1">
      <c r="A176" s="22" t="str">
        <f t="shared" si="4"/>
        <v>jueves</v>
      </c>
      <c r="B176" s="24" t="str">
        <f t="shared" si="5"/>
        <v>agosto</v>
      </c>
      <c r="C176" s="25">
        <v>46254.0</v>
      </c>
      <c r="D176" s="26" t="s">
        <v>53</v>
      </c>
      <c r="E176" s="27">
        <v>65.0</v>
      </c>
      <c r="F176" s="27">
        <v>51.0</v>
      </c>
      <c r="G176" s="27">
        <v>2.0</v>
      </c>
      <c r="H176" s="27">
        <v>0.0</v>
      </c>
      <c r="J176" s="22"/>
      <c r="K176" s="24"/>
      <c r="L176" s="37"/>
    </row>
    <row r="177" ht="15.75" customHeight="1">
      <c r="A177" s="22" t="str">
        <f t="shared" si="4"/>
        <v>jueves</v>
      </c>
      <c r="B177" s="24" t="str">
        <f t="shared" si="5"/>
        <v>agosto</v>
      </c>
      <c r="C177" s="25">
        <v>46254.0</v>
      </c>
      <c r="D177" s="26" t="s">
        <v>64</v>
      </c>
      <c r="E177" s="27">
        <v>134.0</v>
      </c>
      <c r="F177" s="27">
        <v>77.0</v>
      </c>
      <c r="G177" s="27">
        <v>2.0</v>
      </c>
      <c r="H177" s="27">
        <v>16.0</v>
      </c>
      <c r="J177" s="22"/>
      <c r="K177" s="24"/>
      <c r="L177" s="37"/>
    </row>
    <row r="178" ht="15.75" customHeight="1">
      <c r="A178" s="22" t="str">
        <f t="shared" si="4"/>
        <v>jueves</v>
      </c>
      <c r="B178" s="24" t="str">
        <f t="shared" si="5"/>
        <v>agosto</v>
      </c>
      <c r="C178" s="25">
        <v>46254.0</v>
      </c>
      <c r="D178" s="26" t="s">
        <v>65</v>
      </c>
      <c r="E178" s="27">
        <v>66.0</v>
      </c>
      <c r="F178" s="27">
        <v>48.0</v>
      </c>
      <c r="G178" s="27">
        <v>1.0</v>
      </c>
      <c r="H178" s="27">
        <v>5.0</v>
      </c>
      <c r="J178" s="22"/>
      <c r="K178" s="24"/>
      <c r="L178" s="37"/>
    </row>
    <row r="179" ht="15.75" customHeight="1">
      <c r="A179" s="22" t="str">
        <f t="shared" si="4"/>
        <v>jueves</v>
      </c>
      <c r="B179" s="24" t="str">
        <f t="shared" si="5"/>
        <v>agosto</v>
      </c>
      <c r="C179" s="25">
        <v>46254.0</v>
      </c>
      <c r="D179" s="26" t="s">
        <v>66</v>
      </c>
      <c r="E179" s="27">
        <v>145.0</v>
      </c>
      <c r="F179" s="27">
        <v>137.0</v>
      </c>
      <c r="G179" s="27">
        <v>0.0</v>
      </c>
      <c r="H179" s="27">
        <v>0.0</v>
      </c>
      <c r="J179" s="22"/>
      <c r="K179" s="24"/>
      <c r="L179" s="37"/>
    </row>
    <row r="180" ht="15.75" customHeight="1">
      <c r="A180" s="22" t="str">
        <f t="shared" si="4"/>
        <v>viernes</v>
      </c>
      <c r="B180" s="24" t="str">
        <f t="shared" si="5"/>
        <v>agosto</v>
      </c>
      <c r="C180" s="25">
        <v>46255.0</v>
      </c>
      <c r="D180" s="26" t="s">
        <v>40</v>
      </c>
      <c r="E180" s="27">
        <v>51.0</v>
      </c>
      <c r="F180" s="27">
        <v>19.0</v>
      </c>
      <c r="G180" s="27">
        <v>6.0</v>
      </c>
      <c r="H180" s="27">
        <v>10.0</v>
      </c>
      <c r="J180" s="22"/>
      <c r="K180" s="24"/>
      <c r="L180" s="37"/>
    </row>
    <row r="181" ht="15.75" customHeight="1">
      <c r="A181" s="22" t="str">
        <f t="shared" si="4"/>
        <v>viernes</v>
      </c>
      <c r="B181" s="24" t="str">
        <f t="shared" si="5"/>
        <v>agosto</v>
      </c>
      <c r="C181" s="25">
        <v>46255.0</v>
      </c>
      <c r="D181" s="26" t="s">
        <v>51</v>
      </c>
      <c r="E181" s="27">
        <v>92.0</v>
      </c>
      <c r="F181" s="27">
        <v>80.0</v>
      </c>
      <c r="G181" s="27">
        <v>4.0</v>
      </c>
      <c r="H181" s="27">
        <v>9.0</v>
      </c>
      <c r="J181" s="22"/>
      <c r="K181" s="24"/>
      <c r="L181" s="37"/>
    </row>
    <row r="182" ht="15.75" customHeight="1">
      <c r="A182" s="22" t="str">
        <f t="shared" si="4"/>
        <v>viernes</v>
      </c>
      <c r="B182" s="24" t="str">
        <f t="shared" si="5"/>
        <v>agosto</v>
      </c>
      <c r="C182" s="25">
        <v>46255.0</v>
      </c>
      <c r="D182" s="26" t="s">
        <v>58</v>
      </c>
      <c r="E182" s="27">
        <v>38.0</v>
      </c>
      <c r="F182" s="27">
        <v>24.0</v>
      </c>
      <c r="G182" s="27">
        <v>3.0</v>
      </c>
      <c r="H182" s="27">
        <v>1.0</v>
      </c>
    </row>
    <row r="183" ht="15.75" customHeight="1">
      <c r="A183" s="22" t="str">
        <f t="shared" si="4"/>
        <v>viernes</v>
      </c>
      <c r="B183" s="24" t="str">
        <f t="shared" si="5"/>
        <v>agosto</v>
      </c>
      <c r="C183" s="25">
        <v>46255.0</v>
      </c>
      <c r="D183" s="26" t="s">
        <v>52</v>
      </c>
      <c r="E183" s="27">
        <v>58.0</v>
      </c>
      <c r="F183" s="27">
        <v>48.0</v>
      </c>
      <c r="G183" s="27">
        <v>3.0</v>
      </c>
      <c r="H183" s="27">
        <v>1.0</v>
      </c>
    </row>
    <row r="184" ht="15.75" customHeight="1">
      <c r="A184" s="22" t="str">
        <f t="shared" si="4"/>
        <v>viernes</v>
      </c>
      <c r="B184" s="24" t="str">
        <f t="shared" si="5"/>
        <v>agosto</v>
      </c>
      <c r="C184" s="25">
        <v>46255.0</v>
      </c>
      <c r="D184" s="26" t="s">
        <v>53</v>
      </c>
      <c r="E184" s="27">
        <v>54.0</v>
      </c>
      <c r="F184" s="27">
        <v>39.0</v>
      </c>
      <c r="G184" s="27">
        <v>5.0</v>
      </c>
      <c r="H184" s="27">
        <v>0.0</v>
      </c>
    </row>
    <row r="185" ht="15.75" customHeight="1">
      <c r="A185" s="22" t="str">
        <f t="shared" si="4"/>
        <v>viernes</v>
      </c>
      <c r="B185" s="24" t="str">
        <f t="shared" si="5"/>
        <v>agosto</v>
      </c>
      <c r="C185" s="25">
        <v>46255.0</v>
      </c>
      <c r="D185" s="26" t="s">
        <v>64</v>
      </c>
      <c r="E185" s="27">
        <v>120.0</v>
      </c>
      <c r="F185" s="27">
        <v>75.0</v>
      </c>
      <c r="G185" s="27">
        <v>5.0</v>
      </c>
      <c r="H185" s="27">
        <v>15.0</v>
      </c>
    </row>
    <row r="186" ht="15.75" customHeight="1">
      <c r="A186" s="22" t="str">
        <f t="shared" si="4"/>
        <v>viernes</v>
      </c>
      <c r="B186" s="24" t="str">
        <f t="shared" si="5"/>
        <v>agosto</v>
      </c>
      <c r="C186" s="25">
        <v>46255.0</v>
      </c>
      <c r="D186" s="26" t="s">
        <v>65</v>
      </c>
      <c r="E186" s="27">
        <v>81.0</v>
      </c>
      <c r="F186" s="27">
        <v>67.0</v>
      </c>
      <c r="G186" s="27">
        <v>9.0</v>
      </c>
      <c r="H186" s="27">
        <v>1.0</v>
      </c>
    </row>
    <row r="187" ht="15.75" customHeight="1">
      <c r="A187" s="22" t="str">
        <f t="shared" si="4"/>
        <v>viernes</v>
      </c>
      <c r="B187" s="24" t="str">
        <f t="shared" si="5"/>
        <v>agosto</v>
      </c>
      <c r="C187" s="25">
        <v>46255.0</v>
      </c>
      <c r="D187" s="26" t="s">
        <v>66</v>
      </c>
      <c r="E187" s="27">
        <v>124.0</v>
      </c>
      <c r="F187" s="27">
        <v>104.0</v>
      </c>
      <c r="G187" s="27">
        <v>1.0</v>
      </c>
      <c r="H187" s="27">
        <v>1.0</v>
      </c>
    </row>
    <row r="188" ht="15.75" customHeight="1">
      <c r="A188" s="22" t="str">
        <f t="shared" si="4"/>
        <v>sábado</v>
      </c>
      <c r="B188" s="24" t="str">
        <f t="shared" si="5"/>
        <v>agosto</v>
      </c>
      <c r="C188" s="25">
        <v>46256.0</v>
      </c>
      <c r="D188" s="26" t="s">
        <v>40</v>
      </c>
      <c r="E188" s="27">
        <v>59.0</v>
      </c>
      <c r="F188" s="27">
        <v>23.0</v>
      </c>
      <c r="G188" s="27">
        <v>6.0</v>
      </c>
      <c r="H188" s="27">
        <v>6.0</v>
      </c>
    </row>
    <row r="189" ht="15.75" customHeight="1">
      <c r="A189" s="22" t="str">
        <f t="shared" si="4"/>
        <v>sábado</v>
      </c>
      <c r="B189" s="24" t="str">
        <f t="shared" si="5"/>
        <v>agosto</v>
      </c>
      <c r="C189" s="25">
        <v>46256.0</v>
      </c>
      <c r="D189" s="26" t="s">
        <v>51</v>
      </c>
      <c r="E189" s="27">
        <v>104.0</v>
      </c>
      <c r="F189" s="27">
        <v>81.0</v>
      </c>
      <c r="G189" s="27">
        <v>5.0</v>
      </c>
      <c r="H189" s="27">
        <v>3.0</v>
      </c>
    </row>
    <row r="190" ht="15.75" customHeight="1">
      <c r="A190" s="22" t="str">
        <f t="shared" si="4"/>
        <v>sábado</v>
      </c>
      <c r="B190" s="24" t="str">
        <f t="shared" si="5"/>
        <v>agosto</v>
      </c>
      <c r="C190" s="25">
        <v>46256.0</v>
      </c>
      <c r="D190" s="22" t="s">
        <v>46</v>
      </c>
      <c r="E190" s="27">
        <v>133.0</v>
      </c>
      <c r="F190" s="27">
        <v>57.0</v>
      </c>
      <c r="G190" s="27">
        <v>12.0</v>
      </c>
      <c r="H190" s="27">
        <v>5.0</v>
      </c>
    </row>
    <row r="191" ht="15.75" customHeight="1">
      <c r="A191" s="22" t="str">
        <f t="shared" si="4"/>
        <v>sábado</v>
      </c>
      <c r="B191" s="24" t="str">
        <f t="shared" si="5"/>
        <v>agosto</v>
      </c>
      <c r="C191" s="25">
        <v>46256.0</v>
      </c>
      <c r="D191" s="26" t="s">
        <v>52</v>
      </c>
      <c r="E191" s="27">
        <v>65.0</v>
      </c>
      <c r="F191" s="27">
        <v>49.0</v>
      </c>
      <c r="G191" s="27">
        <v>4.0</v>
      </c>
      <c r="H191" s="27">
        <v>2.0</v>
      </c>
    </row>
    <row r="192" ht="15.75" customHeight="1">
      <c r="A192" s="22" t="str">
        <f t="shared" si="4"/>
        <v>sábado</v>
      </c>
      <c r="B192" s="24" t="str">
        <f t="shared" si="5"/>
        <v>agosto</v>
      </c>
      <c r="C192" s="25">
        <v>46256.0</v>
      </c>
      <c r="D192" s="26" t="s">
        <v>53</v>
      </c>
      <c r="E192" s="27">
        <v>59.0</v>
      </c>
      <c r="F192" s="27">
        <v>32.0</v>
      </c>
      <c r="G192" s="27">
        <v>6.0</v>
      </c>
      <c r="H192" s="27">
        <v>5.0</v>
      </c>
    </row>
    <row r="193" ht="15.75" customHeight="1">
      <c r="A193" s="22" t="str">
        <f t="shared" si="4"/>
        <v>sábado</v>
      </c>
      <c r="B193" s="24" t="str">
        <f t="shared" si="5"/>
        <v>agosto</v>
      </c>
      <c r="C193" s="25">
        <v>46256.0</v>
      </c>
      <c r="D193" s="26" t="s">
        <v>60</v>
      </c>
      <c r="E193" s="27">
        <v>107.0</v>
      </c>
      <c r="F193" s="27">
        <v>83.0</v>
      </c>
      <c r="G193" s="27">
        <v>9.0</v>
      </c>
      <c r="H193" s="27">
        <v>1.0</v>
      </c>
    </row>
    <row r="194" ht="15.75" customHeight="1">
      <c r="A194" s="22" t="str">
        <f t="shared" si="4"/>
        <v>domingo</v>
      </c>
      <c r="B194" s="24" t="str">
        <f t="shared" si="5"/>
        <v>agosto</v>
      </c>
      <c r="C194" s="25">
        <v>46257.0</v>
      </c>
      <c r="D194" s="26" t="s">
        <v>39</v>
      </c>
      <c r="E194" s="27">
        <v>110.0</v>
      </c>
      <c r="F194" s="27">
        <v>74.0</v>
      </c>
      <c r="G194" s="27">
        <v>0.0</v>
      </c>
      <c r="H194" s="27">
        <v>0.0</v>
      </c>
    </row>
    <row r="195" ht="15.75" customHeight="1">
      <c r="A195" s="22" t="str">
        <f t="shared" si="4"/>
        <v>domingo</v>
      </c>
      <c r="B195" s="24" t="str">
        <f t="shared" si="5"/>
        <v>agosto</v>
      </c>
      <c r="C195" s="25">
        <v>46257.0</v>
      </c>
      <c r="D195" s="26" t="s">
        <v>40</v>
      </c>
      <c r="E195" s="27">
        <v>117.0</v>
      </c>
      <c r="F195" s="27">
        <v>45.0</v>
      </c>
      <c r="G195" s="27">
        <v>3.0</v>
      </c>
      <c r="H195" s="27">
        <v>12.0</v>
      </c>
    </row>
    <row r="196" ht="15.75" customHeight="1">
      <c r="A196" s="22" t="str">
        <f t="shared" si="4"/>
        <v>domingo</v>
      </c>
      <c r="B196" s="24" t="str">
        <f t="shared" si="5"/>
        <v>agosto</v>
      </c>
      <c r="C196" s="25">
        <v>46257.0</v>
      </c>
      <c r="D196" s="22" t="s">
        <v>46</v>
      </c>
      <c r="E196" s="27">
        <v>153.0</v>
      </c>
      <c r="F196" s="27">
        <v>53.0</v>
      </c>
      <c r="G196" s="27">
        <v>4.0</v>
      </c>
      <c r="H196" s="27">
        <v>5.0</v>
      </c>
    </row>
    <row r="197" ht="15.75" customHeight="1">
      <c r="A197" s="22" t="str">
        <f t="shared" si="4"/>
        <v>domingo</v>
      </c>
      <c r="B197" s="24" t="str">
        <f t="shared" si="5"/>
        <v>agosto</v>
      </c>
      <c r="C197" s="25">
        <v>46257.0</v>
      </c>
      <c r="D197" s="26" t="s">
        <v>52</v>
      </c>
      <c r="E197" s="27">
        <v>61.0</v>
      </c>
      <c r="F197" s="27">
        <v>47.0</v>
      </c>
      <c r="G197" s="27">
        <v>4.0</v>
      </c>
      <c r="H197" s="27">
        <v>1.0</v>
      </c>
    </row>
    <row r="198" ht="15.75" customHeight="1">
      <c r="A198" s="22" t="str">
        <f t="shared" si="4"/>
        <v>domingo</v>
      </c>
      <c r="B198" s="24" t="str">
        <f t="shared" si="5"/>
        <v>agosto</v>
      </c>
      <c r="C198" s="25">
        <v>46257.0</v>
      </c>
      <c r="D198" s="26" t="s">
        <v>53</v>
      </c>
      <c r="E198" s="27">
        <v>108.0</v>
      </c>
      <c r="F198" s="27">
        <v>70.0</v>
      </c>
      <c r="G198" s="27">
        <v>6.0</v>
      </c>
      <c r="H198" s="27">
        <v>5.0</v>
      </c>
    </row>
    <row r="199" ht="15.75" customHeight="1">
      <c r="A199" s="22" t="str">
        <f t="shared" si="4"/>
        <v>domingo</v>
      </c>
      <c r="B199" s="24" t="str">
        <f t="shared" si="5"/>
        <v>agosto</v>
      </c>
      <c r="C199" s="25">
        <v>46257.0</v>
      </c>
      <c r="D199" s="26" t="s">
        <v>60</v>
      </c>
      <c r="E199" s="27">
        <v>138.0</v>
      </c>
      <c r="F199" s="27">
        <v>108.0</v>
      </c>
      <c r="G199" s="27">
        <v>15.0</v>
      </c>
      <c r="H199" s="27">
        <v>3.0</v>
      </c>
    </row>
    <row r="200" ht="15.75" customHeight="1">
      <c r="A200" s="22" t="str">
        <f t="shared" si="4"/>
        <v>lunes</v>
      </c>
      <c r="B200" s="24" t="str">
        <f t="shared" si="5"/>
        <v>agosto</v>
      </c>
      <c r="C200" s="25">
        <v>46258.0</v>
      </c>
      <c r="D200" s="26" t="s">
        <v>39</v>
      </c>
      <c r="E200" s="27">
        <v>64.0</v>
      </c>
      <c r="F200" s="27">
        <v>47.0</v>
      </c>
      <c r="G200" s="27">
        <v>0.0</v>
      </c>
      <c r="H200" s="27">
        <v>11.0</v>
      </c>
    </row>
    <row r="201" ht="15.75" customHeight="1">
      <c r="A201" s="22" t="str">
        <f t="shared" si="4"/>
        <v>lunes</v>
      </c>
      <c r="B201" s="24" t="str">
        <f t="shared" si="5"/>
        <v>agosto</v>
      </c>
      <c r="C201" s="25">
        <v>46258.0</v>
      </c>
      <c r="D201" s="26" t="s">
        <v>41</v>
      </c>
      <c r="E201" s="27">
        <v>68.0</v>
      </c>
      <c r="F201" s="27">
        <v>53.0</v>
      </c>
      <c r="G201" s="27">
        <v>1.0</v>
      </c>
      <c r="H201" s="27">
        <v>3.0</v>
      </c>
    </row>
    <row r="202" ht="15.75" customHeight="1">
      <c r="A202" s="22" t="str">
        <f t="shared" si="4"/>
        <v>lunes</v>
      </c>
      <c r="B202" s="24" t="str">
        <f t="shared" si="5"/>
        <v>agosto</v>
      </c>
      <c r="C202" s="25">
        <v>46258.0</v>
      </c>
      <c r="D202" s="26" t="s">
        <v>42</v>
      </c>
      <c r="E202" s="27">
        <v>94.0</v>
      </c>
      <c r="F202" s="27">
        <v>64.0</v>
      </c>
      <c r="G202" s="27">
        <v>3.0</v>
      </c>
      <c r="H202" s="27">
        <v>14.0</v>
      </c>
    </row>
    <row r="203" ht="15.75" customHeight="1">
      <c r="A203" s="22" t="str">
        <f t="shared" si="4"/>
        <v>lunes</v>
      </c>
      <c r="B203" s="24" t="str">
        <f t="shared" si="5"/>
        <v>agosto</v>
      </c>
      <c r="C203" s="25">
        <v>46258.0</v>
      </c>
      <c r="D203" s="26" t="s">
        <v>44</v>
      </c>
      <c r="E203" s="27">
        <v>42.0</v>
      </c>
      <c r="F203" s="27">
        <v>40.0</v>
      </c>
      <c r="G203" s="27">
        <v>0.0</v>
      </c>
      <c r="H203" s="27">
        <v>0.0</v>
      </c>
    </row>
    <row r="204" ht="15.75" customHeight="1">
      <c r="A204" s="22" t="str">
        <f t="shared" si="4"/>
        <v>lunes</v>
      </c>
      <c r="B204" s="24" t="str">
        <f t="shared" si="5"/>
        <v>agosto</v>
      </c>
      <c r="C204" s="25">
        <v>46258.0</v>
      </c>
      <c r="D204" s="22" t="s">
        <v>46</v>
      </c>
      <c r="E204" s="27">
        <v>88.0</v>
      </c>
      <c r="F204" s="27">
        <v>42.0</v>
      </c>
      <c r="G204" s="27">
        <v>3.0</v>
      </c>
      <c r="H204" s="27">
        <v>6.0</v>
      </c>
    </row>
    <row r="205" ht="15.75" customHeight="1">
      <c r="A205" s="22" t="str">
        <f t="shared" si="4"/>
        <v>lunes</v>
      </c>
      <c r="B205" s="24" t="str">
        <f t="shared" si="5"/>
        <v>agosto</v>
      </c>
      <c r="C205" s="25">
        <v>46258.0</v>
      </c>
      <c r="D205" s="26" t="s">
        <v>67</v>
      </c>
      <c r="E205" s="27">
        <v>53.0</v>
      </c>
      <c r="F205" s="27">
        <v>43.0</v>
      </c>
      <c r="G205" s="27">
        <v>5.0</v>
      </c>
      <c r="H205" s="27">
        <v>1.0</v>
      </c>
    </row>
    <row r="206" ht="15.75" customHeight="1">
      <c r="A206" s="22" t="str">
        <f t="shared" si="4"/>
        <v>lunes</v>
      </c>
      <c r="B206" s="24" t="str">
        <f t="shared" si="5"/>
        <v>agosto</v>
      </c>
      <c r="C206" s="25">
        <v>46258.0</v>
      </c>
      <c r="D206" s="26" t="s">
        <v>58</v>
      </c>
      <c r="E206" s="27">
        <v>62.0</v>
      </c>
      <c r="F206" s="27">
        <v>28.0</v>
      </c>
      <c r="G206" s="27">
        <v>3.0</v>
      </c>
      <c r="H206" s="27">
        <v>15.0</v>
      </c>
    </row>
    <row r="207" ht="15.75" customHeight="1">
      <c r="A207" s="22" t="str">
        <f t="shared" si="4"/>
        <v>lunes</v>
      </c>
      <c r="B207" s="24" t="str">
        <f t="shared" si="5"/>
        <v>agosto</v>
      </c>
      <c r="C207" s="25">
        <v>46258.0</v>
      </c>
      <c r="D207" s="26" t="s">
        <v>64</v>
      </c>
      <c r="E207" s="27">
        <v>52.0</v>
      </c>
      <c r="F207" s="27">
        <v>39.0</v>
      </c>
      <c r="G207" s="27">
        <v>0.0</v>
      </c>
      <c r="H207" s="27">
        <v>1.0</v>
      </c>
    </row>
    <row r="208" ht="15.75" customHeight="1">
      <c r="A208" s="22" t="str">
        <f t="shared" si="4"/>
        <v>lunes</v>
      </c>
      <c r="B208" s="24" t="str">
        <f t="shared" si="5"/>
        <v>agosto</v>
      </c>
      <c r="C208" s="25">
        <v>46258.0</v>
      </c>
      <c r="D208" s="26" t="s">
        <v>65</v>
      </c>
      <c r="E208" s="27">
        <v>65.0</v>
      </c>
      <c r="F208" s="27">
        <v>56.0</v>
      </c>
      <c r="G208" s="27">
        <v>6.0</v>
      </c>
      <c r="H208" s="27">
        <v>1.0</v>
      </c>
    </row>
    <row r="209" ht="15.75" customHeight="1">
      <c r="A209" s="22" t="str">
        <f t="shared" si="4"/>
        <v>lunes</v>
      </c>
      <c r="B209" s="24" t="str">
        <f t="shared" si="5"/>
        <v>agosto</v>
      </c>
      <c r="C209" s="25">
        <v>46258.0</v>
      </c>
      <c r="D209" s="26" t="s">
        <v>60</v>
      </c>
      <c r="E209" s="27">
        <v>115.0</v>
      </c>
      <c r="F209" s="27">
        <v>68.0</v>
      </c>
      <c r="G209" s="27">
        <v>1.0</v>
      </c>
      <c r="H209" s="27">
        <v>5.0</v>
      </c>
    </row>
    <row r="210" ht="15.75" customHeight="1">
      <c r="A210" s="22" t="str">
        <f t="shared" si="4"/>
        <v>lunes</v>
      </c>
      <c r="B210" s="24" t="str">
        <f t="shared" si="5"/>
        <v>agosto</v>
      </c>
      <c r="C210" s="25">
        <v>46258.0</v>
      </c>
      <c r="D210" s="26" t="s">
        <v>66</v>
      </c>
      <c r="E210" s="27">
        <v>75.0</v>
      </c>
      <c r="F210" s="27">
        <v>72.0</v>
      </c>
      <c r="G210" s="27">
        <v>1.0</v>
      </c>
      <c r="H210" s="27">
        <v>1.0</v>
      </c>
    </row>
    <row r="211" ht="15.75" customHeight="1">
      <c r="A211" s="22" t="str">
        <f t="shared" si="4"/>
        <v>martes</v>
      </c>
      <c r="B211" s="24" t="str">
        <f t="shared" si="5"/>
        <v>agosto</v>
      </c>
      <c r="C211" s="25">
        <v>46259.0</v>
      </c>
      <c r="D211" s="26" t="s">
        <v>39</v>
      </c>
      <c r="E211" s="27">
        <v>72.0</v>
      </c>
      <c r="F211" s="27">
        <v>51.0</v>
      </c>
      <c r="G211" s="27">
        <v>1.0</v>
      </c>
      <c r="H211" s="27">
        <v>8.0</v>
      </c>
    </row>
    <row r="212" ht="15.75" customHeight="1">
      <c r="A212" s="22" t="str">
        <f t="shared" si="4"/>
        <v>martes</v>
      </c>
      <c r="B212" s="24" t="str">
        <f t="shared" si="5"/>
        <v>agosto</v>
      </c>
      <c r="C212" s="25">
        <v>46259.0</v>
      </c>
      <c r="D212" s="26" t="s">
        <v>41</v>
      </c>
      <c r="E212" s="27">
        <v>69.0</v>
      </c>
      <c r="F212" s="27">
        <v>57.0</v>
      </c>
      <c r="G212" s="27">
        <v>2.0</v>
      </c>
      <c r="H212" s="27">
        <v>5.0</v>
      </c>
    </row>
    <row r="213" ht="15.75" customHeight="1">
      <c r="A213" s="22" t="str">
        <f t="shared" si="4"/>
        <v>martes</v>
      </c>
      <c r="B213" s="24" t="str">
        <f t="shared" si="5"/>
        <v>agosto</v>
      </c>
      <c r="C213" s="25">
        <v>46259.0</v>
      </c>
      <c r="D213" s="26" t="s">
        <v>42</v>
      </c>
      <c r="E213" s="27">
        <v>88.0</v>
      </c>
      <c r="F213" s="27">
        <v>67.0</v>
      </c>
      <c r="G213" s="27">
        <v>1.0</v>
      </c>
      <c r="H213" s="27">
        <v>13.0</v>
      </c>
    </row>
    <row r="214" ht="15.75" customHeight="1">
      <c r="A214" s="22" t="str">
        <f t="shared" si="4"/>
        <v>martes</v>
      </c>
      <c r="B214" s="24" t="str">
        <f t="shared" si="5"/>
        <v>agosto</v>
      </c>
      <c r="C214" s="25">
        <v>46259.0</v>
      </c>
      <c r="D214" s="22" t="s">
        <v>83</v>
      </c>
      <c r="E214" s="27">
        <v>69.0</v>
      </c>
      <c r="F214" s="27">
        <v>42.0</v>
      </c>
      <c r="G214" s="27">
        <v>0.0</v>
      </c>
      <c r="H214" s="27">
        <v>0.0</v>
      </c>
    </row>
    <row r="215" ht="15.75" customHeight="1">
      <c r="A215" s="22" t="str">
        <f t="shared" si="4"/>
        <v>martes</v>
      </c>
      <c r="B215" s="24" t="str">
        <f t="shared" si="5"/>
        <v>agosto</v>
      </c>
      <c r="C215" s="25">
        <v>46259.0</v>
      </c>
      <c r="D215" s="22" t="s">
        <v>84</v>
      </c>
      <c r="E215" s="27">
        <v>104.0</v>
      </c>
      <c r="F215" s="27">
        <v>52.0</v>
      </c>
      <c r="G215" s="27">
        <v>4.0</v>
      </c>
      <c r="H215" s="27">
        <v>7.0</v>
      </c>
    </row>
    <row r="216" ht="15.75" customHeight="1">
      <c r="A216" s="22" t="str">
        <f t="shared" si="4"/>
        <v>martes</v>
      </c>
      <c r="B216" s="24" t="str">
        <f t="shared" si="5"/>
        <v>agosto</v>
      </c>
      <c r="C216" s="25">
        <v>46259.0</v>
      </c>
      <c r="D216" s="26" t="s">
        <v>67</v>
      </c>
      <c r="E216" s="27">
        <v>54.0</v>
      </c>
      <c r="F216" s="27">
        <v>52.0</v>
      </c>
      <c r="G216" s="27">
        <v>3.0</v>
      </c>
      <c r="H216" s="27">
        <v>1.0</v>
      </c>
    </row>
    <row r="217" ht="15.75" customHeight="1">
      <c r="A217" s="22" t="str">
        <f t="shared" si="4"/>
        <v>martes</v>
      </c>
      <c r="B217" s="24" t="str">
        <f t="shared" si="5"/>
        <v>agosto</v>
      </c>
      <c r="C217" s="25">
        <v>46259.0</v>
      </c>
      <c r="D217" s="26" t="s">
        <v>58</v>
      </c>
      <c r="E217" s="27">
        <v>73.0</v>
      </c>
      <c r="F217" s="27">
        <v>48.0</v>
      </c>
      <c r="G217" s="27">
        <v>4.0</v>
      </c>
      <c r="H217" s="27">
        <v>3.0</v>
      </c>
    </row>
    <row r="218" ht="15.75" customHeight="1">
      <c r="A218" s="22" t="str">
        <f t="shared" si="4"/>
        <v>martes</v>
      </c>
      <c r="B218" s="24" t="str">
        <f t="shared" si="5"/>
        <v>agosto</v>
      </c>
      <c r="C218" s="25">
        <v>46259.0</v>
      </c>
      <c r="D218" s="26" t="s">
        <v>64</v>
      </c>
      <c r="E218" s="27">
        <v>110.0</v>
      </c>
      <c r="F218" s="27">
        <v>69.0</v>
      </c>
      <c r="G218" s="27">
        <v>8.0</v>
      </c>
      <c r="H218" s="27">
        <v>5.0</v>
      </c>
    </row>
    <row r="219" ht="15.75" customHeight="1">
      <c r="A219" s="22" t="str">
        <f t="shared" si="4"/>
        <v>martes</v>
      </c>
      <c r="B219" s="24" t="str">
        <f t="shared" si="5"/>
        <v>agosto</v>
      </c>
      <c r="C219" s="25">
        <v>46259.0</v>
      </c>
      <c r="D219" s="26" t="s">
        <v>65</v>
      </c>
      <c r="E219" s="27">
        <v>86.0</v>
      </c>
      <c r="F219" s="27">
        <v>79.0</v>
      </c>
      <c r="G219" s="27">
        <v>8.0</v>
      </c>
      <c r="H219" s="27">
        <v>1.0</v>
      </c>
    </row>
    <row r="220" ht="15.75" customHeight="1">
      <c r="A220" s="22" t="str">
        <f t="shared" si="4"/>
        <v>martes</v>
      </c>
      <c r="B220" s="24" t="str">
        <f t="shared" si="5"/>
        <v>agosto</v>
      </c>
      <c r="C220" s="25">
        <v>46259.0</v>
      </c>
      <c r="D220" s="26" t="s">
        <v>66</v>
      </c>
      <c r="E220" s="27">
        <v>106.0</v>
      </c>
      <c r="F220" s="27">
        <v>99.0</v>
      </c>
      <c r="G220" s="27">
        <v>0.0</v>
      </c>
      <c r="H220" s="27">
        <v>2.0</v>
      </c>
    </row>
    <row r="221" ht="15.75" customHeight="1">
      <c r="A221" s="22" t="str">
        <f t="shared" si="4"/>
        <v>miércoles</v>
      </c>
      <c r="B221" s="24" t="str">
        <f t="shared" si="5"/>
        <v>agosto</v>
      </c>
      <c r="C221" s="25">
        <v>46260.0</v>
      </c>
      <c r="D221" s="26" t="s">
        <v>39</v>
      </c>
      <c r="E221" s="27">
        <v>104.0</v>
      </c>
      <c r="F221" s="27">
        <v>80.0</v>
      </c>
      <c r="G221" s="27">
        <v>0.0</v>
      </c>
      <c r="H221" s="27">
        <v>4.0</v>
      </c>
    </row>
    <row r="222" ht="15.75" customHeight="1">
      <c r="A222" s="22" t="str">
        <f t="shared" si="4"/>
        <v>miércoles</v>
      </c>
      <c r="B222" s="24" t="str">
        <f t="shared" si="5"/>
        <v>agosto</v>
      </c>
      <c r="C222" s="25">
        <v>46260.0</v>
      </c>
      <c r="D222" s="26" t="s">
        <v>41</v>
      </c>
      <c r="E222" s="27">
        <v>73.0</v>
      </c>
      <c r="F222" s="27">
        <v>49.0</v>
      </c>
      <c r="G222" s="27">
        <v>1.0</v>
      </c>
      <c r="H222" s="27">
        <v>7.0</v>
      </c>
    </row>
    <row r="223" ht="15.75" customHeight="1">
      <c r="A223" s="22" t="str">
        <f t="shared" si="4"/>
        <v>miércoles</v>
      </c>
      <c r="B223" s="24" t="str">
        <f t="shared" si="5"/>
        <v>agosto</v>
      </c>
      <c r="C223" s="25">
        <v>46260.0</v>
      </c>
      <c r="D223" s="26" t="s">
        <v>42</v>
      </c>
      <c r="E223" s="27">
        <v>104.0</v>
      </c>
      <c r="F223" s="27">
        <v>78.0</v>
      </c>
      <c r="G223" s="27">
        <v>2.0</v>
      </c>
      <c r="H223" s="27">
        <v>18.0</v>
      </c>
    </row>
    <row r="224" ht="15.75" customHeight="1">
      <c r="A224" s="22" t="str">
        <f t="shared" si="4"/>
        <v>miércoles</v>
      </c>
      <c r="B224" s="24" t="str">
        <f t="shared" si="5"/>
        <v>agosto</v>
      </c>
      <c r="C224" s="25">
        <v>46260.0</v>
      </c>
      <c r="D224" s="26" t="s">
        <v>51</v>
      </c>
      <c r="E224" s="27">
        <v>143.0</v>
      </c>
      <c r="F224" s="27">
        <v>114.0</v>
      </c>
      <c r="G224" s="27">
        <v>3.0</v>
      </c>
      <c r="H224" s="27">
        <v>23.0</v>
      </c>
    </row>
    <row r="225" ht="15.75" customHeight="1">
      <c r="A225" s="22" t="str">
        <f t="shared" si="4"/>
        <v>miércoles</v>
      </c>
      <c r="B225" s="24" t="str">
        <f t="shared" si="5"/>
        <v>agosto</v>
      </c>
      <c r="C225" s="25">
        <v>46260.0</v>
      </c>
      <c r="D225" s="22" t="s">
        <v>83</v>
      </c>
      <c r="E225" s="27">
        <v>54.0</v>
      </c>
      <c r="F225" s="27">
        <v>22.0</v>
      </c>
      <c r="G225" s="27">
        <v>1.0</v>
      </c>
      <c r="H225" s="27">
        <v>3.0</v>
      </c>
    </row>
    <row r="226" ht="15.75" customHeight="1">
      <c r="A226" s="22" t="str">
        <f t="shared" si="4"/>
        <v>miércoles</v>
      </c>
      <c r="B226" s="24" t="str">
        <f t="shared" si="5"/>
        <v>agosto</v>
      </c>
      <c r="C226" s="25">
        <v>46260.0</v>
      </c>
      <c r="D226" s="26" t="s">
        <v>67</v>
      </c>
      <c r="E226" s="27">
        <v>60.0</v>
      </c>
      <c r="F226" s="27">
        <v>47.0</v>
      </c>
      <c r="G226" s="27">
        <v>2.0</v>
      </c>
      <c r="H226" s="27">
        <v>1.0</v>
      </c>
    </row>
    <row r="227" ht="15.75" customHeight="1">
      <c r="A227" s="22" t="str">
        <f t="shared" si="4"/>
        <v>miércoles</v>
      </c>
      <c r="B227" s="24" t="str">
        <f t="shared" si="5"/>
        <v>agosto</v>
      </c>
      <c r="C227" s="25">
        <v>46260.0</v>
      </c>
      <c r="D227" s="26" t="s">
        <v>58</v>
      </c>
      <c r="E227" s="27">
        <v>64.0</v>
      </c>
      <c r="F227" s="27">
        <v>46.0</v>
      </c>
      <c r="G227" s="27">
        <v>2.0</v>
      </c>
      <c r="H227" s="27">
        <v>3.0</v>
      </c>
    </row>
    <row r="228" ht="15.75" customHeight="1">
      <c r="A228" s="22" t="str">
        <f t="shared" si="4"/>
        <v>miércoles</v>
      </c>
      <c r="B228" s="24" t="str">
        <f t="shared" si="5"/>
        <v>agosto</v>
      </c>
      <c r="C228" s="25">
        <v>46260.0</v>
      </c>
      <c r="D228" s="26" t="s">
        <v>64</v>
      </c>
      <c r="E228" s="27">
        <v>133.0</v>
      </c>
      <c r="F228" s="27">
        <v>78.0</v>
      </c>
      <c r="G228" s="27">
        <v>11.0</v>
      </c>
      <c r="H228" s="27">
        <v>6.0</v>
      </c>
    </row>
    <row r="229" ht="15.75" customHeight="1">
      <c r="A229" s="22" t="str">
        <f t="shared" si="4"/>
        <v>miércoles</v>
      </c>
      <c r="B229" s="24" t="str">
        <f t="shared" si="5"/>
        <v>agosto</v>
      </c>
      <c r="C229" s="25">
        <v>46260.0</v>
      </c>
      <c r="D229" s="26" t="s">
        <v>65</v>
      </c>
      <c r="E229" s="27">
        <v>79.0</v>
      </c>
      <c r="F229" s="27">
        <v>65.0</v>
      </c>
      <c r="G229" s="27">
        <v>6.0</v>
      </c>
      <c r="H229" s="27">
        <v>1.0</v>
      </c>
    </row>
    <row r="230" ht="15.75" customHeight="1">
      <c r="A230" s="22" t="str">
        <f t="shared" si="4"/>
        <v>miércoles</v>
      </c>
      <c r="B230" s="24" t="str">
        <f t="shared" si="5"/>
        <v>agosto</v>
      </c>
      <c r="C230" s="25">
        <v>46260.0</v>
      </c>
      <c r="D230" s="26" t="s">
        <v>66</v>
      </c>
      <c r="E230" s="27">
        <v>108.0</v>
      </c>
      <c r="F230" s="27">
        <v>99.0</v>
      </c>
      <c r="G230" s="27">
        <v>0.0</v>
      </c>
      <c r="H230" s="27">
        <v>3.0</v>
      </c>
    </row>
    <row r="231" ht="15.75" customHeight="1">
      <c r="A231" s="22" t="str">
        <f t="shared" si="4"/>
        <v>jueves</v>
      </c>
      <c r="B231" s="24" t="str">
        <f t="shared" si="5"/>
        <v>agosto</v>
      </c>
      <c r="C231" s="25">
        <v>46261.0</v>
      </c>
      <c r="D231" s="26" t="s">
        <v>39</v>
      </c>
      <c r="E231" s="27">
        <v>105.0</v>
      </c>
      <c r="F231" s="27">
        <v>81.0</v>
      </c>
      <c r="G231" s="27">
        <v>0.0</v>
      </c>
      <c r="H231" s="27">
        <v>5.0</v>
      </c>
    </row>
    <row r="232" ht="15.75" customHeight="1">
      <c r="A232" s="22" t="str">
        <f t="shared" si="4"/>
        <v>jueves</v>
      </c>
      <c r="B232" s="24" t="str">
        <f t="shared" si="5"/>
        <v>agosto</v>
      </c>
      <c r="C232" s="25">
        <v>46261.0</v>
      </c>
      <c r="D232" s="26" t="s">
        <v>40</v>
      </c>
      <c r="E232" s="27">
        <v>74.0</v>
      </c>
      <c r="F232" s="27">
        <v>34.0</v>
      </c>
      <c r="G232" s="27">
        <v>4.0</v>
      </c>
      <c r="H232" s="27">
        <v>2.0</v>
      </c>
    </row>
    <row r="233" ht="15.75" customHeight="1">
      <c r="A233" s="22" t="str">
        <f t="shared" si="4"/>
        <v>jueves</v>
      </c>
      <c r="B233" s="24" t="str">
        <f t="shared" si="5"/>
        <v>agosto</v>
      </c>
      <c r="C233" s="25">
        <v>46261.0</v>
      </c>
      <c r="D233" s="26" t="s">
        <v>41</v>
      </c>
      <c r="E233" s="27">
        <v>85.0</v>
      </c>
      <c r="F233" s="27">
        <v>55.0</v>
      </c>
      <c r="G233" s="27">
        <v>1.0</v>
      </c>
      <c r="H233" s="27">
        <v>7.0</v>
      </c>
    </row>
    <row r="234" ht="15.75" customHeight="1">
      <c r="A234" s="22" t="str">
        <f t="shared" si="4"/>
        <v>jueves</v>
      </c>
      <c r="B234" s="24" t="str">
        <f t="shared" si="5"/>
        <v>agosto</v>
      </c>
      <c r="C234" s="25">
        <v>46261.0</v>
      </c>
      <c r="D234" s="26" t="s">
        <v>42</v>
      </c>
      <c r="E234" s="27">
        <v>84.0</v>
      </c>
      <c r="F234" s="27">
        <v>55.0</v>
      </c>
      <c r="G234" s="27">
        <v>3.0</v>
      </c>
      <c r="H234" s="27">
        <v>14.0</v>
      </c>
    </row>
    <row r="235" ht="15.75" customHeight="1">
      <c r="A235" s="22" t="str">
        <f t="shared" si="4"/>
        <v>jueves</v>
      </c>
      <c r="B235" s="24" t="str">
        <f t="shared" si="5"/>
        <v>agosto</v>
      </c>
      <c r="C235" s="25">
        <v>46261.0</v>
      </c>
      <c r="D235" s="26" t="s">
        <v>51</v>
      </c>
      <c r="E235" s="27">
        <v>84.0</v>
      </c>
      <c r="F235" s="27">
        <v>75.0</v>
      </c>
      <c r="G235" s="27">
        <v>1.0</v>
      </c>
      <c r="H235" s="27">
        <v>12.0</v>
      </c>
    </row>
    <row r="236" ht="15.75" customHeight="1">
      <c r="A236" s="22" t="str">
        <f t="shared" si="4"/>
        <v>jueves</v>
      </c>
      <c r="B236" s="24" t="str">
        <f t="shared" si="5"/>
        <v>agosto</v>
      </c>
      <c r="C236" s="25">
        <v>46261.0</v>
      </c>
      <c r="D236" s="26" t="s">
        <v>58</v>
      </c>
      <c r="E236" s="27">
        <v>47.0</v>
      </c>
      <c r="F236" s="27">
        <v>29.0</v>
      </c>
      <c r="G236" s="27">
        <v>3.0</v>
      </c>
      <c r="H236" s="27">
        <v>2.0</v>
      </c>
    </row>
    <row r="237" ht="15.75" customHeight="1">
      <c r="A237" s="22" t="str">
        <f t="shared" si="4"/>
        <v>jueves</v>
      </c>
      <c r="B237" s="24" t="str">
        <f t="shared" si="5"/>
        <v>agosto</v>
      </c>
      <c r="C237" s="25">
        <v>46261.0</v>
      </c>
      <c r="D237" s="26" t="s">
        <v>52</v>
      </c>
      <c r="E237" s="27">
        <v>44.0</v>
      </c>
      <c r="F237" s="27">
        <v>30.0</v>
      </c>
      <c r="G237" s="27">
        <v>3.0</v>
      </c>
      <c r="H237" s="27">
        <v>2.0</v>
      </c>
    </row>
    <row r="238" ht="15.75" customHeight="1">
      <c r="A238" s="22" t="str">
        <f t="shared" si="4"/>
        <v>jueves</v>
      </c>
      <c r="B238" s="24" t="str">
        <f t="shared" si="5"/>
        <v>agosto</v>
      </c>
      <c r="C238" s="25">
        <v>46261.0</v>
      </c>
      <c r="D238" s="26" t="s">
        <v>53</v>
      </c>
      <c r="E238" s="27">
        <v>59.0</v>
      </c>
      <c r="F238" s="27">
        <v>49.0</v>
      </c>
      <c r="G238" s="27">
        <v>4.0</v>
      </c>
      <c r="H238" s="27">
        <v>0.0</v>
      </c>
    </row>
    <row r="239" ht="15.75" customHeight="1">
      <c r="A239" s="22" t="str">
        <f t="shared" si="4"/>
        <v>jueves</v>
      </c>
      <c r="B239" s="24" t="str">
        <f t="shared" si="5"/>
        <v>agosto</v>
      </c>
      <c r="C239" s="25">
        <v>46261.0</v>
      </c>
      <c r="D239" s="26" t="s">
        <v>64</v>
      </c>
      <c r="E239" s="27">
        <v>127.0</v>
      </c>
      <c r="F239" s="27">
        <v>81.0</v>
      </c>
      <c r="G239" s="27">
        <v>9.0</v>
      </c>
      <c r="H239" s="27">
        <v>8.0</v>
      </c>
    </row>
    <row r="240" ht="15.75" customHeight="1">
      <c r="A240" s="22" t="str">
        <f t="shared" si="4"/>
        <v>jueves</v>
      </c>
      <c r="B240" s="24" t="str">
        <f t="shared" si="5"/>
        <v>agosto</v>
      </c>
      <c r="C240" s="25">
        <v>46261.0</v>
      </c>
      <c r="D240" s="26" t="s">
        <v>65</v>
      </c>
      <c r="E240" s="27">
        <v>57.0</v>
      </c>
      <c r="F240" s="27">
        <v>44.0</v>
      </c>
      <c r="G240" s="27">
        <v>2.0</v>
      </c>
      <c r="H240" s="27">
        <v>4.0</v>
      </c>
    </row>
    <row r="241" ht="15.75" customHeight="1">
      <c r="A241" s="22" t="str">
        <f t="shared" si="4"/>
        <v>jueves</v>
      </c>
      <c r="B241" s="24" t="str">
        <f t="shared" si="5"/>
        <v>agosto</v>
      </c>
      <c r="C241" s="25">
        <v>46261.0</v>
      </c>
      <c r="D241" s="28" t="s">
        <v>66</v>
      </c>
      <c r="E241" s="5">
        <v>130.0</v>
      </c>
      <c r="F241" s="5">
        <v>123.0</v>
      </c>
      <c r="G241" s="5">
        <v>0.0</v>
      </c>
      <c r="H241" s="5">
        <v>2.0</v>
      </c>
    </row>
    <row r="242" ht="15.75" customHeight="1">
      <c r="A242" s="22" t="str">
        <f t="shared" si="4"/>
        <v>viernes</v>
      </c>
      <c r="B242" s="24" t="str">
        <f t="shared" si="5"/>
        <v>agosto</v>
      </c>
      <c r="C242" s="25">
        <v>46262.0</v>
      </c>
      <c r="D242" s="28" t="s">
        <v>40</v>
      </c>
      <c r="E242" s="5">
        <v>67.0</v>
      </c>
      <c r="F242" s="5">
        <v>21.0</v>
      </c>
      <c r="G242" s="5">
        <v>4.0</v>
      </c>
      <c r="H242" s="5">
        <v>13.0</v>
      </c>
    </row>
    <row r="243" ht="15.75" customHeight="1">
      <c r="A243" s="22" t="str">
        <f t="shared" si="4"/>
        <v>viernes</v>
      </c>
      <c r="B243" s="24" t="str">
        <f t="shared" si="5"/>
        <v>agosto</v>
      </c>
      <c r="C243" s="25">
        <v>46262.0</v>
      </c>
      <c r="D243" s="28" t="s">
        <v>51</v>
      </c>
      <c r="E243" s="5">
        <v>84.0</v>
      </c>
      <c r="F243" s="5">
        <v>72.0</v>
      </c>
      <c r="G243" s="5">
        <v>3.0</v>
      </c>
      <c r="H243" s="5">
        <v>8.0</v>
      </c>
    </row>
    <row r="244" ht="15.75" customHeight="1">
      <c r="A244" s="22" t="str">
        <f t="shared" si="4"/>
        <v>viernes</v>
      </c>
      <c r="B244" s="24" t="str">
        <f t="shared" si="5"/>
        <v>agosto</v>
      </c>
      <c r="C244" s="25">
        <v>46262.0</v>
      </c>
      <c r="D244" s="28" t="s">
        <v>58</v>
      </c>
      <c r="E244" s="5">
        <v>53.0</v>
      </c>
      <c r="F244" s="5">
        <v>29.0</v>
      </c>
      <c r="G244" s="5">
        <v>3.0</v>
      </c>
      <c r="H244" s="5">
        <v>2.0</v>
      </c>
    </row>
    <row r="245" ht="15.75" customHeight="1">
      <c r="A245" s="22" t="str">
        <f t="shared" si="4"/>
        <v>viernes</v>
      </c>
      <c r="B245" s="24" t="str">
        <f t="shared" si="5"/>
        <v>agosto</v>
      </c>
      <c r="C245" s="25">
        <v>46262.0</v>
      </c>
      <c r="D245" s="28" t="s">
        <v>52</v>
      </c>
      <c r="E245" s="5">
        <v>68.0</v>
      </c>
      <c r="F245" s="5">
        <v>53.0</v>
      </c>
      <c r="G245" s="5">
        <v>6.0</v>
      </c>
      <c r="H245" s="5">
        <v>6.0</v>
      </c>
    </row>
    <row r="246" ht="15.75" customHeight="1">
      <c r="A246" s="22" t="str">
        <f t="shared" si="4"/>
        <v>viernes</v>
      </c>
      <c r="B246" s="24" t="str">
        <f t="shared" si="5"/>
        <v>agosto</v>
      </c>
      <c r="C246" s="25">
        <v>46262.0</v>
      </c>
      <c r="D246" s="28" t="s">
        <v>53</v>
      </c>
      <c r="E246" s="5">
        <v>63.0</v>
      </c>
      <c r="F246" s="5">
        <v>43.0</v>
      </c>
      <c r="G246" s="5">
        <v>4.0</v>
      </c>
      <c r="H246" s="5">
        <v>1.0</v>
      </c>
    </row>
    <row r="247" ht="15.75" customHeight="1">
      <c r="A247" s="22" t="str">
        <f t="shared" si="4"/>
        <v>viernes</v>
      </c>
      <c r="B247" s="24" t="str">
        <f t="shared" si="5"/>
        <v>agosto</v>
      </c>
      <c r="C247" s="25">
        <v>46262.0</v>
      </c>
      <c r="D247" s="28" t="s">
        <v>64</v>
      </c>
      <c r="E247" s="5">
        <v>138.0</v>
      </c>
      <c r="F247" s="5">
        <v>89.0</v>
      </c>
      <c r="G247" s="5">
        <v>3.0</v>
      </c>
      <c r="H247" s="5">
        <v>7.0</v>
      </c>
    </row>
    <row r="248" ht="15.75" customHeight="1">
      <c r="A248" s="22" t="str">
        <f t="shared" si="4"/>
        <v>viernes</v>
      </c>
      <c r="B248" s="24" t="str">
        <f t="shared" si="5"/>
        <v>agosto</v>
      </c>
      <c r="C248" s="25">
        <v>46262.0</v>
      </c>
      <c r="D248" s="28" t="s">
        <v>65</v>
      </c>
      <c r="E248" s="5">
        <v>61.0</v>
      </c>
      <c r="F248" s="5">
        <v>48.0</v>
      </c>
      <c r="G248" s="5">
        <v>3.0</v>
      </c>
      <c r="H248" s="5">
        <v>5.0</v>
      </c>
    </row>
    <row r="249" ht="15.75" customHeight="1">
      <c r="A249" s="22" t="str">
        <f t="shared" si="4"/>
        <v>viernes</v>
      </c>
      <c r="B249" s="24" t="str">
        <f t="shared" si="5"/>
        <v>agosto</v>
      </c>
      <c r="C249" s="25">
        <v>46262.0</v>
      </c>
      <c r="D249" s="28" t="s">
        <v>66</v>
      </c>
      <c r="E249" s="5">
        <v>145.0</v>
      </c>
      <c r="F249" s="5">
        <v>119.0</v>
      </c>
      <c r="G249" s="5">
        <v>0.0</v>
      </c>
      <c r="H249" s="5">
        <v>4.0</v>
      </c>
    </row>
    <row r="250" ht="15.75" customHeight="1">
      <c r="A250" s="22" t="str">
        <f t="shared" si="4"/>
        <v>sábado</v>
      </c>
      <c r="B250" s="24" t="str">
        <f t="shared" si="5"/>
        <v>agosto</v>
      </c>
      <c r="C250" s="25">
        <v>46263.0</v>
      </c>
      <c r="D250" s="26" t="s">
        <v>40</v>
      </c>
      <c r="E250" s="27">
        <v>66.0</v>
      </c>
      <c r="F250" s="27">
        <v>28.0</v>
      </c>
      <c r="G250" s="27">
        <v>3.0</v>
      </c>
      <c r="H250" s="27">
        <v>10.0</v>
      </c>
    </row>
    <row r="251" ht="15.75" customHeight="1">
      <c r="A251" s="22" t="str">
        <f t="shared" si="4"/>
        <v>sábado</v>
      </c>
      <c r="B251" s="24" t="str">
        <f t="shared" si="5"/>
        <v>agosto</v>
      </c>
      <c r="C251" s="25">
        <v>46263.0</v>
      </c>
      <c r="D251" s="22" t="s">
        <v>43</v>
      </c>
      <c r="E251" s="27">
        <v>43.0</v>
      </c>
      <c r="F251" s="27">
        <v>19.0</v>
      </c>
      <c r="G251" s="27">
        <v>5.0</v>
      </c>
      <c r="H251" s="27">
        <v>5.0</v>
      </c>
    </row>
    <row r="252" ht="15.75" customHeight="1">
      <c r="A252" s="22" t="str">
        <f t="shared" si="4"/>
        <v>sábado</v>
      </c>
      <c r="B252" s="24" t="str">
        <f t="shared" si="5"/>
        <v>agosto</v>
      </c>
      <c r="C252" s="25">
        <v>46263.0</v>
      </c>
      <c r="D252" s="26" t="s">
        <v>51</v>
      </c>
      <c r="E252" s="27">
        <v>87.0</v>
      </c>
      <c r="F252" s="27">
        <v>81.0</v>
      </c>
      <c r="G252" s="27">
        <v>0.0</v>
      </c>
      <c r="H252" s="27">
        <v>5.0</v>
      </c>
    </row>
    <row r="253" ht="15.75" customHeight="1">
      <c r="A253" s="22" t="str">
        <f t="shared" si="4"/>
        <v>sábado</v>
      </c>
      <c r="B253" s="24" t="str">
        <f t="shared" si="5"/>
        <v>agosto</v>
      </c>
      <c r="C253" s="25">
        <v>46263.0</v>
      </c>
      <c r="D253" s="22" t="s">
        <v>46</v>
      </c>
      <c r="E253" s="27">
        <v>93.0</v>
      </c>
      <c r="F253" s="27">
        <v>52.0</v>
      </c>
      <c r="G253" s="27">
        <v>2.0</v>
      </c>
      <c r="H253" s="27">
        <v>3.0</v>
      </c>
    </row>
    <row r="254" ht="15.75" customHeight="1">
      <c r="A254" s="22" t="str">
        <f t="shared" si="4"/>
        <v>sábado</v>
      </c>
      <c r="B254" s="24" t="str">
        <f t="shared" si="5"/>
        <v>agosto</v>
      </c>
      <c r="C254" s="25">
        <v>46263.0</v>
      </c>
      <c r="D254" s="26" t="s">
        <v>52</v>
      </c>
      <c r="E254" s="27">
        <v>52.0</v>
      </c>
      <c r="F254" s="27">
        <v>36.0</v>
      </c>
      <c r="G254" s="27">
        <v>2.0</v>
      </c>
      <c r="H254" s="27">
        <v>8.0</v>
      </c>
    </row>
    <row r="255" ht="15.75" customHeight="1">
      <c r="A255" s="22" t="str">
        <f t="shared" si="4"/>
        <v>sábado</v>
      </c>
      <c r="B255" s="24" t="str">
        <f t="shared" si="5"/>
        <v>agosto</v>
      </c>
      <c r="C255" s="25">
        <v>46263.0</v>
      </c>
      <c r="D255" s="26" t="s">
        <v>53</v>
      </c>
      <c r="E255" s="27">
        <v>74.0</v>
      </c>
      <c r="F255" s="27">
        <v>47.0</v>
      </c>
      <c r="G255" s="27">
        <v>3.0</v>
      </c>
      <c r="H255" s="27">
        <v>0.0</v>
      </c>
    </row>
    <row r="256" ht="15.75" customHeight="1">
      <c r="A256" s="22" t="str">
        <f t="shared" si="4"/>
        <v>sábado</v>
      </c>
      <c r="B256" s="24" t="str">
        <f t="shared" si="5"/>
        <v>agosto</v>
      </c>
      <c r="C256" s="25">
        <v>46263.0</v>
      </c>
      <c r="D256" s="26" t="s">
        <v>60</v>
      </c>
      <c r="E256" s="27">
        <v>199.0</v>
      </c>
      <c r="F256" s="27">
        <v>177.0</v>
      </c>
      <c r="G256" s="27">
        <v>2.0</v>
      </c>
      <c r="H256" s="27">
        <v>0.0</v>
      </c>
    </row>
    <row r="257" ht="15.75" customHeight="1">
      <c r="A257" s="22" t="str">
        <f t="shared" si="4"/>
        <v>domingo</v>
      </c>
      <c r="B257" s="24" t="str">
        <f t="shared" si="5"/>
        <v>agosto</v>
      </c>
      <c r="C257" s="25">
        <v>46264.0</v>
      </c>
      <c r="D257" s="26" t="s">
        <v>39</v>
      </c>
      <c r="E257" s="27">
        <v>76.0</v>
      </c>
      <c r="F257" s="27">
        <v>35.0</v>
      </c>
      <c r="G257" s="27">
        <v>0.0</v>
      </c>
      <c r="H257" s="27">
        <v>0.0</v>
      </c>
    </row>
    <row r="258" ht="15.75" customHeight="1">
      <c r="A258" s="22" t="str">
        <f t="shared" si="4"/>
        <v>domingo</v>
      </c>
      <c r="B258" s="24" t="str">
        <f t="shared" si="5"/>
        <v>agosto</v>
      </c>
      <c r="C258" s="25">
        <v>46264.0</v>
      </c>
      <c r="D258" s="26" t="s">
        <v>40</v>
      </c>
      <c r="E258" s="27">
        <v>64.0</v>
      </c>
      <c r="F258" s="27">
        <v>28.0</v>
      </c>
      <c r="G258" s="27">
        <v>1.0</v>
      </c>
      <c r="H258" s="27">
        <v>9.0</v>
      </c>
    </row>
    <row r="259" ht="15.75" customHeight="1">
      <c r="A259" s="22" t="str">
        <f t="shared" si="4"/>
        <v>domingo</v>
      </c>
      <c r="B259" s="24" t="str">
        <f t="shared" si="5"/>
        <v>agosto</v>
      </c>
      <c r="C259" s="25">
        <v>46264.0</v>
      </c>
      <c r="D259" s="22" t="s">
        <v>43</v>
      </c>
      <c r="E259" s="27">
        <v>70.0</v>
      </c>
      <c r="F259" s="27">
        <v>16.0</v>
      </c>
      <c r="G259" s="27">
        <v>2.0</v>
      </c>
      <c r="H259" s="27">
        <v>22.0</v>
      </c>
    </row>
    <row r="260" ht="15.75" customHeight="1">
      <c r="A260" s="22" t="str">
        <f t="shared" si="4"/>
        <v>domingo</v>
      </c>
      <c r="B260" s="24" t="str">
        <f t="shared" si="5"/>
        <v>agosto</v>
      </c>
      <c r="C260" s="25">
        <v>46264.0</v>
      </c>
      <c r="D260" s="22" t="s">
        <v>46</v>
      </c>
      <c r="E260" s="27">
        <v>144.0</v>
      </c>
      <c r="F260" s="27">
        <v>68.0</v>
      </c>
      <c r="G260" s="27">
        <v>6.0</v>
      </c>
      <c r="H260" s="27">
        <v>3.0</v>
      </c>
    </row>
    <row r="261" ht="15.75" customHeight="1">
      <c r="A261" s="22" t="str">
        <f t="shared" si="4"/>
        <v>domingo</v>
      </c>
      <c r="B261" s="24" t="str">
        <f t="shared" si="5"/>
        <v>agosto</v>
      </c>
      <c r="C261" s="25">
        <v>46264.0</v>
      </c>
      <c r="D261" s="26" t="s">
        <v>52</v>
      </c>
      <c r="E261" s="27">
        <v>83.0</v>
      </c>
      <c r="F261" s="27">
        <v>55.0</v>
      </c>
      <c r="G261" s="27">
        <v>4.0</v>
      </c>
      <c r="H261" s="27">
        <v>8.0</v>
      </c>
    </row>
    <row r="262" ht="15.75" customHeight="1">
      <c r="A262" s="22" t="str">
        <f t="shared" si="4"/>
        <v>domingo</v>
      </c>
      <c r="B262" s="24" t="str">
        <f t="shared" si="5"/>
        <v>agosto</v>
      </c>
      <c r="C262" s="25">
        <v>46264.0</v>
      </c>
      <c r="D262" s="26" t="s">
        <v>53</v>
      </c>
      <c r="E262" s="27">
        <v>123.0</v>
      </c>
      <c r="F262" s="27">
        <v>83.0</v>
      </c>
      <c r="G262" s="27">
        <v>5.0</v>
      </c>
      <c r="H262" s="27">
        <v>4.0</v>
      </c>
    </row>
    <row r="263" ht="15.75" customHeight="1">
      <c r="A263" s="22" t="str">
        <f t="shared" si="4"/>
        <v>domingo</v>
      </c>
      <c r="B263" s="24" t="str">
        <f t="shared" si="5"/>
        <v>agosto</v>
      </c>
      <c r="C263" s="25">
        <v>46264.0</v>
      </c>
      <c r="D263" s="26" t="s">
        <v>60</v>
      </c>
      <c r="E263" s="27">
        <v>203.0</v>
      </c>
      <c r="F263" s="27">
        <v>168.0</v>
      </c>
      <c r="G263" s="27">
        <v>8.0</v>
      </c>
      <c r="H263" s="27">
        <v>2.0</v>
      </c>
    </row>
    <row r="264" ht="15.75" customHeight="1">
      <c r="A264" s="22" t="str">
        <f t="shared" si="4"/>
        <v>lunes</v>
      </c>
      <c r="B264" s="24" t="str">
        <f t="shared" si="5"/>
        <v>agosto</v>
      </c>
      <c r="C264" s="25">
        <v>46265.0</v>
      </c>
      <c r="D264" s="28" t="s">
        <v>39</v>
      </c>
      <c r="E264" s="5">
        <v>74.0</v>
      </c>
      <c r="F264" s="5">
        <v>57.0</v>
      </c>
      <c r="G264" s="5">
        <v>0.0</v>
      </c>
      <c r="H264" s="5">
        <v>0.0</v>
      </c>
    </row>
    <row r="265" ht="15.75" customHeight="1">
      <c r="A265" s="22" t="str">
        <f t="shared" si="4"/>
        <v>lunes</v>
      </c>
      <c r="B265" s="24" t="str">
        <f t="shared" si="5"/>
        <v>agosto</v>
      </c>
      <c r="C265" s="25">
        <v>46265.0</v>
      </c>
      <c r="D265" s="28" t="s">
        <v>41</v>
      </c>
      <c r="E265" s="5">
        <v>95.0</v>
      </c>
      <c r="F265" s="5">
        <v>64.0</v>
      </c>
      <c r="G265" s="5">
        <v>1.0</v>
      </c>
      <c r="H265" s="5">
        <v>2.0</v>
      </c>
    </row>
    <row r="266" ht="15.75" customHeight="1">
      <c r="A266" s="22" t="str">
        <f t="shared" si="4"/>
        <v>lunes</v>
      </c>
      <c r="B266" s="24" t="str">
        <f t="shared" si="5"/>
        <v>agosto</v>
      </c>
      <c r="C266" s="25">
        <v>46265.0</v>
      </c>
      <c r="D266" s="28" t="s">
        <v>42</v>
      </c>
      <c r="E266" s="5">
        <v>97.0</v>
      </c>
      <c r="F266" s="5">
        <v>54.0</v>
      </c>
      <c r="G266" s="5">
        <v>3.0</v>
      </c>
      <c r="H266" s="5">
        <v>22.0</v>
      </c>
    </row>
    <row r="267" ht="15.75" customHeight="1">
      <c r="A267" s="22" t="str">
        <f t="shared" si="4"/>
        <v>lunes</v>
      </c>
      <c r="B267" s="24" t="str">
        <f t="shared" si="5"/>
        <v>agosto</v>
      </c>
      <c r="C267" s="25">
        <v>46265.0</v>
      </c>
      <c r="D267" s="28" t="s">
        <v>44</v>
      </c>
      <c r="E267" s="5">
        <v>53.0</v>
      </c>
      <c r="F267" s="5">
        <v>53.0</v>
      </c>
      <c r="G267" s="5">
        <v>0.0</v>
      </c>
      <c r="H267" s="5">
        <v>0.0</v>
      </c>
    </row>
    <row r="268" ht="15.75" customHeight="1">
      <c r="A268" s="22" t="str">
        <f t="shared" si="4"/>
        <v>lunes</v>
      </c>
      <c r="B268" s="24" t="str">
        <f t="shared" si="5"/>
        <v>agosto</v>
      </c>
      <c r="C268" s="25">
        <v>46265.0</v>
      </c>
      <c r="D268" s="5" t="s">
        <v>46</v>
      </c>
      <c r="E268" s="5">
        <v>96.0</v>
      </c>
      <c r="F268" s="5">
        <v>39.0</v>
      </c>
      <c r="G268" s="5">
        <v>2.0</v>
      </c>
      <c r="H268" s="5">
        <v>11.0</v>
      </c>
    </row>
    <row r="269" ht="15.75" customHeight="1">
      <c r="A269" s="22" t="str">
        <f t="shared" si="4"/>
        <v>lunes</v>
      </c>
      <c r="B269" s="24" t="str">
        <f t="shared" si="5"/>
        <v>agosto</v>
      </c>
      <c r="C269" s="25">
        <v>46265.0</v>
      </c>
      <c r="D269" s="28" t="s">
        <v>67</v>
      </c>
      <c r="E269" s="5">
        <v>54.0</v>
      </c>
      <c r="F269" s="5">
        <v>42.0</v>
      </c>
      <c r="G269" s="5">
        <v>1.0</v>
      </c>
      <c r="H269" s="5">
        <v>1.0</v>
      </c>
    </row>
    <row r="270" ht="15.75" customHeight="1">
      <c r="A270" s="22" t="str">
        <f t="shared" si="4"/>
        <v>lunes</v>
      </c>
      <c r="B270" s="24" t="str">
        <f t="shared" si="5"/>
        <v>agosto</v>
      </c>
      <c r="C270" s="25">
        <v>46265.0</v>
      </c>
      <c r="D270" s="28" t="s">
        <v>58</v>
      </c>
      <c r="E270" s="5">
        <v>49.0</v>
      </c>
      <c r="F270" s="5">
        <v>32.0</v>
      </c>
      <c r="G270" s="5">
        <v>1.0</v>
      </c>
      <c r="H270" s="5">
        <v>4.0</v>
      </c>
    </row>
    <row r="271" ht="15.75" customHeight="1">
      <c r="A271" s="22" t="str">
        <f t="shared" si="4"/>
        <v>lunes</v>
      </c>
      <c r="B271" s="24" t="str">
        <f t="shared" si="5"/>
        <v>agosto</v>
      </c>
      <c r="C271" s="25">
        <v>46265.0</v>
      </c>
      <c r="D271" s="28" t="s">
        <v>65</v>
      </c>
      <c r="E271" s="5">
        <v>64.0</v>
      </c>
      <c r="F271" s="5">
        <v>46.0</v>
      </c>
      <c r="G271" s="5">
        <v>2.0</v>
      </c>
      <c r="H271" s="5">
        <v>3.0</v>
      </c>
    </row>
    <row r="272" ht="15.75" customHeight="1">
      <c r="A272" s="22" t="str">
        <f t="shared" si="4"/>
        <v>lunes</v>
      </c>
      <c r="B272" s="24" t="str">
        <f t="shared" si="5"/>
        <v>agosto</v>
      </c>
      <c r="C272" s="25">
        <v>46265.0</v>
      </c>
      <c r="D272" s="28" t="s">
        <v>66</v>
      </c>
      <c r="E272" s="5">
        <v>77.0</v>
      </c>
      <c r="F272" s="5">
        <v>69.0</v>
      </c>
      <c r="G272" s="5">
        <v>0.0</v>
      </c>
      <c r="H272" s="5">
        <v>2.0</v>
      </c>
    </row>
    <row r="273" ht="15.75" customHeight="1">
      <c r="A273" s="22"/>
      <c r="B273" s="24"/>
      <c r="C273" s="25"/>
    </row>
    <row r="274" ht="15.75" customHeight="1">
      <c r="A274" s="22"/>
      <c r="B274" s="24"/>
      <c r="C274" s="25"/>
    </row>
    <row r="275" ht="15.75" customHeight="1">
      <c r="A275" s="22"/>
      <c r="B275" s="24"/>
      <c r="C275" s="25"/>
    </row>
    <row r="276" ht="15.75" customHeight="1">
      <c r="A276" s="22"/>
      <c r="B276" s="24"/>
      <c r="C276" s="25"/>
    </row>
    <row r="277" ht="15.75" customHeight="1">
      <c r="A277" s="22"/>
      <c r="B277" s="24"/>
      <c r="C277" s="25"/>
    </row>
    <row r="278" ht="15.75" customHeight="1">
      <c r="A278" s="22"/>
      <c r="B278" s="24"/>
      <c r="C278" s="25"/>
    </row>
    <row r="279" ht="15.75" customHeight="1">
      <c r="A279" s="22"/>
      <c r="B279" s="24"/>
      <c r="C279" s="25"/>
    </row>
    <row r="280" ht="15.75" customHeight="1">
      <c r="A280" s="22"/>
      <c r="B280" s="24"/>
      <c r="C280" s="25"/>
    </row>
    <row r="281" ht="15.75" customHeight="1">
      <c r="A281" s="22"/>
      <c r="B281" s="24"/>
      <c r="C281" s="25"/>
    </row>
    <row r="282" ht="15.75" customHeight="1">
      <c r="A282" s="22"/>
      <c r="B282" s="24"/>
      <c r="C282" s="25"/>
    </row>
    <row r="283" ht="15.75" customHeight="1">
      <c r="A283" s="22"/>
      <c r="B283" s="24"/>
      <c r="C283" s="25"/>
    </row>
    <row r="284" ht="15.75" customHeight="1">
      <c r="A284" s="22"/>
      <c r="B284" s="24"/>
      <c r="C284" s="25"/>
    </row>
    <row r="285" ht="15.75" customHeight="1">
      <c r="A285" s="22"/>
      <c r="B285" s="24"/>
      <c r="C285" s="25"/>
    </row>
    <row r="286" ht="15.75" customHeight="1">
      <c r="A286" s="22"/>
      <c r="B286" s="24"/>
      <c r="C286" s="25"/>
    </row>
    <row r="287" ht="15.75" customHeight="1">
      <c r="A287" s="22"/>
      <c r="B287" s="24"/>
      <c r="C287" s="25"/>
    </row>
    <row r="288" ht="15.75" customHeight="1">
      <c r="A288" s="22"/>
      <c r="B288" s="24"/>
      <c r="C288" s="25"/>
    </row>
    <row r="289" ht="15.75" customHeight="1">
      <c r="A289" s="22"/>
      <c r="B289" s="24"/>
      <c r="C289" s="25"/>
    </row>
    <row r="290" ht="15.75" customHeight="1">
      <c r="A290" s="22"/>
      <c r="B290" s="24"/>
      <c r="C290" s="25"/>
    </row>
    <row r="291" ht="15.75" customHeight="1">
      <c r="A291" s="22"/>
      <c r="B291" s="24"/>
      <c r="C291" s="25"/>
    </row>
    <row r="292" ht="15.75" customHeight="1">
      <c r="A292" s="22"/>
      <c r="B292" s="24"/>
      <c r="C292" s="25"/>
    </row>
    <row r="293" ht="15.75" customHeight="1">
      <c r="A293" s="22"/>
      <c r="B293" s="24"/>
      <c r="C293" s="25"/>
    </row>
    <row r="294" ht="15.75" customHeight="1">
      <c r="A294" s="22"/>
      <c r="B294" s="24"/>
      <c r="C294" s="25"/>
    </row>
    <row r="295" ht="15.75" customHeight="1">
      <c r="A295" s="22"/>
      <c r="B295" s="24"/>
      <c r="C295" s="25"/>
    </row>
    <row r="296" ht="15.75" customHeight="1">
      <c r="A296" s="22"/>
      <c r="B296" s="24"/>
      <c r="C296" s="25"/>
    </row>
    <row r="297" ht="15.75" customHeight="1">
      <c r="A297" s="22"/>
      <c r="B297" s="24"/>
      <c r="C297" s="25"/>
    </row>
    <row r="298" ht="15.75" customHeight="1">
      <c r="A298" s="22"/>
      <c r="B298" s="24"/>
      <c r="C298" s="25"/>
    </row>
    <row r="299" ht="15.75" customHeight="1">
      <c r="A299" s="22"/>
      <c r="B299" s="24"/>
      <c r="C299" s="25"/>
    </row>
    <row r="300" ht="15.75" customHeight="1">
      <c r="A300" s="22"/>
      <c r="B300" s="24"/>
      <c r="C300" s="25"/>
    </row>
    <row r="301" ht="15.75" customHeight="1">
      <c r="A301" s="22"/>
      <c r="B301" s="24"/>
      <c r="C301" s="25"/>
    </row>
    <row r="302" ht="15.75" customHeight="1">
      <c r="A302" s="22"/>
      <c r="B302" s="24"/>
      <c r="C302" s="25"/>
    </row>
    <row r="303" ht="15.75" customHeight="1">
      <c r="A303" s="22"/>
      <c r="B303" s="24"/>
      <c r="C303" s="25"/>
    </row>
    <row r="304" ht="15.75" customHeight="1">
      <c r="A304" s="22"/>
      <c r="B304" s="24"/>
      <c r="C304" s="25"/>
    </row>
    <row r="305" ht="15.75" customHeight="1">
      <c r="A305" s="22"/>
      <c r="B305" s="24"/>
      <c r="C305" s="25"/>
    </row>
    <row r="306" ht="15.75" customHeight="1">
      <c r="A306" s="22"/>
      <c r="B306" s="24"/>
      <c r="C306" s="25"/>
    </row>
    <row r="307" ht="15.75" customHeight="1">
      <c r="A307" s="22"/>
      <c r="B307" s="24"/>
      <c r="C307" s="25"/>
    </row>
    <row r="308" ht="15.75" customHeight="1">
      <c r="A308" s="22"/>
      <c r="B308" s="24"/>
      <c r="C308" s="25"/>
    </row>
    <row r="309" ht="15.75" customHeight="1">
      <c r="A309" s="22"/>
      <c r="B309" s="24"/>
      <c r="C309" s="25"/>
    </row>
    <row r="310" ht="15.75" customHeight="1">
      <c r="A310" s="22"/>
      <c r="B310" s="24"/>
      <c r="C310" s="25"/>
    </row>
    <row r="311" ht="15.75" customHeight="1">
      <c r="A311" s="22"/>
      <c r="B311" s="24"/>
      <c r="C311" s="25"/>
    </row>
    <row r="312" ht="15.75" customHeight="1">
      <c r="A312" s="22"/>
      <c r="B312" s="24"/>
      <c r="C312" s="25"/>
    </row>
    <row r="313" ht="15.75" customHeight="1">
      <c r="A313" s="22"/>
      <c r="B313" s="24"/>
      <c r="C313" s="25"/>
    </row>
    <row r="314" ht="15.75" customHeight="1">
      <c r="A314" s="22"/>
      <c r="B314" s="24"/>
      <c r="C314" s="25"/>
    </row>
    <row r="315" ht="15.75" customHeight="1">
      <c r="A315" s="22"/>
      <c r="B315" s="24"/>
      <c r="C315" s="25"/>
    </row>
    <row r="316" ht="15.75" customHeight="1">
      <c r="A316" s="22"/>
      <c r="B316" s="24"/>
      <c r="C316" s="25"/>
    </row>
    <row r="317" ht="15.75" customHeight="1">
      <c r="A317" s="22"/>
      <c r="B317" s="24"/>
      <c r="C317" s="25"/>
    </row>
    <row r="318" ht="15.75" customHeight="1">
      <c r="A318" s="22"/>
      <c r="B318" s="24"/>
      <c r="C318" s="25"/>
    </row>
    <row r="319" ht="15.75" customHeight="1">
      <c r="A319" s="22"/>
      <c r="B319" s="24"/>
      <c r="C319" s="25"/>
    </row>
    <row r="320" ht="15.75" customHeight="1">
      <c r="A320" s="22"/>
      <c r="B320" s="24"/>
      <c r="C320" s="25"/>
    </row>
    <row r="321" ht="15.75" customHeight="1">
      <c r="A321" s="22"/>
      <c r="B321" s="24"/>
      <c r="C321" s="25"/>
    </row>
    <row r="322" ht="15.75" customHeight="1">
      <c r="A322" s="22"/>
      <c r="B322" s="24"/>
      <c r="C322" s="25"/>
    </row>
    <row r="323" ht="15.75" customHeight="1">
      <c r="A323" s="22"/>
      <c r="B323" s="24"/>
      <c r="C323" s="25"/>
    </row>
    <row r="324" ht="15.75" customHeight="1">
      <c r="A324" s="22"/>
      <c r="B324" s="24"/>
      <c r="C324" s="25"/>
    </row>
    <row r="325" ht="15.75" customHeight="1">
      <c r="A325" s="22"/>
      <c r="B325" s="24"/>
      <c r="C325" s="25"/>
    </row>
    <row r="326" ht="15.75" customHeight="1">
      <c r="A326" s="22"/>
      <c r="B326" s="24"/>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U$50:$AB$64"/>
  <mergeCells count="17">
    <mergeCell ref="J1:K1"/>
    <mergeCell ref="Z1:AA1"/>
    <mergeCell ref="J2:N2"/>
    <mergeCell ref="O2:P2"/>
    <mergeCell ref="Q2:R2"/>
    <mergeCell ref="S2:S3"/>
    <mergeCell ref="J22:R22"/>
    <mergeCell ref="Q49:R49"/>
    <mergeCell ref="AA49:AB49"/>
    <mergeCell ref="V68:Y68"/>
    <mergeCell ref="K23:N23"/>
    <mergeCell ref="O23:P23"/>
    <mergeCell ref="Q23:R23"/>
    <mergeCell ref="V24:Y24"/>
    <mergeCell ref="AA24:AB24"/>
    <mergeCell ref="J49:N49"/>
    <mergeCell ref="O49:P49"/>
  </mergeCells>
  <conditionalFormatting sqref="P4:P18">
    <cfRule type="colorScale" priority="1">
      <colorScale>
        <cfvo type="min"/>
        <cfvo type="percentile" val="50"/>
        <cfvo type="max"/>
        <color rgb="FFEA9999"/>
        <color rgb="FFFFD666"/>
        <color rgb="FF93C47D"/>
      </colorScale>
    </cfRule>
  </conditionalFormatting>
  <conditionalFormatting sqref="Q4:Q18 Q21">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93C47D"/>
      </colorScale>
    </cfRule>
  </conditionalFormatting>
  <conditionalFormatting sqref="R4:R18">
    <cfRule type="colorScale" priority="4">
      <colorScale>
        <cfvo type="min"/>
        <cfvo type="percentile" val="50"/>
        <cfvo type="max"/>
        <color rgb="FFEA9999"/>
        <color rgb="FFFFD666"/>
        <color rgb="FF93C47D"/>
      </colorScale>
    </cfRule>
  </conditionalFormatting>
  <conditionalFormatting sqref="M4:M18">
    <cfRule type="colorScale" priority="5">
      <colorScale>
        <cfvo type="min"/>
        <cfvo type="percentile" val="50"/>
        <cfvo type="max"/>
        <color rgb="FFDD7E6B"/>
        <color rgb="FFFFD666"/>
        <color rgb="FF6AA84F"/>
      </colorScale>
    </cfRule>
  </conditionalFormatting>
  <conditionalFormatting sqref="N4:N18">
    <cfRule type="colorScale" priority="6">
      <colorScale>
        <cfvo type="min"/>
        <cfvo type="percentile" val="50"/>
        <cfvo type="max"/>
        <color rgb="FFEA9999"/>
        <color rgb="FFFFD666"/>
        <color rgb="FF6AA84F"/>
      </colorScale>
    </cfRule>
  </conditionalFormatting>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4" t="s">
        <v>1</v>
      </c>
      <c r="D1" s="6" t="s">
        <v>4</v>
      </c>
      <c r="F1" s="5"/>
      <c r="J1" s="8">
        <v>46204.0</v>
      </c>
      <c r="Z1" s="10" t="s">
        <v>9</v>
      </c>
    </row>
    <row r="2" ht="15.75" customHeight="1">
      <c r="D2" s="11" t="s">
        <v>12</v>
      </c>
      <c r="E2" s="5">
        <f t="shared" ref="E2:H2" si="1">SUM(E4:E267)</f>
        <v>21954</v>
      </c>
      <c r="F2" s="5">
        <f t="shared" si="1"/>
        <v>15204</v>
      </c>
      <c r="G2" s="5">
        <f t="shared" si="1"/>
        <v>688</v>
      </c>
      <c r="H2" s="5">
        <f t="shared" si="1"/>
        <v>1556</v>
      </c>
      <c r="J2" s="12" t="s">
        <v>17</v>
      </c>
      <c r="O2" s="13" t="s">
        <v>18</v>
      </c>
      <c r="Q2" s="13" t="s">
        <v>19</v>
      </c>
      <c r="S2" s="14" t="s">
        <v>20</v>
      </c>
      <c r="Z2" s="20" t="s">
        <v>25</v>
      </c>
      <c r="AA2" s="20" t="s">
        <v>37</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3">
        <f t="shared" ref="Z3:AA3" si="2">V3/4</f>
        <v>0</v>
      </c>
      <c r="AA3" s="23">
        <f t="shared" si="2"/>
        <v>0</v>
      </c>
    </row>
    <row r="4" ht="15.75" customHeight="1">
      <c r="A4" s="22" t="str">
        <f t="shared" ref="A4:A257" si="4">TEXT(C4,"dddd")</f>
        <v>miércoles</v>
      </c>
      <c r="B4" s="24" t="str">
        <f t="shared" ref="B4:B257" si="5">TEXT(C4,"mmmm")</f>
        <v>julio</v>
      </c>
      <c r="C4" s="25">
        <v>46204.0</v>
      </c>
      <c r="D4" s="26" t="s">
        <v>39</v>
      </c>
      <c r="E4" s="27">
        <v>73.0</v>
      </c>
      <c r="F4" s="27">
        <v>48.0</v>
      </c>
      <c r="G4" s="27">
        <v>0.0</v>
      </c>
      <c r="H4" s="27">
        <v>15.0</v>
      </c>
      <c r="J4" s="28" t="s">
        <v>39</v>
      </c>
      <c r="K4" s="23">
        <f t="shared" ref="K4:K17" si="6">AVERAGEIF($D$4:$D$350,J4,$E$4:$E$350)</f>
        <v>87.35294118</v>
      </c>
      <c r="L4" s="23">
        <f t="shared" ref="L4:L17" si="7">AVERAGEIF($D$4:$D$350,J4,$F$4:$F$350)</f>
        <v>65.76470588</v>
      </c>
      <c r="M4" s="23">
        <f t="shared" ref="M4:M17" si="8">AVERAGEIF($D$4:$D$350,J4,$G$4:$G$350)</f>
        <v>0.1764705882</v>
      </c>
      <c r="N4" s="23">
        <f t="shared" ref="N4:N17" si="9">AVERAGEIF($D$4:$D$350,J4,$H$4:$H$350)</f>
        <v>5.058823529</v>
      </c>
      <c r="O4" s="29">
        <f t="shared" ref="O4:O6" si="10">K4/S4</f>
        <v>10.91911765</v>
      </c>
      <c r="P4" s="29">
        <f t="shared" ref="P4:P6" si="11">L4/S4</f>
        <v>8.220588235</v>
      </c>
      <c r="Q4" s="23">
        <f t="shared" ref="Q4:Q6" si="12">K4*T4</f>
        <v>436.7647059</v>
      </c>
      <c r="R4" s="23">
        <f t="shared" ref="R4:R6" si="13">L4*T4</f>
        <v>328.8235294</v>
      </c>
      <c r="S4" s="30">
        <v>8.0</v>
      </c>
      <c r="T4" s="30">
        <v>5.0</v>
      </c>
      <c r="Z4" s="23">
        <f t="shared" ref="Z4:AA4" si="3">V4/4</f>
        <v>0</v>
      </c>
      <c r="AA4" s="23">
        <f t="shared" si="3"/>
        <v>0</v>
      </c>
      <c r="AB4" s="23"/>
      <c r="AC4" s="23"/>
      <c r="AD4" s="23"/>
      <c r="AE4" s="23"/>
      <c r="AF4" s="23"/>
      <c r="AG4" s="23"/>
    </row>
    <row r="5" ht="15.75" customHeight="1">
      <c r="A5" s="22" t="str">
        <f t="shared" si="4"/>
        <v>miércoles</v>
      </c>
      <c r="B5" s="24" t="str">
        <f t="shared" si="5"/>
        <v>julio</v>
      </c>
      <c r="C5" s="25">
        <v>46204.0</v>
      </c>
      <c r="D5" s="26" t="s">
        <v>41</v>
      </c>
      <c r="E5" s="27">
        <v>75.0</v>
      </c>
      <c r="F5" s="27">
        <v>49.0</v>
      </c>
      <c r="G5" s="27">
        <v>1.0</v>
      </c>
      <c r="H5" s="27">
        <v>5.0</v>
      </c>
      <c r="J5" s="28" t="s">
        <v>40</v>
      </c>
      <c r="K5" s="23">
        <f t="shared" si="6"/>
        <v>67.92307692</v>
      </c>
      <c r="L5" s="23">
        <f t="shared" si="7"/>
        <v>34.23076923</v>
      </c>
      <c r="M5" s="23">
        <f t="shared" si="8"/>
        <v>3.833333333</v>
      </c>
      <c r="N5" s="23">
        <f t="shared" si="9"/>
        <v>6.583333333</v>
      </c>
      <c r="O5" s="29">
        <f t="shared" si="10"/>
        <v>6.792307692</v>
      </c>
      <c r="P5" s="29">
        <f t="shared" si="11"/>
        <v>3.423076923</v>
      </c>
      <c r="Q5" s="23">
        <f t="shared" si="12"/>
        <v>271.6923077</v>
      </c>
      <c r="R5" s="23">
        <f t="shared" si="13"/>
        <v>136.9230769</v>
      </c>
      <c r="S5" s="30">
        <v>10.0</v>
      </c>
      <c r="T5" s="30">
        <v>4.0</v>
      </c>
      <c r="Z5" s="23">
        <f t="shared" ref="Z5:AA5" si="14">V5/4</f>
        <v>0</v>
      </c>
      <c r="AA5" s="23">
        <f t="shared" si="14"/>
        <v>0</v>
      </c>
      <c r="AB5" s="23"/>
      <c r="AC5" s="23"/>
      <c r="AD5" s="23"/>
      <c r="AE5" s="23"/>
      <c r="AF5" s="23"/>
      <c r="AG5" s="23"/>
    </row>
    <row r="6" ht="15.75" customHeight="1">
      <c r="A6" s="22" t="str">
        <f t="shared" si="4"/>
        <v>miércoles</v>
      </c>
      <c r="B6" s="24" t="str">
        <f t="shared" si="5"/>
        <v>julio</v>
      </c>
      <c r="C6" s="25">
        <v>46204.0</v>
      </c>
      <c r="D6" s="26" t="s">
        <v>42</v>
      </c>
      <c r="E6" s="27">
        <v>95.0</v>
      </c>
      <c r="F6" s="27">
        <v>56.0</v>
      </c>
      <c r="G6" s="27">
        <v>3.0</v>
      </c>
      <c r="H6" s="27">
        <v>6.0</v>
      </c>
      <c r="J6" s="28" t="s">
        <v>44</v>
      </c>
      <c r="K6" s="23">
        <f t="shared" si="6"/>
        <v>52.2</v>
      </c>
      <c r="L6" s="23">
        <f t="shared" si="7"/>
        <v>51.4</v>
      </c>
      <c r="M6" s="23">
        <f t="shared" si="8"/>
        <v>0.75</v>
      </c>
      <c r="N6" s="23">
        <f t="shared" si="9"/>
        <v>0</v>
      </c>
      <c r="O6" s="29">
        <f t="shared" si="10"/>
        <v>4.745454545</v>
      </c>
      <c r="P6" s="29">
        <f t="shared" si="11"/>
        <v>4.672727273</v>
      </c>
      <c r="Q6" s="23">
        <f t="shared" si="12"/>
        <v>208.8</v>
      </c>
      <c r="R6" s="23">
        <f t="shared" si="13"/>
        <v>205.6</v>
      </c>
      <c r="S6" s="30">
        <v>11.0</v>
      </c>
      <c r="T6" s="30">
        <v>4.0</v>
      </c>
      <c r="Z6" s="23">
        <f t="shared" ref="Z6:AA6" si="15">V6/4</f>
        <v>0</v>
      </c>
      <c r="AA6" s="23">
        <f t="shared" si="15"/>
        <v>0</v>
      </c>
      <c r="AB6" s="23"/>
      <c r="AC6" s="23"/>
      <c r="AD6" s="23"/>
      <c r="AE6" s="23"/>
      <c r="AF6" s="23"/>
      <c r="AG6" s="23"/>
    </row>
    <row r="7" ht="15.75" customHeight="1">
      <c r="A7" s="22" t="str">
        <f t="shared" si="4"/>
        <v>miércoles</v>
      </c>
      <c r="B7" s="24" t="str">
        <f t="shared" si="5"/>
        <v>julio</v>
      </c>
      <c r="C7" s="25">
        <v>46204.0</v>
      </c>
      <c r="D7" s="26" t="s">
        <v>51</v>
      </c>
      <c r="E7" s="27">
        <v>211.0</v>
      </c>
      <c r="F7" s="27">
        <v>191.0</v>
      </c>
      <c r="G7" s="27">
        <v>3.0</v>
      </c>
      <c r="H7" s="27">
        <v>23.0</v>
      </c>
      <c r="J7" s="28" t="s">
        <v>52</v>
      </c>
      <c r="K7" s="23">
        <f t="shared" si="6"/>
        <v>53.25</v>
      </c>
      <c r="L7" s="23">
        <f t="shared" si="7"/>
        <v>38.3125</v>
      </c>
      <c r="M7" s="23">
        <f t="shared" si="8"/>
        <v>3.533333333</v>
      </c>
      <c r="N7" s="23">
        <f t="shared" si="9"/>
        <v>6.866666667</v>
      </c>
      <c r="O7" s="29">
        <f t="shared" ref="O7:O17" si="17">K7/S8</f>
        <v>5.325</v>
      </c>
      <c r="P7" s="29">
        <f t="shared" ref="P7:P17" si="18">L7/S8</f>
        <v>3.83125</v>
      </c>
      <c r="Q7" s="23">
        <f t="shared" ref="Q7:Q17" si="19">K7*T8</f>
        <v>213</v>
      </c>
      <c r="R7" s="23">
        <f t="shared" ref="R7:R17" si="20">L7*T8</f>
        <v>153.25</v>
      </c>
      <c r="S7" s="30">
        <v>11.0</v>
      </c>
      <c r="T7" s="30">
        <v>4.0</v>
      </c>
      <c r="Z7" s="23">
        <f t="shared" ref="Z7:AA7" si="16">V7/4</f>
        <v>0</v>
      </c>
      <c r="AA7" s="23">
        <f t="shared" si="16"/>
        <v>0</v>
      </c>
      <c r="AB7" s="23"/>
      <c r="AC7" s="23"/>
      <c r="AD7" s="23"/>
      <c r="AE7" s="23"/>
      <c r="AF7" s="23"/>
      <c r="AG7" s="23"/>
    </row>
    <row r="8" ht="15.75" customHeight="1">
      <c r="A8" s="22" t="str">
        <f t="shared" si="4"/>
        <v>miércoles</v>
      </c>
      <c r="B8" s="24" t="str">
        <f t="shared" si="5"/>
        <v>julio</v>
      </c>
      <c r="C8" s="25">
        <v>46204.0</v>
      </c>
      <c r="D8" s="22" t="s">
        <v>46</v>
      </c>
      <c r="E8" s="27">
        <v>61.0</v>
      </c>
      <c r="F8" s="27">
        <v>24.0</v>
      </c>
      <c r="G8" s="27">
        <v>4.0</v>
      </c>
      <c r="H8" s="27">
        <v>12.0</v>
      </c>
      <c r="J8" s="28" t="s">
        <v>53</v>
      </c>
      <c r="K8" s="23">
        <f t="shared" si="6"/>
        <v>77.5</v>
      </c>
      <c r="L8" s="23">
        <f t="shared" si="7"/>
        <v>50</v>
      </c>
      <c r="M8" s="23">
        <f t="shared" si="8"/>
        <v>2.214285714</v>
      </c>
      <c r="N8" s="23">
        <f t="shared" si="9"/>
        <v>1.428571429</v>
      </c>
      <c r="O8" s="29">
        <f t="shared" si="17"/>
        <v>7.75</v>
      </c>
      <c r="P8" s="29">
        <f t="shared" si="18"/>
        <v>5</v>
      </c>
      <c r="Q8" s="23">
        <f t="shared" si="19"/>
        <v>310</v>
      </c>
      <c r="R8" s="23">
        <f t="shared" si="20"/>
        <v>200</v>
      </c>
      <c r="S8" s="30">
        <v>10.0</v>
      </c>
      <c r="T8" s="30">
        <v>4.0</v>
      </c>
      <c r="Z8" s="23">
        <f t="shared" ref="Z8:AA8" si="21">V8/4</f>
        <v>0</v>
      </c>
      <c r="AA8" s="23">
        <f t="shared" si="21"/>
        <v>0</v>
      </c>
      <c r="AB8" s="23"/>
      <c r="AC8" s="23"/>
      <c r="AD8" s="23"/>
      <c r="AE8" s="23"/>
      <c r="AF8" s="23"/>
      <c r="AG8" s="23"/>
    </row>
    <row r="9" ht="15.75" customHeight="1">
      <c r="A9" s="22" t="str">
        <f t="shared" si="4"/>
        <v>miércoles</v>
      </c>
      <c r="B9" s="24" t="str">
        <f t="shared" si="5"/>
        <v>julio</v>
      </c>
      <c r="C9" s="25">
        <v>46204.0</v>
      </c>
      <c r="D9" s="26" t="s">
        <v>58</v>
      </c>
      <c r="E9" s="27">
        <v>91.0</v>
      </c>
      <c r="F9" s="27">
        <v>58.0</v>
      </c>
      <c r="G9" s="27">
        <v>6.0</v>
      </c>
      <c r="H9" s="27">
        <v>10.0</v>
      </c>
      <c r="J9" s="28" t="s">
        <v>60</v>
      </c>
      <c r="K9" s="23">
        <f t="shared" si="6"/>
        <v>165.7777778</v>
      </c>
      <c r="L9" s="23">
        <f t="shared" si="7"/>
        <v>122.1111111</v>
      </c>
      <c r="M9" s="23">
        <f t="shared" si="8"/>
        <v>2.444444444</v>
      </c>
      <c r="N9" s="23">
        <f t="shared" si="9"/>
        <v>4.444444444</v>
      </c>
      <c r="O9" s="29">
        <f t="shared" si="17"/>
        <v>16.57777778</v>
      </c>
      <c r="P9" s="29">
        <f t="shared" si="18"/>
        <v>12.21111111</v>
      </c>
      <c r="Q9" s="23">
        <f t="shared" si="19"/>
        <v>663.1111111</v>
      </c>
      <c r="R9" s="23">
        <f t="shared" si="20"/>
        <v>488.4444444</v>
      </c>
      <c r="S9" s="30">
        <v>10.0</v>
      </c>
      <c r="T9" s="30">
        <v>4.0</v>
      </c>
      <c r="Z9" s="23">
        <f t="shared" ref="Z9:AA9" si="22">V9/4</f>
        <v>0</v>
      </c>
      <c r="AA9" s="23">
        <f t="shared" si="22"/>
        <v>0</v>
      </c>
      <c r="AB9" s="23"/>
      <c r="AC9" s="23"/>
      <c r="AD9" s="23"/>
      <c r="AE9" s="23"/>
      <c r="AF9" s="23"/>
      <c r="AG9" s="23"/>
    </row>
    <row r="10" ht="15.75" customHeight="1">
      <c r="A10" s="22" t="str">
        <f t="shared" si="4"/>
        <v>miércoles</v>
      </c>
      <c r="B10" s="24" t="str">
        <f t="shared" si="5"/>
        <v>julio</v>
      </c>
      <c r="C10" s="25">
        <v>46204.0</v>
      </c>
      <c r="D10" s="26" t="s">
        <v>64</v>
      </c>
      <c r="E10" s="27">
        <v>155.0</v>
      </c>
      <c r="F10" s="27">
        <v>89.0</v>
      </c>
      <c r="G10" s="27">
        <v>2.0</v>
      </c>
      <c r="H10" s="27">
        <v>17.0</v>
      </c>
      <c r="J10" s="28" t="s">
        <v>41</v>
      </c>
      <c r="K10" s="23">
        <f t="shared" si="6"/>
        <v>80.0625</v>
      </c>
      <c r="L10" s="23">
        <f t="shared" si="7"/>
        <v>57.4375</v>
      </c>
      <c r="M10" s="23">
        <f t="shared" si="8"/>
        <v>1.5625</v>
      </c>
      <c r="N10" s="23">
        <f t="shared" si="9"/>
        <v>4.125</v>
      </c>
      <c r="O10" s="29">
        <f t="shared" si="17"/>
        <v>7.278409091</v>
      </c>
      <c r="P10" s="29">
        <f t="shared" si="18"/>
        <v>5.221590909</v>
      </c>
      <c r="Q10" s="23">
        <f t="shared" si="19"/>
        <v>320.25</v>
      </c>
      <c r="R10" s="23">
        <f t="shared" si="20"/>
        <v>229.75</v>
      </c>
      <c r="S10" s="30">
        <v>10.0</v>
      </c>
      <c r="T10" s="30">
        <v>4.0</v>
      </c>
      <c r="Z10" s="23">
        <f t="shared" ref="Z10:AA10" si="23">V10/4</f>
        <v>0</v>
      </c>
      <c r="AA10" s="23">
        <f t="shared" si="23"/>
        <v>0</v>
      </c>
      <c r="AB10" s="23"/>
      <c r="AC10" s="23"/>
      <c r="AD10" s="23"/>
      <c r="AE10" s="23"/>
      <c r="AF10" s="23"/>
      <c r="AG10" s="23"/>
    </row>
    <row r="11" ht="15.75" customHeight="1">
      <c r="A11" s="22" t="str">
        <f t="shared" si="4"/>
        <v>miércoles</v>
      </c>
      <c r="B11" s="24" t="str">
        <f t="shared" si="5"/>
        <v>julio</v>
      </c>
      <c r="C11" s="25">
        <v>46204.0</v>
      </c>
      <c r="D11" s="26" t="s">
        <v>65</v>
      </c>
      <c r="E11" s="27">
        <v>88.0</v>
      </c>
      <c r="F11" s="27">
        <v>73.0</v>
      </c>
      <c r="G11" s="27">
        <v>6.0</v>
      </c>
      <c r="H11" s="27">
        <v>21.0</v>
      </c>
      <c r="J11" s="28" t="s">
        <v>42</v>
      </c>
      <c r="K11" s="23">
        <f t="shared" si="6"/>
        <v>89.94444444</v>
      </c>
      <c r="L11" s="23">
        <f t="shared" si="7"/>
        <v>51.5</v>
      </c>
      <c r="M11" s="23">
        <f t="shared" si="8"/>
        <v>3.055555556</v>
      </c>
      <c r="N11" s="23">
        <f t="shared" si="9"/>
        <v>8.555555556</v>
      </c>
      <c r="O11" s="29">
        <f t="shared" si="17"/>
        <v>8.994444444</v>
      </c>
      <c r="P11" s="29">
        <f t="shared" si="18"/>
        <v>5.15</v>
      </c>
      <c r="Q11" s="23">
        <f t="shared" si="19"/>
        <v>359.7777778</v>
      </c>
      <c r="R11" s="23">
        <f t="shared" si="20"/>
        <v>206</v>
      </c>
      <c r="S11" s="30">
        <v>11.0</v>
      </c>
      <c r="T11" s="30">
        <v>4.0</v>
      </c>
      <c r="Z11" s="23">
        <f t="shared" ref="Z11:AA11" si="24">V11/4</f>
        <v>0</v>
      </c>
      <c r="AA11" s="23">
        <f t="shared" si="24"/>
        <v>0</v>
      </c>
      <c r="AB11" s="23"/>
      <c r="AC11" s="23"/>
      <c r="AD11" s="23"/>
      <c r="AE11" s="23"/>
      <c r="AF11" s="23"/>
      <c r="AG11" s="23"/>
    </row>
    <row r="12" ht="15.75" customHeight="1">
      <c r="A12" s="22" t="str">
        <f t="shared" si="4"/>
        <v>miércoles</v>
      </c>
      <c r="B12" s="24" t="str">
        <f t="shared" si="5"/>
        <v>julio</v>
      </c>
      <c r="C12" s="25">
        <v>46204.0</v>
      </c>
      <c r="D12" s="26" t="s">
        <v>66</v>
      </c>
      <c r="E12" s="27">
        <v>94.0</v>
      </c>
      <c r="F12" s="27">
        <v>78.0</v>
      </c>
      <c r="G12" s="27">
        <v>1.0</v>
      </c>
      <c r="H12" s="27">
        <v>10.0</v>
      </c>
      <c r="J12" s="28" t="s">
        <v>67</v>
      </c>
      <c r="K12" s="23">
        <f t="shared" si="6"/>
        <v>64.47058824</v>
      </c>
      <c r="L12" s="23">
        <f t="shared" si="7"/>
        <v>47.70588235</v>
      </c>
      <c r="M12" s="23">
        <f t="shared" si="8"/>
        <v>3.470588235</v>
      </c>
      <c r="N12" s="23">
        <f t="shared" si="9"/>
        <v>5.764705882</v>
      </c>
      <c r="O12" s="29">
        <f t="shared" si="17"/>
        <v>6.447058824</v>
      </c>
      <c r="P12" s="29">
        <f t="shared" si="18"/>
        <v>4.770588235</v>
      </c>
      <c r="Q12" s="23">
        <f t="shared" si="19"/>
        <v>257.8823529</v>
      </c>
      <c r="R12" s="23">
        <f t="shared" si="20"/>
        <v>190.8235294</v>
      </c>
      <c r="S12" s="30">
        <v>10.0</v>
      </c>
      <c r="T12" s="30">
        <v>4.0</v>
      </c>
      <c r="Z12" s="23">
        <f t="shared" ref="Z12:AA12" si="25">V12/4</f>
        <v>0</v>
      </c>
      <c r="AA12" s="23">
        <f t="shared" si="25"/>
        <v>0</v>
      </c>
      <c r="AB12" s="23"/>
      <c r="AC12" s="23"/>
      <c r="AD12" s="23"/>
      <c r="AE12" s="23"/>
      <c r="AF12" s="23"/>
      <c r="AG12" s="23"/>
    </row>
    <row r="13" ht="15.75" customHeight="1">
      <c r="A13" s="22" t="str">
        <f t="shared" si="4"/>
        <v>jueves</v>
      </c>
      <c r="B13" s="24" t="str">
        <f t="shared" si="5"/>
        <v>julio</v>
      </c>
      <c r="C13" s="25">
        <v>46205.0</v>
      </c>
      <c r="D13" s="26" t="s">
        <v>40</v>
      </c>
      <c r="E13" s="27">
        <v>56.0</v>
      </c>
      <c r="F13" s="27">
        <v>13.0</v>
      </c>
      <c r="G13" s="27">
        <v>1.0</v>
      </c>
      <c r="H13" s="27">
        <v>9.0</v>
      </c>
      <c r="J13" s="28" t="s">
        <v>58</v>
      </c>
      <c r="K13" s="23">
        <f t="shared" si="6"/>
        <v>68.69565217</v>
      </c>
      <c r="L13" s="23">
        <f t="shared" si="7"/>
        <v>42.39130435</v>
      </c>
      <c r="M13" s="23">
        <f t="shared" si="8"/>
        <v>3.727272727</v>
      </c>
      <c r="N13" s="23">
        <f t="shared" si="9"/>
        <v>7.090909091</v>
      </c>
      <c r="O13" s="29">
        <f t="shared" si="17"/>
        <v>8.586956522</v>
      </c>
      <c r="P13" s="29">
        <f t="shared" si="18"/>
        <v>5.298913043</v>
      </c>
      <c r="Q13" s="23">
        <f t="shared" si="19"/>
        <v>343.4782609</v>
      </c>
      <c r="R13" s="23">
        <f t="shared" si="20"/>
        <v>211.9565217</v>
      </c>
      <c r="S13" s="30">
        <v>10.0</v>
      </c>
      <c r="T13" s="30">
        <v>4.0</v>
      </c>
      <c r="Z13" s="23">
        <f t="shared" ref="Z13:AA13" si="26">V13/4</f>
        <v>0</v>
      </c>
      <c r="AA13" s="23">
        <f t="shared" si="26"/>
        <v>0</v>
      </c>
      <c r="AB13" s="23"/>
      <c r="AC13" s="23"/>
      <c r="AD13" s="23"/>
      <c r="AE13" s="23"/>
      <c r="AF13" s="23"/>
      <c r="AG13" s="23"/>
    </row>
    <row r="14" ht="15.75" customHeight="1">
      <c r="A14" s="22" t="str">
        <f t="shared" si="4"/>
        <v>jueves</v>
      </c>
      <c r="B14" s="24" t="str">
        <f t="shared" si="5"/>
        <v>julio</v>
      </c>
      <c r="C14" s="25">
        <v>46205.0</v>
      </c>
      <c r="D14" s="26" t="s">
        <v>41</v>
      </c>
      <c r="E14" s="27">
        <v>66.0</v>
      </c>
      <c r="F14" s="27">
        <v>43.0</v>
      </c>
      <c r="G14" s="27">
        <v>1.0</v>
      </c>
      <c r="H14" s="27">
        <v>9.0</v>
      </c>
      <c r="J14" s="28" t="s">
        <v>64</v>
      </c>
      <c r="K14" s="23">
        <f t="shared" si="6"/>
        <v>122.4090909</v>
      </c>
      <c r="L14" s="23">
        <f t="shared" si="7"/>
        <v>78.77272727</v>
      </c>
      <c r="M14" s="23">
        <f t="shared" si="8"/>
        <v>4.727272727</v>
      </c>
      <c r="N14" s="23">
        <f t="shared" si="9"/>
        <v>6.954545455</v>
      </c>
      <c r="O14" s="29">
        <f t="shared" si="17"/>
        <v>15.30113636</v>
      </c>
      <c r="P14" s="29">
        <f t="shared" si="18"/>
        <v>9.846590909</v>
      </c>
      <c r="Q14" s="23">
        <f t="shared" si="19"/>
        <v>612.0454545</v>
      </c>
      <c r="R14" s="23">
        <f t="shared" si="20"/>
        <v>393.8636364</v>
      </c>
      <c r="S14" s="30">
        <v>8.0</v>
      </c>
      <c r="T14" s="30">
        <v>5.0</v>
      </c>
      <c r="Z14" s="23">
        <f t="shared" ref="Z14:AA14" si="27">V14/4</f>
        <v>0</v>
      </c>
      <c r="AA14" s="23">
        <f t="shared" si="27"/>
        <v>0</v>
      </c>
      <c r="AB14" s="23"/>
      <c r="AC14" s="23"/>
      <c r="AD14" s="23"/>
      <c r="AE14" s="23"/>
      <c r="AF14" s="23"/>
      <c r="AG14" s="23"/>
    </row>
    <row r="15" ht="15.75" customHeight="1">
      <c r="A15" s="22" t="str">
        <f t="shared" si="4"/>
        <v>jueves</v>
      </c>
      <c r="B15" s="24" t="str">
        <f t="shared" si="5"/>
        <v>julio</v>
      </c>
      <c r="C15" s="25">
        <v>46205.0</v>
      </c>
      <c r="D15" s="26" t="s">
        <v>42</v>
      </c>
      <c r="E15" s="27">
        <v>80.0</v>
      </c>
      <c r="F15" s="27">
        <v>36.0</v>
      </c>
      <c r="G15" s="27">
        <v>2.0</v>
      </c>
      <c r="H15" s="27">
        <v>10.0</v>
      </c>
      <c r="J15" s="28" t="s">
        <v>65</v>
      </c>
      <c r="K15" s="23">
        <f t="shared" si="6"/>
        <v>71.71428571</v>
      </c>
      <c r="L15" s="23">
        <f t="shared" si="7"/>
        <v>58.38095238</v>
      </c>
      <c r="M15" s="23">
        <f t="shared" si="8"/>
        <v>4.19047619</v>
      </c>
      <c r="N15" s="23">
        <f t="shared" si="9"/>
        <v>2.857142857</v>
      </c>
      <c r="O15" s="29">
        <f t="shared" si="17"/>
        <v>8.964285714</v>
      </c>
      <c r="P15" s="29">
        <f t="shared" si="18"/>
        <v>7.297619048</v>
      </c>
      <c r="Q15" s="23">
        <f t="shared" si="19"/>
        <v>358.5714286</v>
      </c>
      <c r="R15" s="23">
        <f t="shared" si="20"/>
        <v>291.9047619</v>
      </c>
      <c r="S15" s="30">
        <v>8.0</v>
      </c>
      <c r="T15" s="30">
        <v>5.0</v>
      </c>
      <c r="Z15" s="23">
        <f t="shared" ref="Z15:AA15" si="28">V15/4</f>
        <v>0</v>
      </c>
      <c r="AA15" s="23">
        <f t="shared" si="28"/>
        <v>0</v>
      </c>
      <c r="AB15" s="23"/>
      <c r="AC15" s="23"/>
      <c r="AD15" s="23"/>
      <c r="AE15" s="23"/>
      <c r="AF15" s="23"/>
      <c r="AG15" s="23"/>
    </row>
    <row r="16" ht="15.75" customHeight="1">
      <c r="A16" s="22" t="str">
        <f t="shared" si="4"/>
        <v>jueves</v>
      </c>
      <c r="B16" s="24" t="str">
        <f t="shared" si="5"/>
        <v>julio</v>
      </c>
      <c r="C16" s="25">
        <v>46205.0</v>
      </c>
      <c r="D16" s="26" t="s">
        <v>51</v>
      </c>
      <c r="E16" s="27">
        <v>66.0</v>
      </c>
      <c r="F16" s="27">
        <v>54.0</v>
      </c>
      <c r="G16" s="27">
        <v>2.0</v>
      </c>
      <c r="H16" s="27">
        <v>12.0</v>
      </c>
      <c r="J16" s="28" t="s">
        <v>51</v>
      </c>
      <c r="K16" s="23">
        <f t="shared" si="6"/>
        <v>104.625</v>
      </c>
      <c r="L16" s="23">
        <f t="shared" si="7"/>
        <v>86.0625</v>
      </c>
      <c r="M16" s="23">
        <f t="shared" si="8"/>
        <v>2.4</v>
      </c>
      <c r="N16" s="23">
        <f t="shared" si="9"/>
        <v>14.46666667</v>
      </c>
      <c r="O16" s="29">
        <f t="shared" si="17"/>
        <v>9.511363636</v>
      </c>
      <c r="P16" s="29">
        <f t="shared" si="18"/>
        <v>7.823863636</v>
      </c>
      <c r="Q16" s="23">
        <f t="shared" si="19"/>
        <v>418.5</v>
      </c>
      <c r="R16" s="23">
        <f t="shared" si="20"/>
        <v>344.25</v>
      </c>
      <c r="S16" s="30">
        <v>8.0</v>
      </c>
      <c r="T16" s="30">
        <v>5.0</v>
      </c>
      <c r="Z16" s="23">
        <f t="shared" ref="Z16:AA16" si="29">V16/4</f>
        <v>0</v>
      </c>
      <c r="AA16" s="23">
        <f t="shared" si="29"/>
        <v>0</v>
      </c>
      <c r="AB16" s="23"/>
      <c r="AC16" s="23"/>
      <c r="AD16" s="23"/>
      <c r="AE16" s="23"/>
      <c r="AF16" s="23"/>
      <c r="AG16" s="23"/>
    </row>
    <row r="17" ht="15.75" customHeight="1">
      <c r="A17" s="22" t="str">
        <f t="shared" si="4"/>
        <v>jueves</v>
      </c>
      <c r="B17" s="24" t="str">
        <f t="shared" si="5"/>
        <v>julio</v>
      </c>
      <c r="C17" s="25">
        <v>46205.0</v>
      </c>
      <c r="D17" s="26" t="s">
        <v>67</v>
      </c>
      <c r="E17" s="27">
        <v>53.0</v>
      </c>
      <c r="F17" s="27">
        <v>43.0</v>
      </c>
      <c r="G17" s="27">
        <v>3.0</v>
      </c>
      <c r="H17" s="27">
        <v>6.0</v>
      </c>
      <c r="J17" s="28" t="s">
        <v>66</v>
      </c>
      <c r="K17" s="23">
        <f t="shared" si="6"/>
        <v>104.75</v>
      </c>
      <c r="L17" s="23">
        <f t="shared" si="7"/>
        <v>87.6</v>
      </c>
      <c r="M17" s="23">
        <f t="shared" si="8"/>
        <v>0.7</v>
      </c>
      <c r="N17" s="23">
        <f t="shared" si="9"/>
        <v>6.3</v>
      </c>
      <c r="O17" s="29">
        <f t="shared" si="17"/>
        <v>13.09375</v>
      </c>
      <c r="P17" s="29">
        <f t="shared" si="18"/>
        <v>10.95</v>
      </c>
      <c r="Q17" s="23">
        <f t="shared" si="19"/>
        <v>523.75</v>
      </c>
      <c r="R17" s="23">
        <f t="shared" si="20"/>
        <v>438</v>
      </c>
      <c r="S17" s="30">
        <v>11.0</v>
      </c>
      <c r="T17" s="30">
        <v>4.0</v>
      </c>
      <c r="Z17" s="23">
        <f t="shared" ref="Z17:AA17" si="30">V17/4</f>
        <v>0</v>
      </c>
      <c r="AA17" s="23">
        <f t="shared" si="30"/>
        <v>0</v>
      </c>
      <c r="AB17" s="23"/>
      <c r="AC17" s="23"/>
      <c r="AD17" s="23"/>
      <c r="AE17" s="23"/>
      <c r="AF17" s="23"/>
      <c r="AG17" s="23"/>
    </row>
    <row r="18" ht="15.75" customHeight="1">
      <c r="A18" s="22" t="str">
        <f t="shared" si="4"/>
        <v>jueves</v>
      </c>
      <c r="B18" s="24" t="str">
        <f t="shared" si="5"/>
        <v>julio</v>
      </c>
      <c r="C18" s="25">
        <v>46205.0</v>
      </c>
      <c r="D18" s="26" t="s">
        <v>58</v>
      </c>
      <c r="E18" s="27">
        <v>80.0</v>
      </c>
      <c r="F18" s="27">
        <v>43.0</v>
      </c>
      <c r="G18" s="27">
        <v>3.0</v>
      </c>
      <c r="H18" s="27">
        <v>9.0</v>
      </c>
      <c r="S18" s="30">
        <v>8.0</v>
      </c>
      <c r="T18" s="30">
        <v>5.0</v>
      </c>
      <c r="AA18" s="23"/>
      <c r="AB18" s="23"/>
      <c r="AC18" s="23"/>
      <c r="AD18" s="23"/>
      <c r="AE18" s="23"/>
      <c r="AF18" s="23"/>
      <c r="AG18" s="23"/>
    </row>
    <row r="19" ht="15.75" customHeight="1">
      <c r="A19" s="22" t="str">
        <f t="shared" si="4"/>
        <v>jueves</v>
      </c>
      <c r="B19" s="24" t="str">
        <f t="shared" si="5"/>
        <v>julio</v>
      </c>
      <c r="C19" s="25">
        <v>46205.0</v>
      </c>
      <c r="D19" s="26" t="s">
        <v>52</v>
      </c>
      <c r="E19" s="27">
        <v>32.0</v>
      </c>
      <c r="F19" s="27">
        <v>21.0</v>
      </c>
      <c r="G19" s="27">
        <v>4.0</v>
      </c>
      <c r="H19" s="27">
        <v>12.0</v>
      </c>
      <c r="Y19" s="23"/>
      <c r="AO19" s="38"/>
    </row>
    <row r="20" ht="15.75" customHeight="1">
      <c r="A20" s="22" t="str">
        <f t="shared" si="4"/>
        <v>jueves</v>
      </c>
      <c r="B20" s="24" t="str">
        <f t="shared" si="5"/>
        <v>julio</v>
      </c>
      <c r="C20" s="25">
        <v>46205.0</v>
      </c>
      <c r="D20" s="26" t="s">
        <v>53</v>
      </c>
      <c r="E20" s="27">
        <v>60.0</v>
      </c>
      <c r="F20" s="27">
        <v>49.0</v>
      </c>
      <c r="G20" s="27">
        <v>1.0</v>
      </c>
      <c r="H20" s="27">
        <v>0.0</v>
      </c>
      <c r="J20" s="39" t="s">
        <v>69</v>
      </c>
      <c r="K20" s="40">
        <f t="shared" ref="K20:R20" si="31">AVERAGE(K4:K17)</f>
        <v>86.47681124</v>
      </c>
      <c r="L20" s="40">
        <f t="shared" si="31"/>
        <v>62.26213947</v>
      </c>
      <c r="M20" s="40">
        <f t="shared" si="31"/>
        <v>2.627538061</v>
      </c>
      <c r="N20" s="40">
        <f t="shared" si="31"/>
        <v>5.749740351</v>
      </c>
      <c r="O20" s="39">
        <f t="shared" si="31"/>
        <v>9.306218733</v>
      </c>
      <c r="P20" s="39">
        <f t="shared" si="31"/>
        <v>6.694137095</v>
      </c>
      <c r="Q20" s="39">
        <f t="shared" si="31"/>
        <v>378.4016714</v>
      </c>
      <c r="R20" s="39">
        <f t="shared" si="31"/>
        <v>272.8278214</v>
      </c>
      <c r="AA20" s="23"/>
      <c r="AB20" s="23"/>
      <c r="AC20" s="23"/>
      <c r="AD20" s="23"/>
      <c r="AE20" s="23"/>
      <c r="AF20" s="23"/>
      <c r="AG20" s="23"/>
      <c r="AN20" s="38"/>
      <c r="AO20" s="38"/>
    </row>
    <row r="21" ht="15.75" customHeight="1">
      <c r="A21" s="22" t="str">
        <f t="shared" si="4"/>
        <v>jueves</v>
      </c>
      <c r="B21" s="24" t="str">
        <f t="shared" si="5"/>
        <v>julio</v>
      </c>
      <c r="C21" s="25">
        <v>46205.0</v>
      </c>
      <c r="D21" s="26" t="s">
        <v>64</v>
      </c>
      <c r="E21" s="27">
        <v>58.0</v>
      </c>
      <c r="F21" s="27">
        <v>29.0</v>
      </c>
      <c r="G21" s="27">
        <v>4.0</v>
      </c>
      <c r="H21" s="27">
        <v>0.0</v>
      </c>
      <c r="J21" s="5" t="s">
        <v>72</v>
      </c>
      <c r="K21" s="28" t="s">
        <v>65</v>
      </c>
      <c r="L21" s="23">
        <f>SUMIF($D$4:$D$350,K21,$E$4:$E$350)</f>
        <v>1506</v>
      </c>
      <c r="Q21" s="23">
        <f>L21/T21</f>
        <v>376.5</v>
      </c>
      <c r="T21" s="5">
        <v>4.0</v>
      </c>
      <c r="AN21" s="38"/>
      <c r="AO21" s="38"/>
    </row>
    <row r="22" ht="15.75" customHeight="1">
      <c r="A22" s="22" t="str">
        <f t="shared" si="4"/>
        <v>jueves</v>
      </c>
      <c r="B22" s="24" t="str">
        <f t="shared" si="5"/>
        <v>julio</v>
      </c>
      <c r="C22" s="25">
        <v>46205.0</v>
      </c>
      <c r="D22" s="26" t="s">
        <v>65</v>
      </c>
      <c r="E22" s="27">
        <v>80.0</v>
      </c>
      <c r="F22" s="27">
        <v>71.0</v>
      </c>
      <c r="G22" s="27">
        <v>2.0</v>
      </c>
      <c r="H22" s="27">
        <v>5.0</v>
      </c>
      <c r="J22" s="42" t="s">
        <v>73</v>
      </c>
      <c r="AN22" s="38"/>
      <c r="AO22" s="30"/>
    </row>
    <row r="23" ht="15.75" customHeight="1">
      <c r="A23" s="22" t="str">
        <f t="shared" si="4"/>
        <v>jueves</v>
      </c>
      <c r="B23" s="24" t="str">
        <f t="shared" si="5"/>
        <v>julio</v>
      </c>
      <c r="C23" s="25">
        <v>46205.0</v>
      </c>
      <c r="D23" s="26" t="s">
        <v>66</v>
      </c>
      <c r="E23" s="27">
        <v>77.0</v>
      </c>
      <c r="F23" s="27">
        <v>50.0</v>
      </c>
      <c r="G23" s="27">
        <v>0.0</v>
      </c>
      <c r="H23" s="27">
        <v>2.0</v>
      </c>
      <c r="K23" s="44" t="s">
        <v>74</v>
      </c>
      <c r="O23" s="45" t="s">
        <v>75</v>
      </c>
      <c r="Q23" s="45" t="s">
        <v>76</v>
      </c>
      <c r="AN23" s="30"/>
      <c r="AO23" s="30"/>
    </row>
    <row r="24" ht="15.75" customHeight="1">
      <c r="A24" s="22" t="str">
        <f t="shared" si="4"/>
        <v>viernes</v>
      </c>
      <c r="B24" s="24" t="str">
        <f t="shared" si="5"/>
        <v>julio</v>
      </c>
      <c r="C24" s="25">
        <v>46206.0</v>
      </c>
      <c r="D24" s="26" t="s">
        <v>40</v>
      </c>
      <c r="E24" s="27">
        <v>47.0</v>
      </c>
      <c r="F24" s="27">
        <v>26.0</v>
      </c>
      <c r="G24" s="27" t="s">
        <v>77</v>
      </c>
      <c r="H24" s="27" t="s">
        <v>77</v>
      </c>
      <c r="I24" s="5" t="s">
        <v>78</v>
      </c>
      <c r="K24" s="47" t="s">
        <v>25</v>
      </c>
      <c r="L24" s="47" t="s">
        <v>26</v>
      </c>
      <c r="M24" s="48" t="s">
        <v>79</v>
      </c>
      <c r="N24" s="47" t="s">
        <v>31</v>
      </c>
      <c r="O24" s="47" t="s">
        <v>25</v>
      </c>
      <c r="P24" s="47" t="s">
        <v>26</v>
      </c>
      <c r="Q24" s="47" t="s">
        <v>25</v>
      </c>
      <c r="R24" s="47" t="s">
        <v>26</v>
      </c>
      <c r="V24" s="44" t="s">
        <v>74</v>
      </c>
      <c r="Z24" s="45"/>
      <c r="AA24" s="45" t="s">
        <v>76</v>
      </c>
      <c r="AN24" s="30"/>
      <c r="AO24" s="30"/>
    </row>
    <row r="25" ht="15.75" customHeight="1">
      <c r="A25" s="22" t="str">
        <f t="shared" si="4"/>
        <v>viernes</v>
      </c>
      <c r="B25" s="24" t="str">
        <f t="shared" si="5"/>
        <v>julio</v>
      </c>
      <c r="C25" s="25">
        <v>46206.0</v>
      </c>
      <c r="D25" s="26" t="s">
        <v>44</v>
      </c>
      <c r="E25" s="27">
        <v>53.0</v>
      </c>
      <c r="F25" s="27">
        <v>53.0</v>
      </c>
      <c r="G25" s="27" t="s">
        <v>77</v>
      </c>
      <c r="H25" s="27" t="s">
        <v>77</v>
      </c>
      <c r="I25" s="5" t="s">
        <v>80</v>
      </c>
      <c r="K25" s="49" t="s">
        <v>60</v>
      </c>
      <c r="L25" s="49" t="s">
        <v>60</v>
      </c>
      <c r="M25" s="49" t="s">
        <v>64</v>
      </c>
      <c r="N25" s="49" t="s">
        <v>51</v>
      </c>
      <c r="O25" s="49" t="s">
        <v>60</v>
      </c>
      <c r="P25" s="49" t="s">
        <v>60</v>
      </c>
      <c r="Q25" s="49" t="s">
        <v>60</v>
      </c>
      <c r="R25" s="50" t="s">
        <v>60</v>
      </c>
      <c r="V25" s="47" t="s">
        <v>25</v>
      </c>
      <c r="W25" s="47" t="s">
        <v>26</v>
      </c>
      <c r="X25" s="48" t="s">
        <v>79</v>
      </c>
      <c r="Y25" s="47" t="s">
        <v>31</v>
      </c>
      <c r="Z25" s="47"/>
      <c r="AA25" s="47" t="s">
        <v>25</v>
      </c>
      <c r="AB25" s="47" t="s">
        <v>26</v>
      </c>
      <c r="AN25" s="30"/>
      <c r="AO25" s="51"/>
    </row>
    <row r="26" ht="15.75" customHeight="1">
      <c r="A26" s="22" t="str">
        <f t="shared" si="4"/>
        <v>viernes</v>
      </c>
      <c r="B26" s="24" t="str">
        <f t="shared" si="5"/>
        <v>julio</v>
      </c>
      <c r="C26" s="25">
        <v>46206.0</v>
      </c>
      <c r="D26" s="26" t="s">
        <v>51</v>
      </c>
      <c r="E26" s="27">
        <v>33.0</v>
      </c>
      <c r="F26" s="27">
        <v>21.0</v>
      </c>
      <c r="G26" s="27" t="s">
        <v>77</v>
      </c>
      <c r="H26" s="27" t="s">
        <v>77</v>
      </c>
      <c r="K26" s="49" t="s">
        <v>64</v>
      </c>
      <c r="L26" s="49" t="s">
        <v>66</v>
      </c>
      <c r="M26" s="49" t="s">
        <v>65</v>
      </c>
      <c r="N26" s="49" t="s">
        <v>42</v>
      </c>
      <c r="O26" s="49" t="s">
        <v>64</v>
      </c>
      <c r="P26" s="49" t="s">
        <v>66</v>
      </c>
      <c r="Q26" s="49" t="s">
        <v>64</v>
      </c>
      <c r="R26" s="50" t="s">
        <v>66</v>
      </c>
      <c r="V26" s="49" t="s">
        <v>64</v>
      </c>
      <c r="W26" s="49" t="s">
        <v>66</v>
      </c>
      <c r="X26" s="49" t="s">
        <v>64</v>
      </c>
      <c r="Y26" s="49" t="s">
        <v>51</v>
      </c>
      <c r="Z26" s="16"/>
      <c r="AA26" s="49" t="s">
        <v>64</v>
      </c>
      <c r="AB26" s="49" t="s">
        <v>66</v>
      </c>
      <c r="AC26" s="38"/>
      <c r="AN26" s="51"/>
      <c r="AO26" s="51"/>
    </row>
    <row r="27" ht="15.75" customHeight="1">
      <c r="A27" s="22" t="str">
        <f t="shared" si="4"/>
        <v>viernes</v>
      </c>
      <c r="B27" s="24" t="str">
        <f t="shared" si="5"/>
        <v>julio</v>
      </c>
      <c r="C27" s="25">
        <v>46206.0</v>
      </c>
      <c r="D27" s="26" t="s">
        <v>58</v>
      </c>
      <c r="E27" s="27">
        <v>43.0</v>
      </c>
      <c r="F27" s="27">
        <v>31.0</v>
      </c>
      <c r="G27" s="27" t="s">
        <v>77</v>
      </c>
      <c r="H27" s="27" t="s">
        <v>77</v>
      </c>
      <c r="K27" s="49" t="s">
        <v>66</v>
      </c>
      <c r="L27" s="49" t="s">
        <v>51</v>
      </c>
      <c r="M27" s="49" t="s">
        <v>40</v>
      </c>
      <c r="N27" s="49" t="s">
        <v>58</v>
      </c>
      <c r="O27" s="49" t="s">
        <v>66</v>
      </c>
      <c r="P27" s="49" t="s">
        <v>64</v>
      </c>
      <c r="Q27" s="49" t="s">
        <v>66</v>
      </c>
      <c r="R27" s="50" t="s">
        <v>64</v>
      </c>
      <c r="V27" s="49" t="s">
        <v>66</v>
      </c>
      <c r="W27" s="49" t="s">
        <v>64</v>
      </c>
      <c r="X27" s="49" t="s">
        <v>65</v>
      </c>
      <c r="Y27" s="49" t="s">
        <v>58</v>
      </c>
      <c r="Z27" s="16"/>
      <c r="AA27" s="49" t="s">
        <v>66</v>
      </c>
      <c r="AB27" s="49" t="s">
        <v>64</v>
      </c>
      <c r="AC27" s="38"/>
    </row>
    <row r="28" ht="15.75" customHeight="1">
      <c r="A28" s="22" t="str">
        <f t="shared" si="4"/>
        <v>viernes</v>
      </c>
      <c r="B28" s="24" t="str">
        <f t="shared" si="5"/>
        <v>julio</v>
      </c>
      <c r="C28" s="25">
        <v>46206.0</v>
      </c>
      <c r="D28" s="26" t="s">
        <v>52</v>
      </c>
      <c r="E28" s="27">
        <v>43.0</v>
      </c>
      <c r="F28" s="27">
        <v>22.0</v>
      </c>
      <c r="G28" s="27" t="s">
        <v>77</v>
      </c>
      <c r="H28" s="27" t="s">
        <v>77</v>
      </c>
      <c r="K28" s="49" t="s">
        <v>51</v>
      </c>
      <c r="L28" s="49" t="s">
        <v>64</v>
      </c>
      <c r="M28" s="49" t="s">
        <v>58</v>
      </c>
      <c r="N28" s="49" t="s">
        <v>64</v>
      </c>
      <c r="O28" s="49" t="s">
        <v>39</v>
      </c>
      <c r="P28" s="49" t="s">
        <v>39</v>
      </c>
      <c r="Q28" s="49" t="s">
        <v>39</v>
      </c>
      <c r="R28" s="50" t="s">
        <v>51</v>
      </c>
      <c r="V28" s="49" t="s">
        <v>51</v>
      </c>
      <c r="W28" s="49" t="s">
        <v>51</v>
      </c>
      <c r="X28" s="49" t="s">
        <v>58</v>
      </c>
      <c r="Y28" s="49" t="s">
        <v>42</v>
      </c>
      <c r="Z28" s="16"/>
      <c r="AA28" s="49" t="s">
        <v>51</v>
      </c>
      <c r="AB28" s="49" t="s">
        <v>51</v>
      </c>
      <c r="AC28" s="38"/>
    </row>
    <row r="29" ht="15.75" customHeight="1">
      <c r="A29" s="22" t="str">
        <f t="shared" si="4"/>
        <v>viernes</v>
      </c>
      <c r="B29" s="24" t="str">
        <f t="shared" si="5"/>
        <v>julio</v>
      </c>
      <c r="C29" s="25">
        <v>46206.0</v>
      </c>
      <c r="D29" s="26" t="s">
        <v>82</v>
      </c>
      <c r="E29" s="27">
        <v>164.0</v>
      </c>
      <c r="F29" s="27">
        <v>11.0</v>
      </c>
      <c r="G29" s="27" t="s">
        <v>77</v>
      </c>
      <c r="H29" s="27" t="s">
        <v>77</v>
      </c>
      <c r="K29" s="49" t="s">
        <v>42</v>
      </c>
      <c r="L29" s="49" t="s">
        <v>39</v>
      </c>
      <c r="M29" s="49" t="s">
        <v>52</v>
      </c>
      <c r="N29" s="49" t="s">
        <v>52</v>
      </c>
      <c r="O29" s="49" t="s">
        <v>51</v>
      </c>
      <c r="P29" s="49" t="s">
        <v>51</v>
      </c>
      <c r="Q29" s="49" t="s">
        <v>51</v>
      </c>
      <c r="R29" s="50" t="s">
        <v>39</v>
      </c>
      <c r="V29" s="49" t="s">
        <v>42</v>
      </c>
      <c r="W29" s="49" t="s">
        <v>65</v>
      </c>
      <c r="X29" s="49" t="s">
        <v>67</v>
      </c>
      <c r="Y29" s="49" t="s">
        <v>64</v>
      </c>
      <c r="Z29" s="16"/>
      <c r="AA29" s="49" t="s">
        <v>42</v>
      </c>
      <c r="AB29" s="49" t="s">
        <v>65</v>
      </c>
      <c r="AC29" s="38"/>
    </row>
    <row r="30" ht="15.75" customHeight="1">
      <c r="A30" s="22" t="str">
        <f t="shared" si="4"/>
        <v>sábado</v>
      </c>
      <c r="B30" s="24" t="str">
        <f t="shared" si="5"/>
        <v>julio</v>
      </c>
      <c r="C30" s="25">
        <v>46207.0</v>
      </c>
      <c r="D30" s="22" t="s">
        <v>77</v>
      </c>
      <c r="E30" s="27" t="s">
        <v>77</v>
      </c>
      <c r="F30" s="27" t="s">
        <v>77</v>
      </c>
      <c r="G30" s="27" t="s">
        <v>77</v>
      </c>
      <c r="H30" s="27" t="s">
        <v>77</v>
      </c>
      <c r="K30" s="52" t="s">
        <v>39</v>
      </c>
      <c r="L30" s="52" t="s">
        <v>65</v>
      </c>
      <c r="M30" s="52" t="s">
        <v>67</v>
      </c>
      <c r="N30" s="52" t="s">
        <v>40</v>
      </c>
      <c r="O30" s="52" t="s">
        <v>42</v>
      </c>
      <c r="P30" s="52" t="s">
        <v>65</v>
      </c>
      <c r="Q30" s="52" t="s">
        <v>42</v>
      </c>
      <c r="R30" s="52" t="s">
        <v>65</v>
      </c>
      <c r="V30" s="49" t="s">
        <v>58</v>
      </c>
      <c r="W30" s="49" t="s">
        <v>39</v>
      </c>
      <c r="X30" s="49" t="s">
        <v>42</v>
      </c>
      <c r="Y30" s="49" t="s">
        <v>66</v>
      </c>
      <c r="Z30" s="16"/>
      <c r="AA30" s="49" t="s">
        <v>58</v>
      </c>
      <c r="AB30" s="49" t="s">
        <v>39</v>
      </c>
      <c r="AC30" s="38"/>
    </row>
    <row r="31" ht="15.75" customHeight="1">
      <c r="A31" s="22" t="str">
        <f t="shared" si="4"/>
        <v>domingo</v>
      </c>
      <c r="B31" s="24" t="str">
        <f t="shared" si="5"/>
        <v>julio</v>
      </c>
      <c r="C31" s="25">
        <v>46208.0</v>
      </c>
      <c r="D31" s="22" t="s">
        <v>77</v>
      </c>
      <c r="E31" s="27" t="s">
        <v>77</v>
      </c>
      <c r="F31" s="27" t="s">
        <v>77</v>
      </c>
      <c r="G31" s="27" t="s">
        <v>77</v>
      </c>
      <c r="H31" s="27" t="s">
        <v>77</v>
      </c>
      <c r="K31" s="52" t="s">
        <v>41</v>
      </c>
      <c r="L31" s="52" t="s">
        <v>41</v>
      </c>
      <c r="M31" s="52" t="s">
        <v>42</v>
      </c>
      <c r="N31" s="52" t="s">
        <v>66</v>
      </c>
      <c r="O31" s="52" t="s">
        <v>65</v>
      </c>
      <c r="P31" s="52" t="s">
        <v>58</v>
      </c>
      <c r="Q31" s="52" t="s">
        <v>65</v>
      </c>
      <c r="R31" s="52" t="s">
        <v>41</v>
      </c>
      <c r="V31" s="52" t="s">
        <v>65</v>
      </c>
      <c r="W31" s="52" t="s">
        <v>60</v>
      </c>
      <c r="X31" s="52" t="s">
        <v>52</v>
      </c>
      <c r="Y31" s="52" t="s">
        <v>52</v>
      </c>
      <c r="Z31" s="53"/>
      <c r="AA31" s="52" t="s">
        <v>65</v>
      </c>
      <c r="AB31" s="52" t="s">
        <v>60</v>
      </c>
      <c r="AC31" s="53"/>
    </row>
    <row r="32" ht="15.75" customHeight="1">
      <c r="A32" s="22" t="str">
        <f t="shared" si="4"/>
        <v>lunes</v>
      </c>
      <c r="B32" s="24" t="str">
        <f t="shared" si="5"/>
        <v>julio</v>
      </c>
      <c r="C32" s="25">
        <v>46209.0</v>
      </c>
      <c r="D32" s="26" t="s">
        <v>39</v>
      </c>
      <c r="E32" s="27">
        <v>126.0</v>
      </c>
      <c r="F32" s="27">
        <v>97.0</v>
      </c>
      <c r="G32" s="27">
        <v>0.0</v>
      </c>
      <c r="H32" s="27">
        <v>10.0</v>
      </c>
      <c r="K32" s="52" t="s">
        <v>53</v>
      </c>
      <c r="L32" s="52" t="s">
        <v>42</v>
      </c>
      <c r="M32" s="52" t="s">
        <v>60</v>
      </c>
      <c r="N32" s="52" t="s">
        <v>67</v>
      </c>
      <c r="O32" s="52" t="s">
        <v>58</v>
      </c>
      <c r="P32" s="52" t="s">
        <v>41</v>
      </c>
      <c r="Q32" s="52" t="s">
        <v>58</v>
      </c>
      <c r="R32" s="52" t="s">
        <v>58</v>
      </c>
      <c r="V32" s="52" t="s">
        <v>60</v>
      </c>
      <c r="W32" s="52" t="s">
        <v>58</v>
      </c>
      <c r="X32" s="52" t="s">
        <v>40</v>
      </c>
      <c r="Y32" s="52" t="s">
        <v>67</v>
      </c>
      <c r="Z32" s="53"/>
      <c r="AA32" s="52" t="s">
        <v>60</v>
      </c>
      <c r="AB32" s="52" t="s">
        <v>58</v>
      </c>
      <c r="AC32" s="53"/>
    </row>
    <row r="33" ht="15.75" customHeight="1">
      <c r="A33" s="22" t="str">
        <f t="shared" si="4"/>
        <v>lunes</v>
      </c>
      <c r="B33" s="24" t="str">
        <f t="shared" si="5"/>
        <v>julio</v>
      </c>
      <c r="C33" s="25">
        <v>46209.0</v>
      </c>
      <c r="D33" s="26" t="s">
        <v>41</v>
      </c>
      <c r="E33" s="27">
        <v>81.0</v>
      </c>
      <c r="F33" s="27">
        <v>66.0</v>
      </c>
      <c r="G33" s="27">
        <v>2.0</v>
      </c>
      <c r="H33" s="27">
        <v>5.0</v>
      </c>
      <c r="K33" s="52" t="s">
        <v>65</v>
      </c>
      <c r="L33" s="52" t="s">
        <v>44</v>
      </c>
      <c r="M33" s="52" t="s">
        <v>51</v>
      </c>
      <c r="N33" s="52" t="s">
        <v>39</v>
      </c>
      <c r="O33" s="52" t="s">
        <v>53</v>
      </c>
      <c r="P33" s="52" t="s">
        <v>42</v>
      </c>
      <c r="Q33" s="52" t="s">
        <v>41</v>
      </c>
      <c r="R33" s="52" t="s">
        <v>42</v>
      </c>
      <c r="V33" s="52" t="s">
        <v>39</v>
      </c>
      <c r="W33" s="52" t="s">
        <v>42</v>
      </c>
      <c r="X33" s="52" t="s">
        <v>51</v>
      </c>
      <c r="Y33" s="52" t="s">
        <v>39</v>
      </c>
      <c r="Z33" s="53"/>
      <c r="AA33" s="52" t="s">
        <v>39</v>
      </c>
      <c r="AB33" s="52" t="s">
        <v>42</v>
      </c>
      <c r="AC33" s="53"/>
    </row>
    <row r="34" ht="15.75" customHeight="1">
      <c r="A34" s="22" t="str">
        <f t="shared" si="4"/>
        <v>lunes</v>
      </c>
      <c r="B34" s="24" t="str">
        <f t="shared" si="5"/>
        <v>julio</v>
      </c>
      <c r="C34" s="25">
        <v>46209.0</v>
      </c>
      <c r="D34" s="26" t="s">
        <v>42</v>
      </c>
      <c r="E34" s="27">
        <v>109.0</v>
      </c>
      <c r="F34" s="27">
        <v>64.0</v>
      </c>
      <c r="G34" s="27">
        <v>6.0</v>
      </c>
      <c r="H34" s="27">
        <v>6.0</v>
      </c>
      <c r="K34" s="52" t="s">
        <v>58</v>
      </c>
      <c r="L34" s="52" t="s">
        <v>53</v>
      </c>
      <c r="M34" s="52" t="s">
        <v>53</v>
      </c>
      <c r="N34" s="52" t="s">
        <v>60</v>
      </c>
      <c r="O34" s="52" t="s">
        <v>41</v>
      </c>
      <c r="P34" s="52" t="s">
        <v>53</v>
      </c>
      <c r="Q34" s="52" t="s">
        <v>53</v>
      </c>
      <c r="R34" s="52" t="s">
        <v>44</v>
      </c>
      <c r="V34" s="52" t="s">
        <v>41</v>
      </c>
      <c r="W34" s="52" t="s">
        <v>41</v>
      </c>
      <c r="X34" s="52" t="s">
        <v>53</v>
      </c>
      <c r="Y34" s="52" t="s">
        <v>40</v>
      </c>
      <c r="Z34" s="53"/>
      <c r="AA34" s="52" t="s">
        <v>41</v>
      </c>
      <c r="AB34" s="52" t="s">
        <v>41</v>
      </c>
      <c r="AC34" s="53"/>
      <c r="AN34" s="51"/>
      <c r="AO34" s="51"/>
    </row>
    <row r="35" ht="15.75" customHeight="1">
      <c r="A35" s="22" t="str">
        <f t="shared" si="4"/>
        <v>lunes</v>
      </c>
      <c r="B35" s="24" t="str">
        <f t="shared" si="5"/>
        <v>julio</v>
      </c>
      <c r="C35" s="25">
        <v>46209.0</v>
      </c>
      <c r="D35" s="26" t="s">
        <v>44</v>
      </c>
      <c r="E35" s="27">
        <v>64.0</v>
      </c>
      <c r="F35" s="27">
        <v>63.0</v>
      </c>
      <c r="G35" s="27">
        <v>0.0</v>
      </c>
      <c r="H35" s="27">
        <v>0.0</v>
      </c>
      <c r="K35" s="54" t="s">
        <v>40</v>
      </c>
      <c r="L35" s="54" t="s">
        <v>67</v>
      </c>
      <c r="M35" s="54" t="s">
        <v>41</v>
      </c>
      <c r="N35" s="54" t="s">
        <v>41</v>
      </c>
      <c r="O35" s="54" t="s">
        <v>40</v>
      </c>
      <c r="P35" s="54" t="s">
        <v>67</v>
      </c>
      <c r="Q35" s="54" t="s">
        <v>40</v>
      </c>
      <c r="R35" s="54" t="s">
        <v>53</v>
      </c>
      <c r="V35" s="52" t="s">
        <v>67</v>
      </c>
      <c r="W35" s="52" t="s">
        <v>67</v>
      </c>
      <c r="X35" s="52" t="s">
        <v>41</v>
      </c>
      <c r="Y35" s="52" t="s">
        <v>41</v>
      </c>
      <c r="Z35" s="53"/>
      <c r="AA35" s="52" t="s">
        <v>67</v>
      </c>
      <c r="AB35" s="52" t="s">
        <v>67</v>
      </c>
      <c r="AC35" s="53"/>
      <c r="AN35" s="51"/>
    </row>
    <row r="36" ht="15.75" customHeight="1">
      <c r="A36" s="22" t="str">
        <f t="shared" si="4"/>
        <v>lunes</v>
      </c>
      <c r="B36" s="24" t="str">
        <f t="shared" si="5"/>
        <v>julio</v>
      </c>
      <c r="C36" s="25">
        <v>46209.0</v>
      </c>
      <c r="D36" s="26" t="s">
        <v>67</v>
      </c>
      <c r="E36" s="27">
        <v>90.0</v>
      </c>
      <c r="F36" s="27">
        <v>49.0</v>
      </c>
      <c r="G36" s="27">
        <v>2.0</v>
      </c>
      <c r="H36" s="27">
        <v>9.0</v>
      </c>
      <c r="K36" s="54" t="s">
        <v>67</v>
      </c>
      <c r="L36" s="54" t="s">
        <v>58</v>
      </c>
      <c r="M36" s="54" t="s">
        <v>44</v>
      </c>
      <c r="N36" s="54" t="s">
        <v>65</v>
      </c>
      <c r="O36" s="54" t="s">
        <v>67</v>
      </c>
      <c r="P36" s="54" t="s">
        <v>44</v>
      </c>
      <c r="Q36" s="54" t="s">
        <v>67</v>
      </c>
      <c r="R36" s="54" t="s">
        <v>67</v>
      </c>
      <c r="V36" s="54" t="s">
        <v>53</v>
      </c>
      <c r="W36" s="54" t="s">
        <v>53</v>
      </c>
      <c r="X36" s="54" t="s">
        <v>60</v>
      </c>
      <c r="Y36" s="54" t="s">
        <v>65</v>
      </c>
      <c r="Z36" s="55"/>
      <c r="AA36" s="54" t="s">
        <v>53</v>
      </c>
      <c r="AB36" s="54" t="s">
        <v>53</v>
      </c>
      <c r="AC36" s="55"/>
    </row>
    <row r="37" ht="15.75" customHeight="1">
      <c r="A37" s="22" t="str">
        <f t="shared" si="4"/>
        <v>lunes</v>
      </c>
      <c r="B37" s="24" t="str">
        <f t="shared" si="5"/>
        <v>julio</v>
      </c>
      <c r="C37" s="25">
        <v>46209.0</v>
      </c>
      <c r="D37" s="26" t="s">
        <v>58</v>
      </c>
      <c r="E37" s="27">
        <v>52.0</v>
      </c>
      <c r="F37" s="27">
        <v>47.0</v>
      </c>
      <c r="G37" s="27">
        <v>2.0</v>
      </c>
      <c r="H37" s="27">
        <v>7.0</v>
      </c>
      <c r="K37" s="54" t="s">
        <v>52</v>
      </c>
      <c r="L37" s="54" t="s">
        <v>52</v>
      </c>
      <c r="M37" s="54" t="s">
        <v>66</v>
      </c>
      <c r="N37" s="54" t="s">
        <v>53</v>
      </c>
      <c r="O37" s="54" t="s">
        <v>52</v>
      </c>
      <c r="P37" s="54" t="s">
        <v>52</v>
      </c>
      <c r="Q37" s="54" t="s">
        <v>52</v>
      </c>
      <c r="R37" s="54" t="s">
        <v>52</v>
      </c>
      <c r="V37" s="54" t="s">
        <v>40</v>
      </c>
      <c r="W37" s="54" t="s">
        <v>52</v>
      </c>
      <c r="X37" s="54" t="s">
        <v>66</v>
      </c>
      <c r="Y37" s="54" t="s">
        <v>60</v>
      </c>
      <c r="Z37" s="55"/>
      <c r="AA37" s="54" t="s">
        <v>40</v>
      </c>
      <c r="AB37" s="54" t="s">
        <v>52</v>
      </c>
      <c r="AC37" s="55"/>
    </row>
    <row r="38" ht="15.75" customHeight="1">
      <c r="A38" s="22" t="str">
        <f t="shared" si="4"/>
        <v>lunes</v>
      </c>
      <c r="B38" s="24" t="str">
        <f t="shared" si="5"/>
        <v>julio</v>
      </c>
      <c r="C38" s="25">
        <v>46209.0</v>
      </c>
      <c r="D38" s="26" t="s">
        <v>64</v>
      </c>
      <c r="E38" s="27">
        <v>126.0</v>
      </c>
      <c r="F38" s="27">
        <v>77.0</v>
      </c>
      <c r="G38" s="27">
        <v>8.0</v>
      </c>
      <c r="H38" s="27">
        <v>3.0</v>
      </c>
      <c r="K38" s="54" t="s">
        <v>44</v>
      </c>
      <c r="L38" s="54" t="s">
        <v>40</v>
      </c>
      <c r="M38" s="54" t="s">
        <v>39</v>
      </c>
      <c r="N38" s="54" t="s">
        <v>44</v>
      </c>
      <c r="O38" s="54" t="s">
        <v>44</v>
      </c>
      <c r="P38" s="54" t="s">
        <v>40</v>
      </c>
      <c r="Q38" s="54" t="s">
        <v>44</v>
      </c>
      <c r="R38" s="54" t="s">
        <v>40</v>
      </c>
      <c r="V38" s="54" t="s">
        <v>52</v>
      </c>
      <c r="W38" s="54" t="s">
        <v>40</v>
      </c>
      <c r="X38" s="54" t="s">
        <v>39</v>
      </c>
      <c r="Y38" s="54" t="s">
        <v>53</v>
      </c>
      <c r="Z38" s="55"/>
      <c r="AA38" s="54" t="s">
        <v>52</v>
      </c>
      <c r="AB38" s="54" t="s">
        <v>40</v>
      </c>
      <c r="AC38" s="55"/>
    </row>
    <row r="39" ht="15.75" customHeight="1">
      <c r="A39" s="22" t="str">
        <f t="shared" si="4"/>
        <v>lunes</v>
      </c>
      <c r="B39" s="24" t="str">
        <f t="shared" si="5"/>
        <v>julio</v>
      </c>
      <c r="C39" s="25">
        <v>46209.0</v>
      </c>
      <c r="D39" s="26" t="s">
        <v>66</v>
      </c>
      <c r="E39" s="27">
        <v>113.0</v>
      </c>
      <c r="F39" s="27">
        <v>75.0</v>
      </c>
      <c r="G39" s="27">
        <v>1.0</v>
      </c>
      <c r="H39" s="27">
        <v>14.0</v>
      </c>
      <c r="K39" s="55"/>
      <c r="L39" s="55"/>
      <c r="M39" s="55"/>
      <c r="N39" s="55"/>
      <c r="O39" s="55"/>
      <c r="P39" s="55"/>
      <c r="Q39" s="55"/>
      <c r="R39" s="55"/>
      <c r="U39" s="55"/>
      <c r="V39" s="54" t="s">
        <v>44</v>
      </c>
      <c r="W39" s="54" t="s">
        <v>44</v>
      </c>
      <c r="X39" s="54" t="s">
        <v>44</v>
      </c>
      <c r="Y39" s="54" t="s">
        <v>44</v>
      </c>
      <c r="Z39" s="55"/>
      <c r="AA39" s="54" t="s">
        <v>44</v>
      </c>
      <c r="AB39" s="54" t="s">
        <v>44</v>
      </c>
      <c r="AC39" s="55"/>
    </row>
    <row r="40" ht="15.75" customHeight="1">
      <c r="A40" s="22" t="str">
        <f t="shared" si="4"/>
        <v>martes</v>
      </c>
      <c r="B40" s="24" t="str">
        <f t="shared" si="5"/>
        <v>julio</v>
      </c>
      <c r="C40" s="25">
        <v>46210.0</v>
      </c>
      <c r="D40" s="26" t="s">
        <v>39</v>
      </c>
      <c r="E40" s="27">
        <v>91.0</v>
      </c>
      <c r="F40" s="27">
        <v>87.0</v>
      </c>
      <c r="G40" s="27">
        <v>0.0</v>
      </c>
      <c r="H40" s="27">
        <v>5.0</v>
      </c>
      <c r="AM40" s="38"/>
      <c r="AO40" s="23"/>
    </row>
    <row r="41" ht="15.75" customHeight="1">
      <c r="A41" s="22" t="str">
        <f t="shared" si="4"/>
        <v>martes</v>
      </c>
      <c r="B41" s="24" t="str">
        <f t="shared" si="5"/>
        <v>julio</v>
      </c>
      <c r="C41" s="25">
        <v>46210.0</v>
      </c>
      <c r="D41" s="26" t="s">
        <v>41</v>
      </c>
      <c r="E41" s="27">
        <v>72.0</v>
      </c>
      <c r="F41" s="27">
        <v>58.0</v>
      </c>
      <c r="G41" s="27">
        <v>2.0</v>
      </c>
      <c r="H41" s="27">
        <v>10.0</v>
      </c>
      <c r="J41" s="40" t="s">
        <v>69</v>
      </c>
      <c r="K41" s="40">
        <f t="shared" ref="K41:R41" si="32">AVERAGE(K4:K17)</f>
        <v>86.47681124</v>
      </c>
      <c r="L41" s="40">
        <f t="shared" si="32"/>
        <v>62.26213947</v>
      </c>
      <c r="M41" s="40">
        <f t="shared" si="32"/>
        <v>2.627538061</v>
      </c>
      <c r="N41" s="40">
        <f t="shared" si="32"/>
        <v>5.749740351</v>
      </c>
      <c r="O41" s="40">
        <f t="shared" si="32"/>
        <v>9.306218733</v>
      </c>
      <c r="P41" s="40">
        <f t="shared" si="32"/>
        <v>6.694137095</v>
      </c>
      <c r="Q41" s="40">
        <f t="shared" si="32"/>
        <v>378.4016714</v>
      </c>
      <c r="R41" s="40">
        <f t="shared" si="32"/>
        <v>272.8278214</v>
      </c>
      <c r="AM41" s="38"/>
      <c r="AN41" s="23"/>
      <c r="AO41" s="23"/>
    </row>
    <row r="42" ht="15.75" customHeight="1">
      <c r="A42" s="22" t="str">
        <f t="shared" si="4"/>
        <v>martes</v>
      </c>
      <c r="B42" s="24" t="str">
        <f t="shared" si="5"/>
        <v>julio</v>
      </c>
      <c r="C42" s="25">
        <v>46210.0</v>
      </c>
      <c r="D42" s="26" t="s">
        <v>42</v>
      </c>
      <c r="E42" s="27">
        <v>127.0</v>
      </c>
      <c r="F42" s="27">
        <v>54.0</v>
      </c>
      <c r="G42" s="27">
        <v>5.0</v>
      </c>
      <c r="H42" s="27">
        <v>13.0</v>
      </c>
      <c r="AM42" s="38"/>
      <c r="AN42" s="23"/>
      <c r="AO42" s="23"/>
    </row>
    <row r="43" ht="15.75" customHeight="1">
      <c r="A43" s="22" t="str">
        <f t="shared" si="4"/>
        <v>martes</v>
      </c>
      <c r="B43" s="24" t="str">
        <f t="shared" si="5"/>
        <v>julio</v>
      </c>
      <c r="C43" s="25">
        <v>46210.0</v>
      </c>
      <c r="D43" s="22" t="s">
        <v>46</v>
      </c>
      <c r="E43" s="27">
        <v>48.0</v>
      </c>
      <c r="F43" s="27">
        <v>32.0</v>
      </c>
      <c r="G43" s="27">
        <v>0.0</v>
      </c>
      <c r="H43" s="27">
        <v>2.0</v>
      </c>
      <c r="AM43" s="30"/>
      <c r="AN43" s="23"/>
      <c r="AO43" s="23"/>
    </row>
    <row r="44" ht="15.75" customHeight="1">
      <c r="A44" s="22" t="str">
        <f t="shared" si="4"/>
        <v>martes</v>
      </c>
      <c r="B44" s="24" t="str">
        <f t="shared" si="5"/>
        <v>julio</v>
      </c>
      <c r="C44" s="25">
        <v>46210.0</v>
      </c>
      <c r="D44" s="26" t="s">
        <v>67</v>
      </c>
      <c r="E44" s="27">
        <v>61.0</v>
      </c>
      <c r="F44" s="27">
        <v>48.0</v>
      </c>
      <c r="G44" s="27">
        <v>8.0</v>
      </c>
      <c r="H44" s="27">
        <v>20.0</v>
      </c>
      <c r="AM44" s="30"/>
      <c r="AN44" s="23"/>
      <c r="AO44" s="23"/>
    </row>
    <row r="45" ht="15.75" customHeight="1">
      <c r="A45" s="22" t="str">
        <f t="shared" si="4"/>
        <v>martes</v>
      </c>
      <c r="B45" s="24" t="str">
        <f t="shared" si="5"/>
        <v>julio</v>
      </c>
      <c r="C45" s="25">
        <v>46210.0</v>
      </c>
      <c r="D45" s="26" t="s">
        <v>58</v>
      </c>
      <c r="E45" s="27">
        <v>106.0</v>
      </c>
      <c r="F45" s="27">
        <v>79.0</v>
      </c>
      <c r="G45" s="27">
        <v>3.0</v>
      </c>
      <c r="H45" s="27">
        <v>17.0</v>
      </c>
      <c r="AM45" s="30"/>
      <c r="AN45" s="23"/>
      <c r="AO45" s="23"/>
    </row>
    <row r="46" ht="15.75" customHeight="1">
      <c r="A46" s="22" t="str">
        <f t="shared" si="4"/>
        <v>martes</v>
      </c>
      <c r="B46" s="24" t="str">
        <f t="shared" si="5"/>
        <v>julio</v>
      </c>
      <c r="C46" s="25">
        <v>46210.0</v>
      </c>
      <c r="D46" s="26" t="s">
        <v>64</v>
      </c>
      <c r="E46" s="27">
        <v>150.0</v>
      </c>
      <c r="F46" s="27">
        <v>99.0</v>
      </c>
      <c r="G46" s="27">
        <v>8.0</v>
      </c>
      <c r="H46" s="27">
        <v>4.0</v>
      </c>
      <c r="AM46" s="51"/>
      <c r="AN46" s="23"/>
      <c r="AO46" s="23"/>
    </row>
    <row r="47" ht="15.75" customHeight="1">
      <c r="A47" s="22" t="str">
        <f t="shared" si="4"/>
        <v>martes</v>
      </c>
      <c r="B47" s="24" t="str">
        <f t="shared" si="5"/>
        <v>julio</v>
      </c>
      <c r="C47" s="25">
        <v>46210.0</v>
      </c>
      <c r="D47" s="26" t="s">
        <v>66</v>
      </c>
      <c r="E47" s="27">
        <v>118.0</v>
      </c>
      <c r="F47" s="27">
        <v>83.0</v>
      </c>
      <c r="G47" s="27">
        <v>2.0</v>
      </c>
      <c r="H47" s="27">
        <v>14.0</v>
      </c>
      <c r="AM47" s="51"/>
      <c r="AN47" s="23"/>
      <c r="AO47" s="23"/>
    </row>
    <row r="48" ht="15.75" customHeight="1">
      <c r="A48" s="22" t="str">
        <f t="shared" si="4"/>
        <v>miércoles</v>
      </c>
      <c r="B48" s="24" t="str">
        <f t="shared" si="5"/>
        <v>julio</v>
      </c>
      <c r="C48" s="25">
        <v>46211.0</v>
      </c>
      <c r="D48" s="26" t="s">
        <v>39</v>
      </c>
      <c r="E48" s="27">
        <v>130.0</v>
      </c>
      <c r="F48" s="27">
        <v>122.0</v>
      </c>
      <c r="G48" s="27">
        <v>0.0</v>
      </c>
      <c r="H48" s="27">
        <v>0.0</v>
      </c>
      <c r="AM48" s="51"/>
      <c r="AN48" s="23"/>
      <c r="AO48" s="23"/>
    </row>
    <row r="49" ht="15.75" customHeight="1">
      <c r="A49" s="22" t="str">
        <f t="shared" si="4"/>
        <v>miércoles</v>
      </c>
      <c r="B49" s="24" t="str">
        <f t="shared" si="5"/>
        <v>julio</v>
      </c>
      <c r="C49" s="25">
        <v>46211.0</v>
      </c>
      <c r="D49" s="26" t="s">
        <v>41</v>
      </c>
      <c r="E49" s="27">
        <v>80.0</v>
      </c>
      <c r="F49" s="27">
        <v>66.0</v>
      </c>
      <c r="G49" s="27">
        <v>2.0</v>
      </c>
      <c r="H49" s="27">
        <v>1.0</v>
      </c>
      <c r="J49" s="12" t="s">
        <v>86</v>
      </c>
      <c r="O49" s="13" t="s">
        <v>18</v>
      </c>
      <c r="Q49" s="13" t="s">
        <v>19</v>
      </c>
      <c r="AA49" s="45" t="s">
        <v>76</v>
      </c>
    </row>
    <row r="50" ht="15.75" customHeight="1">
      <c r="A50" s="22" t="str">
        <f t="shared" si="4"/>
        <v>miércoles</v>
      </c>
      <c r="B50" s="24" t="str">
        <f t="shared" si="5"/>
        <v>julio</v>
      </c>
      <c r="C50" s="25">
        <v>46211.0</v>
      </c>
      <c r="D50" s="26" t="s">
        <v>42</v>
      </c>
      <c r="E50" s="27">
        <v>103.0</v>
      </c>
      <c r="F50" s="27">
        <v>61.0</v>
      </c>
      <c r="G50" s="27">
        <v>3.0</v>
      </c>
      <c r="H50" s="27">
        <v>7.0</v>
      </c>
      <c r="J50" s="17" t="s">
        <v>29</v>
      </c>
      <c r="K50" s="17" t="s">
        <v>25</v>
      </c>
      <c r="L50" s="17" t="s">
        <v>26</v>
      </c>
      <c r="M50" s="17" t="s">
        <v>30</v>
      </c>
      <c r="N50" s="17" t="s">
        <v>31</v>
      </c>
      <c r="O50" s="18" t="s">
        <v>25</v>
      </c>
      <c r="P50" s="18" t="s">
        <v>26</v>
      </c>
      <c r="Q50" s="17" t="s">
        <v>25</v>
      </c>
      <c r="R50" s="17" t="s">
        <v>26</v>
      </c>
      <c r="U50" s="47" t="s">
        <v>24</v>
      </c>
      <c r="V50" s="47" t="s">
        <v>25</v>
      </c>
      <c r="W50" s="47" t="s">
        <v>26</v>
      </c>
      <c r="X50" s="48" t="s">
        <v>79</v>
      </c>
      <c r="Y50" s="47" t="s">
        <v>31</v>
      </c>
      <c r="Z50" s="47"/>
      <c r="AA50" s="47" t="s">
        <v>25</v>
      </c>
      <c r="AB50" s="47" t="s">
        <v>26</v>
      </c>
    </row>
    <row r="51" ht="15.75" customHeight="1">
      <c r="A51" s="22" t="str">
        <f t="shared" si="4"/>
        <v>miércoles</v>
      </c>
      <c r="B51" s="24" t="str">
        <f t="shared" si="5"/>
        <v>julio</v>
      </c>
      <c r="C51" s="25">
        <v>46211.0</v>
      </c>
      <c r="D51" s="26" t="s">
        <v>51</v>
      </c>
      <c r="E51" s="27">
        <v>174.0</v>
      </c>
      <c r="F51" s="27">
        <v>136.0</v>
      </c>
      <c r="G51" s="27">
        <v>6.0</v>
      </c>
      <c r="H51" s="27">
        <v>25.0</v>
      </c>
      <c r="J51" s="28" t="s">
        <v>39</v>
      </c>
      <c r="K51" s="23">
        <v>87.3529411764706</v>
      </c>
      <c r="L51" s="23">
        <v>65.76470588235294</v>
      </c>
      <c r="M51" s="23">
        <v>0.17647058823529413</v>
      </c>
      <c r="N51" s="23">
        <v>5.0588235294117645</v>
      </c>
      <c r="O51" s="23">
        <v>10.919117647058824</v>
      </c>
      <c r="P51" s="23">
        <v>8.220588235294118</v>
      </c>
      <c r="Q51" s="23">
        <v>436.764705882353</v>
      </c>
      <c r="R51" s="23">
        <v>328.8235294117647</v>
      </c>
      <c r="U51" s="28" t="s">
        <v>39</v>
      </c>
      <c r="V51" s="5">
        <v>1485.0</v>
      </c>
      <c r="W51" s="5">
        <v>1118.0</v>
      </c>
      <c r="X51" s="5">
        <v>3.0</v>
      </c>
      <c r="Y51" s="5">
        <v>86.0</v>
      </c>
      <c r="Z51" s="23"/>
      <c r="AA51" s="23">
        <v>371.25</v>
      </c>
      <c r="AB51" s="23">
        <v>279.5</v>
      </c>
    </row>
    <row r="52" ht="15.75" customHeight="1">
      <c r="A52" s="22" t="str">
        <f t="shared" si="4"/>
        <v>miércoles</v>
      </c>
      <c r="B52" s="24" t="str">
        <f t="shared" si="5"/>
        <v>julio</v>
      </c>
      <c r="C52" s="25">
        <v>46211.0</v>
      </c>
      <c r="D52" s="22" t="s">
        <v>46</v>
      </c>
      <c r="E52" s="27">
        <v>55.0</v>
      </c>
      <c r="F52" s="27">
        <v>28.0</v>
      </c>
      <c r="G52" s="27">
        <v>4.0</v>
      </c>
      <c r="H52" s="27">
        <v>6.0</v>
      </c>
      <c r="J52" s="28" t="s">
        <v>40</v>
      </c>
      <c r="K52" s="23">
        <v>67.92307692307692</v>
      </c>
      <c r="L52" s="23">
        <v>34.23076923076923</v>
      </c>
      <c r="M52" s="23">
        <v>3.8333333333333335</v>
      </c>
      <c r="N52" s="23">
        <v>6.583333333333333</v>
      </c>
      <c r="O52" s="23">
        <v>6.792307692307692</v>
      </c>
      <c r="P52" s="23">
        <v>3.4230769230769234</v>
      </c>
      <c r="Q52" s="23">
        <v>271.6923076923077</v>
      </c>
      <c r="R52" s="23">
        <v>136.92307692307693</v>
      </c>
      <c r="U52" s="28" t="s">
        <v>40</v>
      </c>
      <c r="V52" s="5">
        <v>883.0</v>
      </c>
      <c r="W52" s="5">
        <v>445.0</v>
      </c>
      <c r="X52" s="5">
        <v>46.0</v>
      </c>
      <c r="Y52" s="5">
        <v>79.0</v>
      </c>
      <c r="Z52" s="56"/>
      <c r="AA52" s="23">
        <v>220.75</v>
      </c>
      <c r="AB52" s="23">
        <v>111.25</v>
      </c>
    </row>
    <row r="53" ht="15.75" customHeight="1">
      <c r="A53" s="22" t="str">
        <f t="shared" si="4"/>
        <v>miércoles</v>
      </c>
      <c r="B53" s="24" t="str">
        <f t="shared" si="5"/>
        <v>julio</v>
      </c>
      <c r="C53" s="25">
        <v>46211.0</v>
      </c>
      <c r="D53" s="26" t="s">
        <v>67</v>
      </c>
      <c r="E53" s="27">
        <v>62.0</v>
      </c>
      <c r="F53" s="27">
        <v>41.0</v>
      </c>
      <c r="G53" s="27">
        <v>5.0</v>
      </c>
      <c r="H53" s="27">
        <v>2.0</v>
      </c>
      <c r="J53" s="28" t="s">
        <v>44</v>
      </c>
      <c r="K53" s="23">
        <v>52.2</v>
      </c>
      <c r="L53" s="23">
        <v>51.4</v>
      </c>
      <c r="M53" s="23">
        <v>0.75</v>
      </c>
      <c r="N53" s="23">
        <v>0.0</v>
      </c>
      <c r="O53" s="23">
        <v>4.745454545454546</v>
      </c>
      <c r="P53" s="23">
        <v>4.672727272727273</v>
      </c>
      <c r="Q53" s="23">
        <v>208.8</v>
      </c>
      <c r="R53" s="23">
        <v>205.6</v>
      </c>
      <c r="U53" s="28" t="s">
        <v>41</v>
      </c>
      <c r="V53" s="5">
        <v>1281.0</v>
      </c>
      <c r="W53" s="5">
        <v>919.0</v>
      </c>
      <c r="X53" s="5">
        <v>25.0</v>
      </c>
      <c r="Y53" s="5">
        <v>66.0</v>
      </c>
      <c r="Z53" s="23"/>
      <c r="AA53" s="23">
        <v>320.25</v>
      </c>
      <c r="AB53" s="23">
        <v>229.75</v>
      </c>
    </row>
    <row r="54" ht="15.75" customHeight="1">
      <c r="A54" s="22" t="str">
        <f t="shared" si="4"/>
        <v>miércoles</v>
      </c>
      <c r="B54" s="24" t="str">
        <f t="shared" si="5"/>
        <v>julio</v>
      </c>
      <c r="C54" s="25">
        <v>46211.0</v>
      </c>
      <c r="D54" s="26" t="s">
        <v>58</v>
      </c>
      <c r="E54" s="27">
        <v>96.0</v>
      </c>
      <c r="F54" s="27">
        <v>63.0</v>
      </c>
      <c r="G54" s="27">
        <v>6.0</v>
      </c>
      <c r="H54" s="27">
        <v>14.0</v>
      </c>
      <c r="J54" s="28" t="s">
        <v>52</v>
      </c>
      <c r="K54" s="23">
        <v>53.25</v>
      </c>
      <c r="L54" s="23">
        <v>38.3125</v>
      </c>
      <c r="M54" s="23">
        <v>3.533333333333333</v>
      </c>
      <c r="N54" s="23">
        <v>6.866666666666666</v>
      </c>
      <c r="O54" s="23">
        <v>5.325</v>
      </c>
      <c r="P54" s="23">
        <v>3.83125</v>
      </c>
      <c r="Q54" s="23">
        <v>213.0</v>
      </c>
      <c r="R54" s="23">
        <v>153.25</v>
      </c>
      <c r="U54" s="28" t="s">
        <v>42</v>
      </c>
      <c r="V54" s="5">
        <v>1619.0</v>
      </c>
      <c r="W54" s="5">
        <v>927.0</v>
      </c>
      <c r="X54" s="5">
        <v>55.0</v>
      </c>
      <c r="Y54" s="5">
        <v>154.0</v>
      </c>
      <c r="Z54" s="56"/>
      <c r="AA54" s="23">
        <v>404.75</v>
      </c>
      <c r="AB54" s="23">
        <v>231.75</v>
      </c>
    </row>
    <row r="55" ht="15.75" customHeight="1">
      <c r="A55" s="22" t="str">
        <f t="shared" si="4"/>
        <v>miércoles</v>
      </c>
      <c r="B55" s="24" t="str">
        <f t="shared" si="5"/>
        <v>julio</v>
      </c>
      <c r="C55" s="25">
        <v>46211.0</v>
      </c>
      <c r="D55" s="26" t="s">
        <v>64</v>
      </c>
      <c r="E55" s="27">
        <v>170.0</v>
      </c>
      <c r="F55" s="27">
        <v>111.0</v>
      </c>
      <c r="G55" s="27">
        <v>6.0</v>
      </c>
      <c r="H55" s="27">
        <v>7.0</v>
      </c>
      <c r="J55" s="28" t="s">
        <v>53</v>
      </c>
      <c r="K55" s="23">
        <v>77.5</v>
      </c>
      <c r="L55" s="23">
        <v>50.0</v>
      </c>
      <c r="M55" s="23">
        <v>2.2142857142857144</v>
      </c>
      <c r="N55" s="23">
        <v>1.4285714285714286</v>
      </c>
      <c r="O55" s="23">
        <v>7.75</v>
      </c>
      <c r="P55" s="23">
        <v>5.0</v>
      </c>
      <c r="Q55" s="23">
        <v>310.0</v>
      </c>
      <c r="R55" s="23">
        <v>200.0</v>
      </c>
      <c r="U55" s="28" t="s">
        <v>44</v>
      </c>
      <c r="V55" s="5">
        <v>261.0</v>
      </c>
      <c r="W55" s="5">
        <v>257.0</v>
      </c>
      <c r="X55" s="5">
        <v>3.0</v>
      </c>
      <c r="Y55" s="5">
        <v>0.0</v>
      </c>
      <c r="Z55" s="56"/>
      <c r="AA55" s="23">
        <v>65.25</v>
      </c>
      <c r="AB55" s="23">
        <v>64.25</v>
      </c>
    </row>
    <row r="56" ht="15.75" customHeight="1">
      <c r="A56" s="22" t="str">
        <f t="shared" si="4"/>
        <v>miércoles</v>
      </c>
      <c r="B56" s="24" t="str">
        <f t="shared" si="5"/>
        <v>julio</v>
      </c>
      <c r="C56" s="25">
        <v>46211.0</v>
      </c>
      <c r="D56" s="26" t="s">
        <v>65</v>
      </c>
      <c r="E56" s="27">
        <v>104.0</v>
      </c>
      <c r="F56" s="27">
        <v>92.0</v>
      </c>
      <c r="G56" s="27">
        <v>5.0</v>
      </c>
      <c r="H56" s="27">
        <v>7.0</v>
      </c>
      <c r="J56" s="28" t="s">
        <v>60</v>
      </c>
      <c r="K56" s="23">
        <v>165.77777777777777</v>
      </c>
      <c r="L56" s="23">
        <v>122.11111111111111</v>
      </c>
      <c r="M56" s="23">
        <v>2.4444444444444446</v>
      </c>
      <c r="N56" s="23">
        <v>4.444444444444445</v>
      </c>
      <c r="O56" s="23">
        <v>16.577777777777776</v>
      </c>
      <c r="P56" s="23">
        <v>12.211111111111112</v>
      </c>
      <c r="Q56" s="23">
        <v>663.1111111111111</v>
      </c>
      <c r="R56" s="23">
        <v>488.44444444444446</v>
      </c>
      <c r="U56" s="28" t="s">
        <v>51</v>
      </c>
      <c r="V56" s="5">
        <v>1674.0</v>
      </c>
      <c r="W56" s="5">
        <v>1377.0</v>
      </c>
      <c r="X56" s="5">
        <v>36.0</v>
      </c>
      <c r="Y56" s="5">
        <v>217.0</v>
      </c>
      <c r="Z56" s="23"/>
      <c r="AA56" s="23">
        <v>418.5</v>
      </c>
      <c r="AB56" s="23">
        <v>344.25</v>
      </c>
    </row>
    <row r="57" ht="15.75" customHeight="1">
      <c r="A57" s="22" t="str">
        <f t="shared" si="4"/>
        <v>miércoles</v>
      </c>
      <c r="B57" s="24" t="str">
        <f t="shared" si="5"/>
        <v>julio</v>
      </c>
      <c r="C57" s="25">
        <v>46211.0</v>
      </c>
      <c r="D57" s="26" t="s">
        <v>66</v>
      </c>
      <c r="E57" s="27">
        <v>73.0</v>
      </c>
      <c r="F57" s="27">
        <v>55.0</v>
      </c>
      <c r="G57" s="27">
        <v>0.0</v>
      </c>
      <c r="H57" s="27">
        <v>27.0</v>
      </c>
      <c r="J57" s="28" t="s">
        <v>41</v>
      </c>
      <c r="K57" s="23">
        <v>80.0625</v>
      </c>
      <c r="L57" s="23">
        <v>57.4375</v>
      </c>
      <c r="M57" s="23">
        <v>1.5625</v>
      </c>
      <c r="N57" s="23">
        <v>4.125</v>
      </c>
      <c r="O57" s="23">
        <v>7.278409090909091</v>
      </c>
      <c r="P57" s="23">
        <v>5.221590909090909</v>
      </c>
      <c r="Q57" s="23">
        <v>320.25</v>
      </c>
      <c r="R57" s="23">
        <v>229.75</v>
      </c>
      <c r="U57" s="28" t="s">
        <v>67</v>
      </c>
      <c r="V57" s="5">
        <v>1096.0</v>
      </c>
      <c r="W57" s="5">
        <v>811.0</v>
      </c>
      <c r="X57" s="5">
        <v>59.0</v>
      </c>
      <c r="Y57" s="5">
        <v>98.0</v>
      </c>
      <c r="Z57" s="23"/>
      <c r="AA57" s="23">
        <v>274.0</v>
      </c>
      <c r="AB57" s="23">
        <v>202.75</v>
      </c>
    </row>
    <row r="58" ht="15.75" customHeight="1">
      <c r="A58" s="22" t="str">
        <f t="shared" si="4"/>
        <v>jueves</v>
      </c>
      <c r="B58" s="24" t="str">
        <f t="shared" si="5"/>
        <v>julio</v>
      </c>
      <c r="C58" s="25">
        <v>46212.0</v>
      </c>
      <c r="D58" s="26" t="s">
        <v>40</v>
      </c>
      <c r="E58" s="27">
        <v>67.0</v>
      </c>
      <c r="F58" s="27">
        <v>33.0</v>
      </c>
      <c r="G58" s="27">
        <v>2.0</v>
      </c>
      <c r="H58" s="27">
        <v>8.0</v>
      </c>
      <c r="J58" s="28" t="s">
        <v>42</v>
      </c>
      <c r="K58" s="23">
        <v>89.94444444444444</v>
      </c>
      <c r="L58" s="23">
        <v>51.5</v>
      </c>
      <c r="M58" s="23">
        <v>3.0555555555555554</v>
      </c>
      <c r="N58" s="23">
        <v>8.555555555555555</v>
      </c>
      <c r="O58" s="23">
        <v>8.994444444444444</v>
      </c>
      <c r="P58" s="23">
        <v>5.15</v>
      </c>
      <c r="Q58" s="23">
        <v>359.77777777777777</v>
      </c>
      <c r="R58" s="23">
        <v>206.0</v>
      </c>
      <c r="U58" s="28" t="s">
        <v>58</v>
      </c>
      <c r="V58" s="5">
        <v>1580.0</v>
      </c>
      <c r="W58" s="5">
        <v>975.0</v>
      </c>
      <c r="X58" s="5">
        <v>82.0</v>
      </c>
      <c r="Y58" s="5">
        <v>156.0</v>
      </c>
      <c r="Z58" s="23"/>
      <c r="AA58" s="23">
        <v>395.0</v>
      </c>
      <c r="AB58" s="23">
        <v>243.75</v>
      </c>
    </row>
    <row r="59" ht="15.75" customHeight="1">
      <c r="A59" s="22" t="str">
        <f t="shared" si="4"/>
        <v>jueves</v>
      </c>
      <c r="B59" s="24" t="str">
        <f t="shared" si="5"/>
        <v>julio</v>
      </c>
      <c r="C59" s="25">
        <v>46212.0</v>
      </c>
      <c r="D59" s="26" t="s">
        <v>41</v>
      </c>
      <c r="E59" s="27">
        <v>74.0</v>
      </c>
      <c r="F59" s="27">
        <v>53.0</v>
      </c>
      <c r="G59" s="27">
        <v>2.0</v>
      </c>
      <c r="H59" s="27">
        <v>4.0</v>
      </c>
      <c r="J59" s="28" t="s">
        <v>67</v>
      </c>
      <c r="K59" s="23">
        <v>64.47058823529412</v>
      </c>
      <c r="L59" s="23">
        <v>47.705882352941174</v>
      </c>
      <c r="M59" s="23">
        <v>3.4705882352941178</v>
      </c>
      <c r="N59" s="23">
        <v>5.764705882352941</v>
      </c>
      <c r="O59" s="23">
        <v>6.447058823529412</v>
      </c>
      <c r="P59" s="23">
        <v>4.770588235294118</v>
      </c>
      <c r="Q59" s="23">
        <v>257.88235294117646</v>
      </c>
      <c r="R59" s="23">
        <v>190.8235294117647</v>
      </c>
      <c r="U59" s="28" t="s">
        <v>52</v>
      </c>
      <c r="V59" s="5">
        <v>852.0</v>
      </c>
      <c r="W59" s="5">
        <v>613.0</v>
      </c>
      <c r="X59" s="5">
        <v>53.0</v>
      </c>
      <c r="Y59" s="5">
        <v>103.0</v>
      </c>
      <c r="Z59" s="23"/>
      <c r="AA59" s="23">
        <v>213.0</v>
      </c>
      <c r="AB59" s="23">
        <v>153.25</v>
      </c>
    </row>
    <row r="60" ht="15.75" customHeight="1">
      <c r="A60" s="22" t="str">
        <f t="shared" si="4"/>
        <v>jueves</v>
      </c>
      <c r="B60" s="24" t="str">
        <f t="shared" si="5"/>
        <v>julio</v>
      </c>
      <c r="C60" s="25">
        <v>46212.0</v>
      </c>
      <c r="D60" s="26" t="s">
        <v>42</v>
      </c>
      <c r="E60" s="27">
        <v>98.0</v>
      </c>
      <c r="F60" s="27">
        <v>54.0</v>
      </c>
      <c r="G60" s="27">
        <v>4.0</v>
      </c>
      <c r="H60" s="27">
        <v>8.0</v>
      </c>
      <c r="J60" s="28" t="s">
        <v>58</v>
      </c>
      <c r="K60" s="23">
        <v>68.69565217391305</v>
      </c>
      <c r="L60" s="23">
        <v>42.391304347826086</v>
      </c>
      <c r="M60" s="23">
        <v>3.727272727272727</v>
      </c>
      <c r="N60" s="23">
        <v>7.090909090909091</v>
      </c>
      <c r="O60" s="23">
        <v>8.58695652173913</v>
      </c>
      <c r="P60" s="23">
        <v>5.298913043478261</v>
      </c>
      <c r="Q60" s="23">
        <v>343.47826086956525</v>
      </c>
      <c r="R60" s="23">
        <v>211.95652173913044</v>
      </c>
      <c r="U60" s="28" t="s">
        <v>53</v>
      </c>
      <c r="V60" s="5">
        <v>1085.0</v>
      </c>
      <c r="W60" s="5">
        <v>700.0</v>
      </c>
      <c r="X60" s="5">
        <v>31.0</v>
      </c>
      <c r="Y60" s="5">
        <v>20.0</v>
      </c>
      <c r="Z60" s="58"/>
      <c r="AA60" s="23">
        <v>271.25</v>
      </c>
      <c r="AB60" s="23">
        <v>175.0</v>
      </c>
      <c r="AC60" s="30"/>
      <c r="AF60" s="53"/>
      <c r="AG60" s="53"/>
      <c r="AH60" s="53"/>
      <c r="AI60" s="53"/>
      <c r="AJ60" s="53"/>
      <c r="AK60" s="53"/>
      <c r="AL60" s="53"/>
      <c r="AM60" s="30"/>
    </row>
    <row r="61" ht="15.75" customHeight="1">
      <c r="A61" s="22" t="str">
        <f t="shared" si="4"/>
        <v>jueves</v>
      </c>
      <c r="B61" s="24" t="str">
        <f t="shared" si="5"/>
        <v>julio</v>
      </c>
      <c r="C61" s="25">
        <v>46212.0</v>
      </c>
      <c r="D61" s="26" t="s">
        <v>51</v>
      </c>
      <c r="E61" s="27">
        <v>78.0</v>
      </c>
      <c r="F61" s="27">
        <v>56.0</v>
      </c>
      <c r="G61" s="27">
        <v>1.0</v>
      </c>
      <c r="H61" s="27">
        <v>21.0</v>
      </c>
      <c r="J61" s="28" t="s">
        <v>64</v>
      </c>
      <c r="K61" s="23">
        <v>122.4090909090909</v>
      </c>
      <c r="L61" s="23">
        <v>78.77272727272727</v>
      </c>
      <c r="M61" s="23">
        <v>4.7272727272727275</v>
      </c>
      <c r="N61" s="23">
        <v>6.954545454545454</v>
      </c>
      <c r="O61" s="23">
        <v>15.301136363636363</v>
      </c>
      <c r="P61" s="23">
        <v>9.846590909090908</v>
      </c>
      <c r="Q61" s="23">
        <v>612.0454545454545</v>
      </c>
      <c r="R61" s="23">
        <v>393.8636363636363</v>
      </c>
      <c r="U61" s="28" t="s">
        <v>64</v>
      </c>
      <c r="V61" s="5">
        <v>2693.0</v>
      </c>
      <c r="W61" s="5">
        <v>1733.0</v>
      </c>
      <c r="X61" s="5">
        <v>104.0</v>
      </c>
      <c r="Y61" s="5">
        <v>153.0</v>
      </c>
      <c r="Z61" s="23"/>
      <c r="AA61" s="23">
        <v>673.25</v>
      </c>
      <c r="AB61" s="23">
        <v>433.25</v>
      </c>
      <c r="AC61" s="30"/>
      <c r="AF61" s="53"/>
      <c r="AG61" s="53"/>
      <c r="AH61" s="53"/>
      <c r="AI61" s="53"/>
      <c r="AJ61" s="53"/>
      <c r="AK61" s="53"/>
      <c r="AL61" s="53"/>
      <c r="AM61" s="30"/>
    </row>
    <row r="62" ht="15.75" customHeight="1">
      <c r="A62" s="22" t="str">
        <f t="shared" si="4"/>
        <v>jueves</v>
      </c>
      <c r="B62" s="24" t="str">
        <f t="shared" si="5"/>
        <v>julio</v>
      </c>
      <c r="C62" s="25">
        <v>46212.0</v>
      </c>
      <c r="D62" s="26" t="s">
        <v>67</v>
      </c>
      <c r="E62" s="27">
        <v>58.0</v>
      </c>
      <c r="F62" s="27">
        <v>34.0</v>
      </c>
      <c r="G62" s="27">
        <v>6.0</v>
      </c>
      <c r="H62" s="27">
        <v>0.0</v>
      </c>
      <c r="J62" s="28" t="s">
        <v>65</v>
      </c>
      <c r="K62" s="23">
        <v>71.71428571428571</v>
      </c>
      <c r="L62" s="23">
        <v>58.38095238095238</v>
      </c>
      <c r="M62" s="23">
        <v>4.190476190476191</v>
      </c>
      <c r="N62" s="23">
        <v>2.857142857142857</v>
      </c>
      <c r="O62" s="23">
        <v>8.964285714285714</v>
      </c>
      <c r="P62" s="23">
        <v>7.2976190476190474</v>
      </c>
      <c r="Q62" s="23">
        <v>358.57142857142856</v>
      </c>
      <c r="R62" s="23">
        <v>291.9047619047619</v>
      </c>
      <c r="U62" s="28" t="s">
        <v>65</v>
      </c>
      <c r="V62" s="5">
        <v>1506.0</v>
      </c>
      <c r="W62" s="5">
        <v>1226.0</v>
      </c>
      <c r="X62" s="5">
        <v>88.0</v>
      </c>
      <c r="Y62" s="5">
        <v>60.0</v>
      </c>
      <c r="Z62" s="23"/>
      <c r="AA62" s="23">
        <v>376.5</v>
      </c>
      <c r="AB62" s="23">
        <v>306.5</v>
      </c>
      <c r="AC62" s="30"/>
      <c r="AF62" s="55"/>
      <c r="AG62" s="55"/>
      <c r="AH62" s="55"/>
      <c r="AI62" s="55"/>
      <c r="AJ62" s="55"/>
      <c r="AK62" s="55"/>
      <c r="AL62" s="55"/>
      <c r="AM62" s="51"/>
    </row>
    <row r="63" ht="15.75" customHeight="1">
      <c r="A63" s="22" t="str">
        <f t="shared" si="4"/>
        <v>jueves</v>
      </c>
      <c r="B63" s="24" t="str">
        <f t="shared" si="5"/>
        <v>julio</v>
      </c>
      <c r="C63" s="25">
        <v>46212.0</v>
      </c>
      <c r="D63" s="26" t="s">
        <v>58</v>
      </c>
      <c r="E63" s="27">
        <v>23.0</v>
      </c>
      <c r="F63" s="27">
        <v>27.0</v>
      </c>
      <c r="G63" s="27">
        <v>2.0</v>
      </c>
      <c r="H63" s="27">
        <v>11.0</v>
      </c>
      <c r="J63" s="28" t="s">
        <v>51</v>
      </c>
      <c r="K63" s="23">
        <v>104.625</v>
      </c>
      <c r="L63" s="23">
        <v>86.0625</v>
      </c>
      <c r="M63" s="23">
        <v>2.4</v>
      </c>
      <c r="N63" s="23">
        <v>14.466666666666667</v>
      </c>
      <c r="O63" s="23">
        <v>9.511363636363637</v>
      </c>
      <c r="P63" s="23">
        <v>7.823863636363637</v>
      </c>
      <c r="Q63" s="23">
        <v>418.5</v>
      </c>
      <c r="R63" s="23">
        <v>344.25</v>
      </c>
      <c r="U63" s="28" t="s">
        <v>60</v>
      </c>
      <c r="V63" s="5">
        <v>1492.0</v>
      </c>
      <c r="W63" s="5">
        <v>1099.0</v>
      </c>
      <c r="X63" s="5">
        <v>22.0</v>
      </c>
      <c r="Y63" s="5">
        <v>40.0</v>
      </c>
      <c r="Z63" s="23"/>
      <c r="AA63" s="23">
        <v>373.0</v>
      </c>
      <c r="AB63" s="23">
        <v>274.75</v>
      </c>
      <c r="AC63" s="51"/>
      <c r="AF63" s="55"/>
      <c r="AG63" s="55"/>
      <c r="AH63" s="55"/>
      <c r="AI63" s="55"/>
      <c r="AJ63" s="55"/>
      <c r="AK63" s="55"/>
      <c r="AL63" s="55"/>
      <c r="AM63" s="51"/>
    </row>
    <row r="64" ht="15.75" customHeight="1">
      <c r="A64" s="22" t="str">
        <f t="shared" si="4"/>
        <v>jueves</v>
      </c>
      <c r="B64" s="24" t="str">
        <f t="shared" si="5"/>
        <v>julio</v>
      </c>
      <c r="C64" s="25">
        <v>46212.0</v>
      </c>
      <c r="D64" s="26" t="s">
        <v>52</v>
      </c>
      <c r="E64" s="27">
        <v>33.0</v>
      </c>
      <c r="F64" s="27">
        <v>32.0</v>
      </c>
      <c r="G64" s="27">
        <v>7.0</v>
      </c>
      <c r="H64" s="27">
        <v>6.0</v>
      </c>
      <c r="J64" s="28" t="s">
        <v>66</v>
      </c>
      <c r="K64" s="23">
        <v>104.75</v>
      </c>
      <c r="L64" s="23">
        <v>87.6</v>
      </c>
      <c r="M64" s="23">
        <v>0.7</v>
      </c>
      <c r="N64" s="23">
        <v>6.3</v>
      </c>
      <c r="O64" s="23">
        <v>13.09375</v>
      </c>
      <c r="P64" s="23">
        <v>10.95</v>
      </c>
      <c r="Q64" s="23">
        <v>523.75</v>
      </c>
      <c r="R64" s="23">
        <v>438.0</v>
      </c>
      <c r="U64" s="28" t="s">
        <v>66</v>
      </c>
      <c r="V64" s="5">
        <v>2095.0</v>
      </c>
      <c r="W64" s="5">
        <v>1752.0</v>
      </c>
      <c r="X64" s="5">
        <v>14.0</v>
      </c>
      <c r="Y64" s="5">
        <v>126.0</v>
      </c>
      <c r="Z64" s="23"/>
      <c r="AA64" s="23">
        <v>523.75</v>
      </c>
      <c r="AB64" s="23">
        <v>438.0</v>
      </c>
    </row>
    <row r="65" ht="15.75" customHeight="1">
      <c r="A65" s="22" t="str">
        <f t="shared" si="4"/>
        <v>jueves</v>
      </c>
      <c r="B65" s="24" t="str">
        <f t="shared" si="5"/>
        <v>julio</v>
      </c>
      <c r="C65" s="25">
        <v>46212.0</v>
      </c>
      <c r="D65" s="26" t="s">
        <v>53</v>
      </c>
      <c r="E65" s="27">
        <v>56.0</v>
      </c>
      <c r="F65" s="27">
        <v>41.0</v>
      </c>
      <c r="G65" s="27">
        <v>2.0</v>
      </c>
      <c r="H65" s="27">
        <v>1.0</v>
      </c>
      <c r="K65" s="23"/>
      <c r="L65" s="23"/>
      <c r="M65" s="23"/>
      <c r="N65" s="23"/>
      <c r="O65" s="23"/>
      <c r="P65" s="23"/>
      <c r="Q65" s="23"/>
      <c r="R65" s="23"/>
      <c r="V65" s="55"/>
      <c r="W65" s="55"/>
      <c r="X65" s="55"/>
      <c r="Y65" s="55"/>
      <c r="AA65" s="23"/>
      <c r="AB65" s="23"/>
    </row>
    <row r="66" ht="15.75" customHeight="1">
      <c r="A66" s="22" t="str">
        <f t="shared" si="4"/>
        <v>jueves</v>
      </c>
      <c r="B66" s="24" t="str">
        <f t="shared" si="5"/>
        <v>julio</v>
      </c>
      <c r="C66" s="25">
        <v>46212.0</v>
      </c>
      <c r="D66" s="26" t="s">
        <v>64</v>
      </c>
      <c r="E66" s="27">
        <v>162.0</v>
      </c>
      <c r="F66" s="27">
        <v>123.0</v>
      </c>
      <c r="G66" s="27">
        <v>5.0</v>
      </c>
      <c r="H66" s="27">
        <v>16.0</v>
      </c>
      <c r="V66" s="57"/>
      <c r="W66" s="57"/>
      <c r="X66" s="57"/>
      <c r="Y66" s="57"/>
    </row>
    <row r="67" ht="15.75" customHeight="1">
      <c r="A67" s="22" t="str">
        <f t="shared" si="4"/>
        <v>jueves</v>
      </c>
      <c r="B67" s="24" t="str">
        <f t="shared" si="5"/>
        <v>julio</v>
      </c>
      <c r="C67" s="25">
        <v>46212.0</v>
      </c>
      <c r="D67" s="26" t="s">
        <v>65</v>
      </c>
      <c r="E67" s="27">
        <v>66.0</v>
      </c>
      <c r="F67" s="27">
        <v>45.0</v>
      </c>
      <c r="G67" s="27">
        <v>9.0</v>
      </c>
      <c r="H67" s="27">
        <v>5.0</v>
      </c>
      <c r="J67" s="5" t="s">
        <v>91</v>
      </c>
    </row>
    <row r="68" ht="15.75" customHeight="1">
      <c r="A68" s="22" t="str">
        <f t="shared" si="4"/>
        <v>jueves</v>
      </c>
      <c r="B68" s="24" t="str">
        <f t="shared" si="5"/>
        <v>julio</v>
      </c>
      <c r="C68" s="25">
        <v>46212.0</v>
      </c>
      <c r="D68" s="26" t="s">
        <v>66</v>
      </c>
      <c r="E68" s="27">
        <v>74.0</v>
      </c>
      <c r="F68" s="27">
        <v>45.0</v>
      </c>
      <c r="G68" s="27">
        <v>3.0</v>
      </c>
      <c r="H68" s="27">
        <v>4.0</v>
      </c>
      <c r="V68" s="44"/>
    </row>
    <row r="69" ht="15.75" customHeight="1">
      <c r="A69" s="22" t="str">
        <f t="shared" si="4"/>
        <v>viernes</v>
      </c>
      <c r="B69" s="24" t="str">
        <f t="shared" si="5"/>
        <v>julio</v>
      </c>
      <c r="C69" s="25">
        <v>46213.0</v>
      </c>
      <c r="D69" s="26" t="s">
        <v>40</v>
      </c>
      <c r="E69" s="27">
        <v>59.0</v>
      </c>
      <c r="F69" s="27">
        <v>30.0</v>
      </c>
      <c r="G69" s="27">
        <v>8.0</v>
      </c>
      <c r="H69" s="27">
        <v>10.0</v>
      </c>
      <c r="V69" s="47"/>
      <c r="W69" s="47"/>
      <c r="X69" s="48"/>
      <c r="Y69" s="47"/>
    </row>
    <row r="70" ht="15.75" customHeight="1">
      <c r="A70" s="22" t="str">
        <f t="shared" si="4"/>
        <v>viernes</v>
      </c>
      <c r="B70" s="24" t="str">
        <f t="shared" si="5"/>
        <v>julio</v>
      </c>
      <c r="C70" s="25">
        <v>46213.0</v>
      </c>
      <c r="D70" s="26" t="s">
        <v>51</v>
      </c>
      <c r="E70" s="27">
        <v>90.0</v>
      </c>
      <c r="F70" s="27">
        <v>78.0</v>
      </c>
      <c r="G70" s="27">
        <v>3.0</v>
      </c>
      <c r="H70" s="27">
        <v>14.0</v>
      </c>
      <c r="V70" s="23"/>
      <c r="W70" s="23"/>
      <c r="X70" s="23"/>
      <c r="Y70" s="23"/>
    </row>
    <row r="71" ht="15.75" customHeight="1">
      <c r="A71" s="22" t="str">
        <f t="shared" si="4"/>
        <v>viernes</v>
      </c>
      <c r="B71" s="24" t="str">
        <f t="shared" si="5"/>
        <v>julio</v>
      </c>
      <c r="C71" s="25">
        <v>46213.0</v>
      </c>
      <c r="D71" s="26" t="s">
        <v>58</v>
      </c>
      <c r="E71" s="27">
        <v>64.0</v>
      </c>
      <c r="F71" s="27">
        <v>35.0</v>
      </c>
      <c r="G71" s="27">
        <v>3.0</v>
      </c>
      <c r="H71" s="27">
        <v>6.0</v>
      </c>
      <c r="V71" s="23"/>
      <c r="W71" s="23"/>
      <c r="X71" s="23"/>
      <c r="Y71" s="23"/>
    </row>
    <row r="72" ht="15.75" customHeight="1">
      <c r="A72" s="22" t="str">
        <f t="shared" si="4"/>
        <v>viernes</v>
      </c>
      <c r="B72" s="24" t="str">
        <f t="shared" si="5"/>
        <v>julio</v>
      </c>
      <c r="C72" s="25">
        <v>46213.0</v>
      </c>
      <c r="D72" s="26" t="s">
        <v>52</v>
      </c>
      <c r="E72" s="27">
        <v>47.0</v>
      </c>
      <c r="F72" s="27">
        <v>37.0</v>
      </c>
      <c r="G72" s="27">
        <v>6.0</v>
      </c>
      <c r="H72" s="27">
        <v>11.0</v>
      </c>
      <c r="V72" s="23"/>
      <c r="W72" s="23"/>
      <c r="X72" s="23"/>
      <c r="Y72" s="23"/>
    </row>
    <row r="73" ht="15.75" customHeight="1">
      <c r="A73" s="22" t="str">
        <f t="shared" si="4"/>
        <v>viernes</v>
      </c>
      <c r="B73" s="24" t="str">
        <f t="shared" si="5"/>
        <v>julio</v>
      </c>
      <c r="C73" s="25">
        <v>46213.0</v>
      </c>
      <c r="D73" s="26" t="s">
        <v>64</v>
      </c>
      <c r="E73" s="27">
        <v>142.0</v>
      </c>
      <c r="F73" s="27">
        <v>91.0</v>
      </c>
      <c r="G73" s="27">
        <v>2.0</v>
      </c>
      <c r="H73" s="27">
        <v>7.0</v>
      </c>
      <c r="V73" s="23"/>
      <c r="W73" s="23"/>
      <c r="X73" s="23"/>
      <c r="Y73" s="23"/>
    </row>
    <row r="74" ht="15.75" customHeight="1">
      <c r="A74" s="22" t="str">
        <f t="shared" si="4"/>
        <v>viernes</v>
      </c>
      <c r="B74" s="24" t="str">
        <f t="shared" si="5"/>
        <v>julio</v>
      </c>
      <c r="C74" s="25">
        <v>46213.0</v>
      </c>
      <c r="D74" s="26" t="s">
        <v>65</v>
      </c>
      <c r="E74" s="27">
        <v>71.0</v>
      </c>
      <c r="F74" s="27">
        <v>53.0</v>
      </c>
      <c r="G74" s="27">
        <v>4.0</v>
      </c>
      <c r="H74" s="27">
        <v>1.0</v>
      </c>
      <c r="V74" s="23"/>
      <c r="W74" s="23"/>
      <c r="X74" s="23"/>
      <c r="Y74" s="23"/>
    </row>
    <row r="75" ht="15.75" customHeight="1">
      <c r="A75" s="22" t="str">
        <f t="shared" si="4"/>
        <v>viernes</v>
      </c>
      <c r="B75" s="24" t="str">
        <f t="shared" si="5"/>
        <v>julio</v>
      </c>
      <c r="C75" s="25">
        <v>46213.0</v>
      </c>
      <c r="D75" s="26" t="s">
        <v>87</v>
      </c>
      <c r="E75" s="27">
        <v>154.0</v>
      </c>
      <c r="F75" s="27">
        <v>94.0</v>
      </c>
      <c r="G75" s="27">
        <v>0.0</v>
      </c>
      <c r="H75" s="27">
        <v>6.0</v>
      </c>
      <c r="V75" s="23"/>
      <c r="W75" s="23"/>
      <c r="X75" s="23"/>
      <c r="Y75" s="23"/>
    </row>
    <row r="76" ht="15.75" customHeight="1">
      <c r="A76" s="22" t="str">
        <f t="shared" si="4"/>
        <v>sábado</v>
      </c>
      <c r="B76" s="24" t="str">
        <f t="shared" si="5"/>
        <v>julio</v>
      </c>
      <c r="C76" s="25">
        <v>46214.0</v>
      </c>
      <c r="D76" s="26" t="s">
        <v>40</v>
      </c>
      <c r="E76" s="27">
        <v>55.0</v>
      </c>
      <c r="F76" s="27">
        <v>27.0</v>
      </c>
      <c r="G76" s="27">
        <v>4.0</v>
      </c>
      <c r="H76" s="27">
        <v>7.0</v>
      </c>
      <c r="V76" s="23"/>
      <c r="W76" s="23"/>
      <c r="X76" s="23"/>
      <c r="Y76" s="23"/>
    </row>
    <row r="77" ht="15.75" customHeight="1">
      <c r="A77" s="22" t="str">
        <f t="shared" si="4"/>
        <v>sábado</v>
      </c>
      <c r="B77" s="24" t="str">
        <f t="shared" si="5"/>
        <v>julio</v>
      </c>
      <c r="C77" s="25">
        <v>46214.0</v>
      </c>
      <c r="D77" s="22" t="s">
        <v>43</v>
      </c>
      <c r="E77" s="27">
        <v>66.0</v>
      </c>
      <c r="F77" s="27">
        <v>43.0</v>
      </c>
      <c r="G77" s="27">
        <v>3.0</v>
      </c>
      <c r="H77" s="27">
        <v>10.0</v>
      </c>
      <c r="V77" s="23"/>
      <c r="W77" s="23"/>
      <c r="X77" s="23"/>
      <c r="Y77" s="23"/>
    </row>
    <row r="78" ht="15.75" customHeight="1">
      <c r="A78" s="22" t="str">
        <f t="shared" si="4"/>
        <v>sábado</v>
      </c>
      <c r="B78" s="24" t="str">
        <f t="shared" si="5"/>
        <v>julio</v>
      </c>
      <c r="C78" s="25">
        <v>46214.0</v>
      </c>
      <c r="D78" s="26" t="s">
        <v>51</v>
      </c>
      <c r="E78" s="27">
        <v>88.0</v>
      </c>
      <c r="F78" s="27">
        <v>77.0</v>
      </c>
      <c r="G78" s="27">
        <v>1.0</v>
      </c>
      <c r="H78" s="27">
        <v>9.0</v>
      </c>
      <c r="V78" s="23"/>
      <c r="W78" s="23"/>
      <c r="X78" s="23"/>
      <c r="Y78" s="23"/>
    </row>
    <row r="79" ht="15.75" customHeight="1">
      <c r="A79" s="22" t="str">
        <f t="shared" si="4"/>
        <v>sábado</v>
      </c>
      <c r="B79" s="24" t="str">
        <f t="shared" si="5"/>
        <v>julio</v>
      </c>
      <c r="C79" s="25">
        <v>46214.0</v>
      </c>
      <c r="D79" s="26" t="s">
        <v>52</v>
      </c>
      <c r="E79" s="27">
        <v>41.0</v>
      </c>
      <c r="F79" s="27">
        <v>28.0</v>
      </c>
      <c r="G79" s="27">
        <v>2.0</v>
      </c>
      <c r="H79" s="27">
        <v>1.0</v>
      </c>
    </row>
    <row r="80" ht="15.75" customHeight="1">
      <c r="A80" s="22" t="str">
        <f t="shared" si="4"/>
        <v>sábado</v>
      </c>
      <c r="B80" s="24" t="str">
        <f t="shared" si="5"/>
        <v>julio</v>
      </c>
      <c r="C80" s="25">
        <v>46214.0</v>
      </c>
      <c r="D80" s="26" t="s">
        <v>53</v>
      </c>
      <c r="E80" s="27">
        <v>86.0</v>
      </c>
      <c r="F80" s="27">
        <v>59.0</v>
      </c>
      <c r="G80" s="27">
        <v>1.0</v>
      </c>
      <c r="H80" s="27">
        <v>2.0</v>
      </c>
    </row>
    <row r="81" ht="15.75" customHeight="1">
      <c r="A81" s="22" t="str">
        <f t="shared" si="4"/>
        <v>sábado</v>
      </c>
      <c r="B81" s="24" t="str">
        <f t="shared" si="5"/>
        <v>julio</v>
      </c>
      <c r="C81" s="25">
        <v>46214.0</v>
      </c>
      <c r="D81" s="26" t="s">
        <v>65</v>
      </c>
      <c r="E81" s="27">
        <v>73.0</v>
      </c>
      <c r="F81" s="27">
        <v>57.0</v>
      </c>
      <c r="G81" s="27">
        <v>2.0</v>
      </c>
      <c r="H81" s="27">
        <v>1.0</v>
      </c>
    </row>
    <row r="82" ht="15.75" customHeight="1">
      <c r="A82" s="22" t="str">
        <f t="shared" si="4"/>
        <v>sábado</v>
      </c>
      <c r="B82" s="24" t="str">
        <f t="shared" si="5"/>
        <v>julio</v>
      </c>
      <c r="C82" s="25">
        <v>46214.0</v>
      </c>
      <c r="D82" s="26" t="s">
        <v>60</v>
      </c>
      <c r="E82" s="27">
        <v>180.0</v>
      </c>
      <c r="F82" s="27">
        <v>152.0</v>
      </c>
      <c r="G82" s="27">
        <v>3.0</v>
      </c>
      <c r="H82" s="27">
        <v>1.0</v>
      </c>
    </row>
    <row r="83" ht="15.75" customHeight="1">
      <c r="A83" s="22" t="str">
        <f t="shared" si="4"/>
        <v>domingo</v>
      </c>
      <c r="B83" s="24" t="str">
        <f t="shared" si="5"/>
        <v>julio</v>
      </c>
      <c r="C83" s="25">
        <v>46215.0</v>
      </c>
      <c r="D83" s="26" t="s">
        <v>40</v>
      </c>
      <c r="E83" s="27">
        <v>125.0</v>
      </c>
      <c r="F83" s="27">
        <v>61.0</v>
      </c>
      <c r="G83" s="27">
        <v>4.0</v>
      </c>
      <c r="H83" s="27">
        <v>7.0</v>
      </c>
    </row>
    <row r="84" ht="15.75" customHeight="1">
      <c r="A84" s="22" t="str">
        <f t="shared" si="4"/>
        <v>domingo</v>
      </c>
      <c r="B84" s="24" t="str">
        <f t="shared" si="5"/>
        <v>julio</v>
      </c>
      <c r="C84" s="25">
        <v>46215.0</v>
      </c>
      <c r="D84" s="22" t="s">
        <v>43</v>
      </c>
      <c r="E84" s="27">
        <v>92.0</v>
      </c>
      <c r="F84" s="27">
        <v>28.0</v>
      </c>
      <c r="G84" s="27">
        <v>3.0</v>
      </c>
      <c r="H84" s="27">
        <v>20.0</v>
      </c>
    </row>
    <row r="85" ht="15.75" customHeight="1">
      <c r="A85" s="22" t="str">
        <f t="shared" si="4"/>
        <v>domingo</v>
      </c>
      <c r="B85" s="24" t="str">
        <f t="shared" si="5"/>
        <v>julio</v>
      </c>
      <c r="C85" s="25">
        <v>46215.0</v>
      </c>
      <c r="D85" s="26" t="s">
        <v>52</v>
      </c>
      <c r="E85" s="27">
        <v>70.0</v>
      </c>
      <c r="F85" s="27">
        <v>39.0</v>
      </c>
      <c r="G85" s="27">
        <v>4.0</v>
      </c>
      <c r="H85" s="27">
        <v>18.0</v>
      </c>
    </row>
    <row r="86" ht="15.75" customHeight="1">
      <c r="A86" s="22" t="str">
        <f t="shared" si="4"/>
        <v>domingo</v>
      </c>
      <c r="B86" s="24" t="str">
        <f t="shared" si="5"/>
        <v>julio</v>
      </c>
      <c r="C86" s="25">
        <v>46215.0</v>
      </c>
      <c r="D86" s="26" t="s">
        <v>53</v>
      </c>
      <c r="E86" s="27">
        <v>111.0</v>
      </c>
      <c r="F86" s="27">
        <v>56.0</v>
      </c>
      <c r="G86" s="27">
        <v>2.0</v>
      </c>
      <c r="H86" s="27">
        <v>3.0</v>
      </c>
    </row>
    <row r="87" ht="15.75" customHeight="1">
      <c r="A87" s="22" t="str">
        <f t="shared" si="4"/>
        <v>domingo</v>
      </c>
      <c r="B87" s="24" t="str">
        <f t="shared" si="5"/>
        <v>julio</v>
      </c>
      <c r="C87" s="25">
        <v>46215.0</v>
      </c>
      <c r="D87" s="26" t="s">
        <v>60</v>
      </c>
      <c r="E87" s="27">
        <v>223.0</v>
      </c>
      <c r="F87" s="27">
        <v>151.0</v>
      </c>
      <c r="G87" s="27">
        <v>4.0</v>
      </c>
      <c r="H87" s="27">
        <v>3.0</v>
      </c>
    </row>
    <row r="88" ht="15.75" customHeight="1">
      <c r="A88" s="22" t="str">
        <f t="shared" si="4"/>
        <v>lunes</v>
      </c>
      <c r="B88" s="24" t="str">
        <f t="shared" si="5"/>
        <v>julio</v>
      </c>
      <c r="C88" s="25">
        <v>46216.0</v>
      </c>
      <c r="D88" s="26" t="s">
        <v>39</v>
      </c>
      <c r="E88" s="27">
        <v>75.0</v>
      </c>
      <c r="F88" s="27">
        <v>53.0</v>
      </c>
      <c r="G88" s="27">
        <v>1.0</v>
      </c>
      <c r="H88" s="27">
        <v>2.0</v>
      </c>
    </row>
    <row r="89" ht="15.75" customHeight="1">
      <c r="A89" s="22" t="str">
        <f t="shared" si="4"/>
        <v>lunes</v>
      </c>
      <c r="B89" s="24" t="str">
        <f t="shared" si="5"/>
        <v>julio</v>
      </c>
      <c r="C89" s="25">
        <v>46216.0</v>
      </c>
      <c r="D89" s="26" t="s">
        <v>42</v>
      </c>
      <c r="E89" s="27">
        <v>87.0</v>
      </c>
      <c r="F89" s="27">
        <v>49.0</v>
      </c>
      <c r="G89" s="27">
        <v>3.0</v>
      </c>
      <c r="H89" s="27">
        <v>13.0</v>
      </c>
    </row>
    <row r="90" ht="15.75" customHeight="1">
      <c r="A90" s="22" t="str">
        <f t="shared" si="4"/>
        <v>lunes</v>
      </c>
      <c r="B90" s="24" t="str">
        <f t="shared" si="5"/>
        <v>julio</v>
      </c>
      <c r="C90" s="25">
        <v>46216.0</v>
      </c>
      <c r="D90" s="26" t="s">
        <v>44</v>
      </c>
      <c r="E90" s="27">
        <v>30.0</v>
      </c>
      <c r="F90" s="27">
        <v>35.0</v>
      </c>
      <c r="G90" s="27">
        <v>3.0</v>
      </c>
      <c r="H90" s="27">
        <v>0.0</v>
      </c>
    </row>
    <row r="91" ht="15.75" customHeight="1">
      <c r="A91" s="22" t="str">
        <f t="shared" si="4"/>
        <v>lunes</v>
      </c>
      <c r="B91" s="24" t="str">
        <f t="shared" si="5"/>
        <v>julio</v>
      </c>
      <c r="C91" s="25">
        <v>46216.0</v>
      </c>
      <c r="D91" s="26" t="s">
        <v>67</v>
      </c>
      <c r="E91" s="27">
        <v>57.0</v>
      </c>
      <c r="F91" s="27">
        <v>44.0</v>
      </c>
      <c r="G91" s="27">
        <v>3.0</v>
      </c>
      <c r="H91" s="27">
        <v>3.0</v>
      </c>
    </row>
    <row r="92" ht="15.75" customHeight="1">
      <c r="A92" s="22" t="str">
        <f t="shared" si="4"/>
        <v>lunes</v>
      </c>
      <c r="B92" s="24" t="str">
        <f t="shared" si="5"/>
        <v>julio</v>
      </c>
      <c r="C92" s="25">
        <v>46216.0</v>
      </c>
      <c r="D92" s="26" t="s">
        <v>58</v>
      </c>
      <c r="E92" s="27">
        <v>73.0</v>
      </c>
      <c r="F92" s="27">
        <v>47.0</v>
      </c>
      <c r="G92" s="27">
        <v>4.0</v>
      </c>
      <c r="H92" s="27">
        <v>6.0</v>
      </c>
    </row>
    <row r="93" ht="15.75" customHeight="1">
      <c r="A93" s="22" t="str">
        <f t="shared" si="4"/>
        <v>lunes</v>
      </c>
      <c r="B93" s="24" t="str">
        <f t="shared" si="5"/>
        <v>julio</v>
      </c>
      <c r="C93" s="25">
        <v>46216.0</v>
      </c>
      <c r="D93" s="26" t="s">
        <v>64</v>
      </c>
      <c r="E93" s="27">
        <v>92.0</v>
      </c>
      <c r="F93" s="27">
        <v>65.0</v>
      </c>
      <c r="G93" s="27">
        <v>5.0</v>
      </c>
      <c r="H93" s="27">
        <v>10.0</v>
      </c>
    </row>
    <row r="94" ht="15.75" customHeight="1">
      <c r="A94" s="22" t="str">
        <f t="shared" si="4"/>
        <v>lunes</v>
      </c>
      <c r="B94" s="24" t="str">
        <f t="shared" si="5"/>
        <v>julio</v>
      </c>
      <c r="C94" s="25">
        <v>46216.0</v>
      </c>
      <c r="D94" s="26" t="s">
        <v>65</v>
      </c>
      <c r="E94" s="27">
        <v>90.0</v>
      </c>
      <c r="F94" s="27">
        <v>77.0</v>
      </c>
      <c r="G94" s="27">
        <v>3.0</v>
      </c>
      <c r="H94" s="27">
        <v>0.0</v>
      </c>
    </row>
    <row r="95" ht="15.75" customHeight="1">
      <c r="A95" s="22" t="str">
        <f t="shared" si="4"/>
        <v>lunes</v>
      </c>
      <c r="B95" s="24" t="str">
        <f t="shared" si="5"/>
        <v>julio</v>
      </c>
      <c r="C95" s="25">
        <v>46216.0</v>
      </c>
      <c r="D95" s="26" t="s">
        <v>60</v>
      </c>
      <c r="E95" s="27">
        <v>71.0</v>
      </c>
      <c r="F95" s="27">
        <v>23.0</v>
      </c>
      <c r="G95" s="27">
        <v>2.0</v>
      </c>
      <c r="H95" s="27">
        <v>17.0</v>
      </c>
    </row>
    <row r="96" ht="15.75" customHeight="1">
      <c r="A96" s="22" t="str">
        <f t="shared" si="4"/>
        <v>lunes</v>
      </c>
      <c r="B96" s="24" t="str">
        <f t="shared" si="5"/>
        <v>julio</v>
      </c>
      <c r="C96" s="25">
        <v>46216.0</v>
      </c>
      <c r="D96" s="26" t="s">
        <v>66</v>
      </c>
      <c r="E96" s="27">
        <v>91.0</v>
      </c>
      <c r="F96" s="27">
        <v>68.0</v>
      </c>
      <c r="G96" s="27">
        <v>1.0</v>
      </c>
      <c r="H96" s="27">
        <v>3.0</v>
      </c>
    </row>
    <row r="97" ht="15.75" customHeight="1">
      <c r="A97" s="22" t="str">
        <f t="shared" si="4"/>
        <v>martes</v>
      </c>
      <c r="B97" s="24" t="str">
        <f t="shared" si="5"/>
        <v>julio</v>
      </c>
      <c r="C97" s="25">
        <v>46217.0</v>
      </c>
      <c r="D97" s="26" t="s">
        <v>39</v>
      </c>
      <c r="E97" s="27">
        <v>88.0</v>
      </c>
      <c r="F97" s="27">
        <v>64.0</v>
      </c>
      <c r="G97" s="27">
        <v>0.0</v>
      </c>
      <c r="H97" s="27">
        <v>11.0</v>
      </c>
    </row>
    <row r="98" ht="15.75" customHeight="1">
      <c r="A98" s="22" t="str">
        <f t="shared" si="4"/>
        <v>martes</v>
      </c>
      <c r="B98" s="24" t="str">
        <f t="shared" si="5"/>
        <v>julio</v>
      </c>
      <c r="C98" s="25">
        <v>46217.0</v>
      </c>
      <c r="D98" s="26" t="s">
        <v>42</v>
      </c>
      <c r="E98" s="27">
        <v>93.0</v>
      </c>
      <c r="F98" s="27">
        <v>42.0</v>
      </c>
      <c r="G98" s="27">
        <v>2.0</v>
      </c>
      <c r="H98" s="27">
        <v>6.0</v>
      </c>
    </row>
    <row r="99" ht="15.75" customHeight="1">
      <c r="A99" s="22" t="str">
        <f t="shared" si="4"/>
        <v>martes</v>
      </c>
      <c r="B99" s="24" t="str">
        <f t="shared" si="5"/>
        <v>julio</v>
      </c>
      <c r="C99" s="25">
        <v>46217.0</v>
      </c>
      <c r="D99" s="22" t="s">
        <v>46</v>
      </c>
      <c r="E99" s="27">
        <v>61.0</v>
      </c>
      <c r="F99" s="27">
        <v>27.0</v>
      </c>
      <c r="G99" s="27">
        <v>3.0</v>
      </c>
      <c r="H99" s="27">
        <v>1.0</v>
      </c>
    </row>
    <row r="100" ht="15.75" customHeight="1">
      <c r="A100" s="22" t="str">
        <f t="shared" si="4"/>
        <v>martes</v>
      </c>
      <c r="B100" s="24" t="str">
        <f t="shared" si="5"/>
        <v>julio</v>
      </c>
      <c r="C100" s="25">
        <v>46217.0</v>
      </c>
      <c r="D100" s="26" t="s">
        <v>67</v>
      </c>
      <c r="E100" s="27">
        <v>78.0</v>
      </c>
      <c r="F100" s="27">
        <v>64.0</v>
      </c>
      <c r="G100" s="27">
        <v>4.0</v>
      </c>
      <c r="H100" s="27">
        <v>4.0</v>
      </c>
    </row>
    <row r="101" ht="15.75" customHeight="1">
      <c r="A101" s="22" t="str">
        <f t="shared" si="4"/>
        <v>martes</v>
      </c>
      <c r="B101" s="24" t="str">
        <f t="shared" si="5"/>
        <v>julio</v>
      </c>
      <c r="C101" s="25">
        <v>46217.0</v>
      </c>
      <c r="D101" s="26" t="s">
        <v>58</v>
      </c>
      <c r="E101" s="27">
        <v>68.0</v>
      </c>
      <c r="F101" s="27">
        <v>40.0</v>
      </c>
      <c r="G101" s="27">
        <v>4.0</v>
      </c>
      <c r="H101" s="27">
        <v>7.0</v>
      </c>
    </row>
    <row r="102" ht="15.75" customHeight="1">
      <c r="A102" s="22" t="str">
        <f t="shared" si="4"/>
        <v>martes</v>
      </c>
      <c r="B102" s="24" t="str">
        <f t="shared" si="5"/>
        <v>julio</v>
      </c>
      <c r="C102" s="25">
        <v>46217.0</v>
      </c>
      <c r="D102" s="26" t="s">
        <v>64</v>
      </c>
      <c r="E102" s="27">
        <v>109.0</v>
      </c>
      <c r="F102" s="27">
        <v>75.0</v>
      </c>
      <c r="G102" s="27">
        <v>7.0</v>
      </c>
      <c r="H102" s="27">
        <v>10.0</v>
      </c>
    </row>
    <row r="103" ht="15.75" customHeight="1">
      <c r="A103" s="22" t="str">
        <f t="shared" si="4"/>
        <v>martes</v>
      </c>
      <c r="B103" s="24" t="str">
        <f t="shared" si="5"/>
        <v>julio</v>
      </c>
      <c r="C103" s="25">
        <v>46217.0</v>
      </c>
      <c r="D103" s="26" t="s">
        <v>65</v>
      </c>
      <c r="E103" s="27">
        <v>68.0</v>
      </c>
      <c r="F103" s="27">
        <v>59.0</v>
      </c>
      <c r="G103" s="27">
        <v>4.0</v>
      </c>
      <c r="H103" s="27">
        <v>3.0</v>
      </c>
    </row>
    <row r="104" ht="15.75" customHeight="1">
      <c r="A104" s="22" t="str">
        <f t="shared" si="4"/>
        <v>martes</v>
      </c>
      <c r="B104" s="24" t="str">
        <f t="shared" si="5"/>
        <v>julio</v>
      </c>
      <c r="C104" s="25">
        <v>46217.0</v>
      </c>
      <c r="D104" s="26" t="s">
        <v>66</v>
      </c>
      <c r="E104" s="27">
        <v>65.0</v>
      </c>
      <c r="F104" s="27">
        <v>48.0</v>
      </c>
      <c r="G104" s="27">
        <v>1.0</v>
      </c>
      <c r="H104" s="27">
        <v>1.0</v>
      </c>
    </row>
    <row r="105" ht="15.75" customHeight="1">
      <c r="A105" s="22" t="str">
        <f t="shared" si="4"/>
        <v>miércoles</v>
      </c>
      <c r="B105" s="24" t="str">
        <f t="shared" si="5"/>
        <v>julio</v>
      </c>
      <c r="C105" s="25">
        <v>46218.0</v>
      </c>
      <c r="D105" s="26" t="s">
        <v>39</v>
      </c>
      <c r="E105" s="27">
        <v>86.0</v>
      </c>
      <c r="F105" s="27">
        <v>64.0</v>
      </c>
      <c r="G105" s="27">
        <v>0.0</v>
      </c>
      <c r="H105" s="27">
        <v>3.0</v>
      </c>
    </row>
    <row r="106" ht="15.75" customHeight="1">
      <c r="A106" s="22" t="str">
        <f t="shared" si="4"/>
        <v>miércoles</v>
      </c>
      <c r="B106" s="24" t="str">
        <f t="shared" si="5"/>
        <v>julio</v>
      </c>
      <c r="C106" s="25">
        <v>46218.0</v>
      </c>
      <c r="D106" s="26" t="s">
        <v>41</v>
      </c>
      <c r="E106" s="27">
        <v>92.0</v>
      </c>
      <c r="F106" s="27">
        <v>65.0</v>
      </c>
      <c r="G106" s="27">
        <v>3.0</v>
      </c>
      <c r="H106" s="27">
        <v>4.0</v>
      </c>
    </row>
    <row r="107" ht="15.75" customHeight="1">
      <c r="A107" s="22" t="str">
        <f t="shared" si="4"/>
        <v>miércoles</v>
      </c>
      <c r="B107" s="24" t="str">
        <f t="shared" si="5"/>
        <v>julio</v>
      </c>
      <c r="C107" s="25">
        <v>46218.0</v>
      </c>
      <c r="D107" s="26" t="s">
        <v>42</v>
      </c>
      <c r="E107" s="27">
        <v>72.0</v>
      </c>
      <c r="F107" s="27">
        <v>35.0</v>
      </c>
      <c r="G107" s="27">
        <v>3.0</v>
      </c>
      <c r="H107" s="27">
        <v>8.0</v>
      </c>
    </row>
    <row r="108" ht="15.75" customHeight="1">
      <c r="A108" s="22" t="str">
        <f t="shared" si="4"/>
        <v>miércoles</v>
      </c>
      <c r="B108" s="24" t="str">
        <f t="shared" si="5"/>
        <v>julio</v>
      </c>
      <c r="C108" s="25">
        <v>46218.0</v>
      </c>
      <c r="D108" s="26" t="s">
        <v>51</v>
      </c>
      <c r="E108" s="27">
        <v>153.0</v>
      </c>
      <c r="F108" s="27">
        <v>117.0</v>
      </c>
      <c r="G108" s="27">
        <v>1.0</v>
      </c>
      <c r="H108" s="27">
        <v>17.0</v>
      </c>
    </row>
    <row r="109" ht="15.75" customHeight="1">
      <c r="A109" s="22" t="str">
        <f t="shared" si="4"/>
        <v>miércoles</v>
      </c>
      <c r="B109" s="24" t="str">
        <f t="shared" si="5"/>
        <v>julio</v>
      </c>
      <c r="C109" s="25">
        <v>46218.0</v>
      </c>
      <c r="D109" s="22" t="s">
        <v>46</v>
      </c>
      <c r="E109" s="27">
        <v>92.0</v>
      </c>
      <c r="F109" s="27">
        <v>41.0</v>
      </c>
      <c r="G109" s="27">
        <v>2.0</v>
      </c>
      <c r="H109" s="27">
        <v>5.0</v>
      </c>
    </row>
    <row r="110" ht="15.75" customHeight="1">
      <c r="A110" s="22" t="str">
        <f t="shared" si="4"/>
        <v>miércoles</v>
      </c>
      <c r="B110" s="24" t="str">
        <f t="shared" si="5"/>
        <v>julio</v>
      </c>
      <c r="C110" s="25">
        <v>46218.0</v>
      </c>
      <c r="D110" s="26" t="s">
        <v>67</v>
      </c>
      <c r="E110" s="27">
        <v>88.0</v>
      </c>
      <c r="F110" s="27">
        <v>69.0</v>
      </c>
      <c r="G110" s="27">
        <v>4.0</v>
      </c>
      <c r="H110" s="27">
        <v>4.0</v>
      </c>
    </row>
    <row r="111" ht="15.75" customHeight="1">
      <c r="A111" s="22" t="str">
        <f t="shared" si="4"/>
        <v>miércoles</v>
      </c>
      <c r="B111" s="24" t="str">
        <f t="shared" si="5"/>
        <v>julio</v>
      </c>
      <c r="C111" s="25">
        <v>46218.0</v>
      </c>
      <c r="D111" s="26" t="s">
        <v>58</v>
      </c>
      <c r="E111" s="27">
        <v>87.0</v>
      </c>
      <c r="F111" s="27">
        <v>46.0</v>
      </c>
      <c r="G111" s="27">
        <v>3.0</v>
      </c>
      <c r="H111" s="27">
        <v>3.0</v>
      </c>
    </row>
    <row r="112" ht="15.75" customHeight="1">
      <c r="A112" s="22" t="str">
        <f t="shared" si="4"/>
        <v>miércoles</v>
      </c>
      <c r="B112" s="24" t="str">
        <f t="shared" si="5"/>
        <v>julio</v>
      </c>
      <c r="C112" s="25">
        <v>46218.0</v>
      </c>
      <c r="D112" s="26" t="s">
        <v>64</v>
      </c>
      <c r="E112" s="27">
        <v>118.0</v>
      </c>
      <c r="F112" s="27">
        <v>78.0</v>
      </c>
      <c r="G112" s="27">
        <v>5.0</v>
      </c>
      <c r="H112" s="27">
        <v>7.0</v>
      </c>
    </row>
    <row r="113" ht="15.75" customHeight="1">
      <c r="A113" s="22" t="str">
        <f t="shared" si="4"/>
        <v>miércoles</v>
      </c>
      <c r="B113" s="24" t="str">
        <f t="shared" si="5"/>
        <v>julio</v>
      </c>
      <c r="C113" s="25">
        <v>46218.0</v>
      </c>
      <c r="D113" s="26" t="s">
        <v>65</v>
      </c>
      <c r="E113" s="27">
        <v>72.0</v>
      </c>
      <c r="F113" s="27">
        <v>54.0</v>
      </c>
      <c r="G113" s="27">
        <v>4.0</v>
      </c>
      <c r="H113" s="27">
        <v>1.0</v>
      </c>
    </row>
    <row r="114" ht="15.75" customHeight="1">
      <c r="A114" s="22" t="str">
        <f t="shared" si="4"/>
        <v>miércoles</v>
      </c>
      <c r="B114" s="24" t="str">
        <f t="shared" si="5"/>
        <v>julio</v>
      </c>
      <c r="C114" s="25">
        <v>46218.0</v>
      </c>
      <c r="D114" s="26" t="s">
        <v>66</v>
      </c>
      <c r="E114" s="27">
        <v>117.0</v>
      </c>
      <c r="F114" s="27">
        <v>77.0</v>
      </c>
      <c r="G114" s="27">
        <v>1.0</v>
      </c>
      <c r="H114" s="27">
        <v>0.0</v>
      </c>
    </row>
    <row r="115" ht="15.75" customHeight="1">
      <c r="A115" s="22" t="str">
        <f t="shared" si="4"/>
        <v>jueves</v>
      </c>
      <c r="B115" s="24" t="str">
        <f t="shared" si="5"/>
        <v>julio</v>
      </c>
      <c r="C115" s="25">
        <v>46219.0</v>
      </c>
      <c r="D115" s="26" t="s">
        <v>40</v>
      </c>
      <c r="E115" s="27">
        <v>88.0</v>
      </c>
      <c r="F115" s="27">
        <v>49.0</v>
      </c>
      <c r="G115" s="27">
        <v>3.0</v>
      </c>
      <c r="H115" s="27">
        <v>11.0</v>
      </c>
    </row>
    <row r="116" ht="15.75" customHeight="1">
      <c r="A116" s="22" t="str">
        <f t="shared" si="4"/>
        <v>jueves</v>
      </c>
      <c r="B116" s="24" t="str">
        <f t="shared" si="5"/>
        <v>julio</v>
      </c>
      <c r="C116" s="25">
        <v>46219.0</v>
      </c>
      <c r="D116" s="26" t="s">
        <v>41</v>
      </c>
      <c r="E116" s="27">
        <v>75.0</v>
      </c>
      <c r="F116" s="27">
        <v>55.0</v>
      </c>
      <c r="G116" s="27">
        <v>1.0</v>
      </c>
      <c r="H116" s="27">
        <v>0.0</v>
      </c>
    </row>
    <row r="117" ht="15.75" customHeight="1">
      <c r="A117" s="22" t="str">
        <f t="shared" si="4"/>
        <v>jueves</v>
      </c>
      <c r="B117" s="24" t="str">
        <f t="shared" si="5"/>
        <v>julio</v>
      </c>
      <c r="C117" s="25">
        <v>46219.0</v>
      </c>
      <c r="D117" s="26" t="s">
        <v>42</v>
      </c>
      <c r="E117" s="27">
        <v>76.0</v>
      </c>
      <c r="F117" s="27">
        <v>55.0</v>
      </c>
      <c r="G117" s="27">
        <v>3.0</v>
      </c>
      <c r="H117" s="27">
        <v>5.0</v>
      </c>
    </row>
    <row r="118" ht="15.75" customHeight="1">
      <c r="A118" s="22" t="str">
        <f t="shared" si="4"/>
        <v>jueves</v>
      </c>
      <c r="B118" s="24" t="str">
        <f t="shared" si="5"/>
        <v>julio</v>
      </c>
      <c r="C118" s="25">
        <v>46219.0</v>
      </c>
      <c r="D118" s="26" t="s">
        <v>51</v>
      </c>
      <c r="E118" s="27">
        <v>59.0</v>
      </c>
      <c r="F118" s="27">
        <v>43.0</v>
      </c>
      <c r="G118" s="27">
        <v>3.0</v>
      </c>
      <c r="H118" s="27">
        <v>4.0</v>
      </c>
    </row>
    <row r="119" ht="15.75" customHeight="1">
      <c r="A119" s="22" t="str">
        <f t="shared" si="4"/>
        <v>jueves</v>
      </c>
      <c r="B119" s="24" t="str">
        <f t="shared" si="5"/>
        <v>julio</v>
      </c>
      <c r="C119" s="25">
        <v>46219.0</v>
      </c>
      <c r="D119" s="26" t="s">
        <v>67</v>
      </c>
      <c r="E119" s="27">
        <v>45.0</v>
      </c>
      <c r="F119" s="27">
        <v>41.0</v>
      </c>
      <c r="G119" s="27">
        <v>3.0</v>
      </c>
      <c r="H119" s="27">
        <v>0.0</v>
      </c>
    </row>
    <row r="120" ht="15.75" customHeight="1">
      <c r="A120" s="22" t="str">
        <f t="shared" si="4"/>
        <v>jueves</v>
      </c>
      <c r="B120" s="24" t="str">
        <f t="shared" si="5"/>
        <v>julio</v>
      </c>
      <c r="C120" s="25">
        <v>46219.0</v>
      </c>
      <c r="D120" s="26" t="s">
        <v>58</v>
      </c>
      <c r="E120" s="27">
        <v>55.0</v>
      </c>
      <c r="F120" s="27">
        <v>33.0</v>
      </c>
      <c r="G120" s="27">
        <v>3.0</v>
      </c>
      <c r="H120" s="27">
        <v>3.0</v>
      </c>
    </row>
    <row r="121" ht="15.75" customHeight="1">
      <c r="A121" s="22" t="str">
        <f t="shared" si="4"/>
        <v>jueves</v>
      </c>
      <c r="B121" s="24" t="str">
        <f t="shared" si="5"/>
        <v>julio</v>
      </c>
      <c r="C121" s="25">
        <v>46219.0</v>
      </c>
      <c r="D121" s="26" t="s">
        <v>52</v>
      </c>
      <c r="E121" s="27">
        <v>52.0</v>
      </c>
      <c r="F121" s="27">
        <v>41.0</v>
      </c>
      <c r="G121" s="27">
        <v>2.0</v>
      </c>
      <c r="H121" s="27">
        <v>5.0</v>
      </c>
      <c r="J121" s="22"/>
      <c r="K121" s="24"/>
      <c r="L121" s="37"/>
    </row>
    <row r="122" ht="15.75" customHeight="1">
      <c r="A122" s="22" t="str">
        <f t="shared" si="4"/>
        <v>jueves</v>
      </c>
      <c r="B122" s="24" t="str">
        <f t="shared" si="5"/>
        <v>julio</v>
      </c>
      <c r="C122" s="25">
        <v>46219.0</v>
      </c>
      <c r="D122" s="26" t="s">
        <v>53</v>
      </c>
      <c r="E122" s="27">
        <v>72.0</v>
      </c>
      <c r="F122" s="27">
        <v>56.0</v>
      </c>
      <c r="G122" s="27">
        <v>1.0</v>
      </c>
      <c r="H122" s="27">
        <v>0.0</v>
      </c>
      <c r="J122" s="22"/>
      <c r="K122" s="24"/>
      <c r="L122" s="37"/>
    </row>
    <row r="123" ht="15.75" customHeight="1">
      <c r="A123" s="22" t="str">
        <f t="shared" si="4"/>
        <v>jueves</v>
      </c>
      <c r="B123" s="24" t="str">
        <f t="shared" si="5"/>
        <v>julio</v>
      </c>
      <c r="C123" s="25">
        <v>46219.0</v>
      </c>
      <c r="D123" s="26" t="s">
        <v>64</v>
      </c>
      <c r="E123" s="27">
        <v>115.0</v>
      </c>
      <c r="F123" s="27">
        <v>81.0</v>
      </c>
      <c r="G123" s="27">
        <v>4.0</v>
      </c>
      <c r="H123" s="27">
        <v>6.0</v>
      </c>
      <c r="J123" s="22"/>
      <c r="K123" s="24"/>
      <c r="L123" s="37"/>
    </row>
    <row r="124" ht="15.75" customHeight="1">
      <c r="A124" s="22" t="str">
        <f t="shared" si="4"/>
        <v>jueves</v>
      </c>
      <c r="B124" s="24" t="str">
        <f t="shared" si="5"/>
        <v>julio</v>
      </c>
      <c r="C124" s="25">
        <v>46219.0</v>
      </c>
      <c r="D124" s="26" t="s">
        <v>65</v>
      </c>
      <c r="E124" s="27">
        <v>56.0</v>
      </c>
      <c r="F124" s="27">
        <v>46.0</v>
      </c>
      <c r="G124" s="27">
        <v>3.0</v>
      </c>
      <c r="H124" s="27">
        <v>0.0</v>
      </c>
      <c r="J124" s="22"/>
      <c r="K124" s="24"/>
      <c r="L124" s="37"/>
    </row>
    <row r="125" ht="15.75" customHeight="1">
      <c r="A125" s="22" t="str">
        <f t="shared" si="4"/>
        <v>jueves</v>
      </c>
      <c r="B125" s="24" t="str">
        <f t="shared" si="5"/>
        <v>julio</v>
      </c>
      <c r="C125" s="25">
        <v>46219.0</v>
      </c>
      <c r="D125" s="26" t="s">
        <v>66</v>
      </c>
      <c r="E125" s="27">
        <v>118.0</v>
      </c>
      <c r="F125" s="27">
        <v>99.0</v>
      </c>
      <c r="G125" s="27">
        <v>0.0</v>
      </c>
      <c r="H125" s="27">
        <v>3.0</v>
      </c>
      <c r="J125" s="22"/>
      <c r="K125" s="24"/>
      <c r="L125" s="37"/>
    </row>
    <row r="126" ht="15.75" customHeight="1">
      <c r="A126" s="22" t="str">
        <f t="shared" si="4"/>
        <v>viernes</v>
      </c>
      <c r="B126" s="24" t="str">
        <f t="shared" si="5"/>
        <v>julio</v>
      </c>
      <c r="C126" s="25">
        <v>46220.0</v>
      </c>
      <c r="D126" s="26" t="s">
        <v>40</v>
      </c>
      <c r="E126" s="27">
        <v>56.0</v>
      </c>
      <c r="F126" s="27">
        <v>31.0</v>
      </c>
      <c r="G126" s="27">
        <v>7.0</v>
      </c>
      <c r="H126" s="27">
        <v>4.0</v>
      </c>
      <c r="J126" s="22"/>
      <c r="K126" s="24"/>
      <c r="L126" s="37"/>
    </row>
    <row r="127" ht="15.75" customHeight="1">
      <c r="A127" s="22" t="str">
        <f t="shared" si="4"/>
        <v>viernes</v>
      </c>
      <c r="B127" s="24" t="str">
        <f t="shared" si="5"/>
        <v>julio</v>
      </c>
      <c r="C127" s="25">
        <v>46220.0</v>
      </c>
      <c r="D127" s="26" t="s">
        <v>51</v>
      </c>
      <c r="E127" s="27">
        <v>85.0</v>
      </c>
      <c r="F127" s="27">
        <v>68.0</v>
      </c>
      <c r="G127" s="27">
        <v>1.0</v>
      </c>
      <c r="H127" s="27">
        <v>11.0</v>
      </c>
      <c r="J127" s="22"/>
      <c r="K127" s="24"/>
      <c r="L127" s="37"/>
    </row>
    <row r="128" ht="15.75" customHeight="1">
      <c r="A128" s="22" t="str">
        <f t="shared" si="4"/>
        <v>viernes</v>
      </c>
      <c r="B128" s="24" t="str">
        <f t="shared" si="5"/>
        <v>julio</v>
      </c>
      <c r="C128" s="25">
        <v>46220.0</v>
      </c>
      <c r="D128" s="26" t="s">
        <v>58</v>
      </c>
      <c r="E128" s="27">
        <v>56.0</v>
      </c>
      <c r="F128" s="27">
        <v>39.0</v>
      </c>
      <c r="G128" s="27">
        <v>5.0</v>
      </c>
      <c r="H128" s="27">
        <v>4.0</v>
      </c>
      <c r="J128" s="22"/>
      <c r="K128" s="24"/>
      <c r="L128" s="37"/>
    </row>
    <row r="129" ht="15.75" customHeight="1">
      <c r="A129" s="22" t="str">
        <f t="shared" si="4"/>
        <v>viernes</v>
      </c>
      <c r="B129" s="24" t="str">
        <f t="shared" si="5"/>
        <v>julio</v>
      </c>
      <c r="C129" s="25">
        <v>46220.0</v>
      </c>
      <c r="D129" s="26" t="s">
        <v>52</v>
      </c>
      <c r="E129" s="27">
        <v>61.0</v>
      </c>
      <c r="F129" s="27">
        <v>46.0</v>
      </c>
      <c r="G129" s="27">
        <v>3.0</v>
      </c>
      <c r="H129" s="27">
        <v>2.0</v>
      </c>
      <c r="J129" s="22"/>
      <c r="K129" s="24"/>
      <c r="L129" s="37"/>
    </row>
    <row r="130" ht="15.75" customHeight="1">
      <c r="A130" s="22" t="str">
        <f t="shared" si="4"/>
        <v>viernes</v>
      </c>
      <c r="B130" s="24" t="str">
        <f t="shared" si="5"/>
        <v>julio</v>
      </c>
      <c r="C130" s="25">
        <v>46220.0</v>
      </c>
      <c r="D130" s="26" t="s">
        <v>53</v>
      </c>
      <c r="E130" s="27">
        <v>33.0</v>
      </c>
      <c r="F130" s="27">
        <v>10.0</v>
      </c>
      <c r="G130" s="27">
        <v>1.0</v>
      </c>
      <c r="H130" s="27">
        <v>0.0</v>
      </c>
      <c r="J130" s="22"/>
      <c r="K130" s="24"/>
      <c r="L130" s="37"/>
    </row>
    <row r="131" ht="15.75" customHeight="1">
      <c r="A131" s="22" t="str">
        <f t="shared" si="4"/>
        <v>viernes</v>
      </c>
      <c r="B131" s="24" t="str">
        <f t="shared" si="5"/>
        <v>julio</v>
      </c>
      <c r="C131" s="25">
        <v>46220.0</v>
      </c>
      <c r="D131" s="26" t="s">
        <v>64</v>
      </c>
      <c r="E131" s="27">
        <v>110.0</v>
      </c>
      <c r="F131" s="27">
        <v>69.0</v>
      </c>
      <c r="G131" s="27">
        <v>3.0</v>
      </c>
      <c r="H131" s="27">
        <v>2.0</v>
      </c>
      <c r="J131" s="22"/>
      <c r="K131" s="24"/>
      <c r="L131" s="37"/>
    </row>
    <row r="132" ht="15.75" customHeight="1">
      <c r="A132" s="22" t="str">
        <f t="shared" si="4"/>
        <v>viernes</v>
      </c>
      <c r="B132" s="24" t="str">
        <f t="shared" si="5"/>
        <v>julio</v>
      </c>
      <c r="C132" s="25">
        <v>46220.0</v>
      </c>
      <c r="D132" s="26" t="s">
        <v>65</v>
      </c>
      <c r="E132" s="27">
        <v>66.0</v>
      </c>
      <c r="F132" s="27">
        <v>53.0</v>
      </c>
      <c r="G132" s="27">
        <v>6.0</v>
      </c>
      <c r="H132" s="27">
        <v>1.0</v>
      </c>
      <c r="J132" s="22"/>
      <c r="K132" s="24"/>
      <c r="L132" s="37"/>
    </row>
    <row r="133" ht="15.75" customHeight="1">
      <c r="A133" s="22" t="str">
        <f t="shared" si="4"/>
        <v>viernes</v>
      </c>
      <c r="B133" s="24" t="str">
        <f t="shared" si="5"/>
        <v>julio</v>
      </c>
      <c r="C133" s="25">
        <v>46220.0</v>
      </c>
      <c r="D133" s="26" t="s">
        <v>87</v>
      </c>
      <c r="E133" s="27">
        <v>166.0</v>
      </c>
      <c r="F133" s="27">
        <v>143.0</v>
      </c>
      <c r="G133" s="27">
        <v>2.0</v>
      </c>
      <c r="H133" s="27">
        <v>6.0</v>
      </c>
      <c r="J133" s="22"/>
      <c r="K133" s="24"/>
      <c r="L133" s="37"/>
    </row>
    <row r="134" ht="15.75" customHeight="1">
      <c r="A134" s="22" t="str">
        <f t="shared" si="4"/>
        <v>sábado</v>
      </c>
      <c r="B134" s="24" t="str">
        <f t="shared" si="5"/>
        <v>julio</v>
      </c>
      <c r="C134" s="25">
        <v>46221.0</v>
      </c>
      <c r="D134" s="26" t="s">
        <v>40</v>
      </c>
      <c r="E134" s="27">
        <v>76.0</v>
      </c>
      <c r="F134" s="27">
        <v>53.0</v>
      </c>
      <c r="G134" s="27">
        <v>0.0</v>
      </c>
      <c r="H134" s="27">
        <v>5.0</v>
      </c>
      <c r="J134" s="22"/>
      <c r="K134" s="24"/>
      <c r="L134" s="37"/>
    </row>
    <row r="135" ht="15.75" customHeight="1">
      <c r="A135" s="22" t="str">
        <f t="shared" si="4"/>
        <v>sábado</v>
      </c>
      <c r="B135" s="24" t="str">
        <f t="shared" si="5"/>
        <v>julio</v>
      </c>
      <c r="C135" s="25">
        <v>46221.0</v>
      </c>
      <c r="D135" s="22" t="s">
        <v>43</v>
      </c>
      <c r="E135" s="27">
        <v>79.0</v>
      </c>
      <c r="F135" s="27">
        <v>39.0</v>
      </c>
      <c r="G135" s="27">
        <v>3.0</v>
      </c>
      <c r="H135" s="27">
        <v>5.0</v>
      </c>
      <c r="J135" s="22"/>
      <c r="K135" s="24"/>
      <c r="L135" s="37"/>
    </row>
    <row r="136" ht="15.75" customHeight="1">
      <c r="A136" s="22" t="str">
        <f t="shared" si="4"/>
        <v>sábado</v>
      </c>
      <c r="B136" s="24" t="str">
        <f t="shared" si="5"/>
        <v>julio</v>
      </c>
      <c r="C136" s="25">
        <v>46221.0</v>
      </c>
      <c r="D136" s="26" t="s">
        <v>51</v>
      </c>
      <c r="E136" s="27">
        <v>53.0</v>
      </c>
      <c r="F136" s="27">
        <v>44.0</v>
      </c>
      <c r="G136" s="27">
        <v>2.0</v>
      </c>
      <c r="H136" s="27">
        <v>3.0</v>
      </c>
      <c r="J136" s="22"/>
      <c r="K136" s="24"/>
      <c r="L136" s="37"/>
    </row>
    <row r="137" ht="15.75" customHeight="1">
      <c r="A137" s="22" t="str">
        <f t="shared" si="4"/>
        <v>sábado</v>
      </c>
      <c r="B137" s="24" t="str">
        <f t="shared" si="5"/>
        <v>julio</v>
      </c>
      <c r="C137" s="25">
        <v>46221.0</v>
      </c>
      <c r="D137" s="26" t="s">
        <v>52</v>
      </c>
      <c r="E137" s="27">
        <v>61.0</v>
      </c>
      <c r="F137" s="27">
        <v>38.0</v>
      </c>
      <c r="G137" s="27">
        <v>3.0</v>
      </c>
      <c r="H137" s="27">
        <v>5.0</v>
      </c>
      <c r="J137" s="22"/>
      <c r="K137" s="24"/>
      <c r="L137" s="37"/>
    </row>
    <row r="138" ht="15.75" customHeight="1">
      <c r="A138" s="22" t="str">
        <f t="shared" si="4"/>
        <v>sábado</v>
      </c>
      <c r="B138" s="24" t="str">
        <f t="shared" si="5"/>
        <v>julio</v>
      </c>
      <c r="C138" s="25">
        <v>46221.0</v>
      </c>
      <c r="D138" s="26" t="s">
        <v>53</v>
      </c>
      <c r="E138" s="27">
        <v>100.0</v>
      </c>
      <c r="F138" s="27">
        <v>66.0</v>
      </c>
      <c r="G138" s="27">
        <v>3.0</v>
      </c>
      <c r="H138" s="27">
        <v>0.0</v>
      </c>
      <c r="J138" s="22"/>
      <c r="K138" s="24"/>
      <c r="L138" s="37"/>
    </row>
    <row r="139" ht="15.75" customHeight="1">
      <c r="A139" s="22" t="str">
        <f t="shared" si="4"/>
        <v>sábado</v>
      </c>
      <c r="B139" s="24" t="str">
        <f t="shared" si="5"/>
        <v>julio</v>
      </c>
      <c r="C139" s="25">
        <v>46221.0</v>
      </c>
      <c r="D139" s="26" t="s">
        <v>60</v>
      </c>
      <c r="E139" s="27">
        <v>257.0</v>
      </c>
      <c r="F139" s="27">
        <v>234.0</v>
      </c>
      <c r="G139" s="27">
        <v>1.0</v>
      </c>
      <c r="H139" s="27">
        <v>7.0</v>
      </c>
      <c r="J139" s="22"/>
      <c r="K139" s="24"/>
      <c r="L139" s="37"/>
    </row>
    <row r="140" ht="15.75" customHeight="1">
      <c r="A140" s="22" t="str">
        <f t="shared" si="4"/>
        <v>domingo</v>
      </c>
      <c r="B140" s="24" t="str">
        <f t="shared" si="5"/>
        <v>julio</v>
      </c>
      <c r="C140" s="25">
        <v>46222.0</v>
      </c>
      <c r="D140" s="26" t="s">
        <v>39</v>
      </c>
      <c r="E140" s="27">
        <v>108.0</v>
      </c>
      <c r="F140" s="27">
        <v>70.0</v>
      </c>
      <c r="G140" s="27">
        <v>0.0</v>
      </c>
      <c r="H140" s="27">
        <v>0.0</v>
      </c>
      <c r="J140" s="22"/>
      <c r="K140" s="24"/>
      <c r="L140" s="37"/>
    </row>
    <row r="141" ht="15.75" customHeight="1">
      <c r="A141" s="22" t="str">
        <f t="shared" si="4"/>
        <v>domingo</v>
      </c>
      <c r="B141" s="24" t="str">
        <f t="shared" si="5"/>
        <v>julio</v>
      </c>
      <c r="C141" s="25">
        <v>46222.0</v>
      </c>
      <c r="D141" s="26" t="s">
        <v>40</v>
      </c>
      <c r="E141" s="27">
        <v>84.0</v>
      </c>
      <c r="F141" s="27">
        <v>45.0</v>
      </c>
      <c r="G141" s="27">
        <v>5.0</v>
      </c>
      <c r="H141" s="27">
        <v>6.0</v>
      </c>
      <c r="J141" s="22"/>
      <c r="K141" s="24"/>
      <c r="L141" s="37"/>
    </row>
    <row r="142" ht="15.75" customHeight="1">
      <c r="A142" s="22" t="str">
        <f t="shared" si="4"/>
        <v>domingo</v>
      </c>
      <c r="B142" s="24" t="str">
        <f t="shared" si="5"/>
        <v>julio</v>
      </c>
      <c r="C142" s="25">
        <v>46222.0</v>
      </c>
      <c r="D142" s="22" t="s">
        <v>43</v>
      </c>
      <c r="E142" s="27">
        <v>80.0</v>
      </c>
      <c r="F142" s="27">
        <v>41.0</v>
      </c>
      <c r="G142" s="27">
        <v>4.0</v>
      </c>
      <c r="H142" s="27">
        <v>10.0</v>
      </c>
      <c r="J142" s="22"/>
      <c r="K142" s="24"/>
      <c r="L142" s="37"/>
    </row>
    <row r="143" ht="15.75" customHeight="1">
      <c r="A143" s="22" t="str">
        <f t="shared" si="4"/>
        <v>domingo</v>
      </c>
      <c r="B143" s="24" t="str">
        <f t="shared" si="5"/>
        <v>julio</v>
      </c>
      <c r="C143" s="25">
        <v>46222.0</v>
      </c>
      <c r="D143" s="22" t="s">
        <v>46</v>
      </c>
      <c r="E143" s="27">
        <v>181.0</v>
      </c>
      <c r="F143" s="27">
        <v>111.0</v>
      </c>
      <c r="G143" s="27">
        <v>7.0</v>
      </c>
      <c r="H143" s="27">
        <v>15.0</v>
      </c>
      <c r="J143" s="22"/>
      <c r="K143" s="24"/>
      <c r="L143" s="37"/>
    </row>
    <row r="144" ht="15.75" customHeight="1">
      <c r="A144" s="22" t="str">
        <f t="shared" si="4"/>
        <v>domingo</v>
      </c>
      <c r="B144" s="24" t="str">
        <f t="shared" si="5"/>
        <v>julio</v>
      </c>
      <c r="C144" s="25">
        <v>46222.0</v>
      </c>
      <c r="D144" s="26" t="s">
        <v>52</v>
      </c>
      <c r="E144" s="27">
        <v>90.0</v>
      </c>
      <c r="F144" s="27">
        <v>61.0</v>
      </c>
      <c r="G144" s="27">
        <v>4.0</v>
      </c>
      <c r="H144" s="27">
        <v>7.0</v>
      </c>
      <c r="J144" s="22"/>
      <c r="K144" s="24"/>
      <c r="L144" s="37"/>
    </row>
    <row r="145" ht="15.75" customHeight="1">
      <c r="A145" s="22" t="str">
        <f t="shared" si="4"/>
        <v>domingo</v>
      </c>
      <c r="B145" s="24" t="str">
        <f t="shared" si="5"/>
        <v>julio</v>
      </c>
      <c r="C145" s="25">
        <v>46222.0</v>
      </c>
      <c r="D145" s="26" t="s">
        <v>53</v>
      </c>
      <c r="E145" s="27">
        <v>119.0</v>
      </c>
      <c r="F145" s="27">
        <v>72.0</v>
      </c>
      <c r="G145" s="27">
        <v>3.0</v>
      </c>
      <c r="H145" s="27">
        <v>5.0</v>
      </c>
      <c r="J145" s="22"/>
      <c r="K145" s="24"/>
      <c r="L145" s="37"/>
    </row>
    <row r="146" ht="15.75" customHeight="1">
      <c r="A146" s="22" t="str">
        <f t="shared" si="4"/>
        <v>domingo</v>
      </c>
      <c r="B146" s="24" t="str">
        <f t="shared" si="5"/>
        <v>julio</v>
      </c>
      <c r="C146" s="25">
        <v>46222.0</v>
      </c>
      <c r="D146" s="26" t="s">
        <v>60</v>
      </c>
      <c r="E146" s="27">
        <v>236.0</v>
      </c>
      <c r="F146" s="27">
        <v>209.0</v>
      </c>
      <c r="G146" s="27">
        <v>4.0</v>
      </c>
      <c r="H146" s="27">
        <v>0.0</v>
      </c>
      <c r="J146" s="22"/>
      <c r="K146" s="24"/>
      <c r="L146" s="37"/>
    </row>
    <row r="147" ht="15.75" customHeight="1">
      <c r="A147" s="22" t="str">
        <f t="shared" si="4"/>
        <v>lunes</v>
      </c>
      <c r="B147" s="24" t="str">
        <f t="shared" si="5"/>
        <v>julio</v>
      </c>
      <c r="C147" s="25">
        <v>46223.0</v>
      </c>
      <c r="D147" s="26" t="s">
        <v>39</v>
      </c>
      <c r="E147" s="27">
        <v>64.0</v>
      </c>
      <c r="F147" s="27">
        <v>49.0</v>
      </c>
      <c r="G147" s="27">
        <v>0.0</v>
      </c>
      <c r="H147" s="27">
        <v>8.0</v>
      </c>
      <c r="J147" s="22"/>
      <c r="K147" s="24"/>
      <c r="L147" s="37"/>
    </row>
    <row r="148" ht="15.75" customHeight="1">
      <c r="A148" s="22" t="str">
        <f t="shared" si="4"/>
        <v>lunes</v>
      </c>
      <c r="B148" s="24" t="str">
        <f t="shared" si="5"/>
        <v>julio</v>
      </c>
      <c r="C148" s="25">
        <v>46223.0</v>
      </c>
      <c r="D148" s="26" t="s">
        <v>41</v>
      </c>
      <c r="E148" s="27">
        <v>103.0</v>
      </c>
      <c r="F148" s="27">
        <v>58.0</v>
      </c>
      <c r="G148" s="27">
        <v>0.0</v>
      </c>
      <c r="H148" s="27">
        <v>0.0</v>
      </c>
      <c r="J148" s="22"/>
      <c r="K148" s="24"/>
      <c r="L148" s="37"/>
    </row>
    <row r="149" ht="15.75" customHeight="1">
      <c r="A149" s="22" t="str">
        <f t="shared" si="4"/>
        <v>lunes</v>
      </c>
      <c r="B149" s="24" t="str">
        <f t="shared" si="5"/>
        <v>julio</v>
      </c>
      <c r="C149" s="25">
        <v>46223.0</v>
      </c>
      <c r="D149" s="26" t="s">
        <v>42</v>
      </c>
      <c r="E149" s="27">
        <v>89.0</v>
      </c>
      <c r="F149" s="27">
        <v>54.0</v>
      </c>
      <c r="G149" s="27">
        <v>4.0</v>
      </c>
      <c r="H149" s="27">
        <v>9.0</v>
      </c>
      <c r="J149" s="22"/>
      <c r="K149" s="24"/>
      <c r="L149" s="37"/>
    </row>
    <row r="150" ht="15.75" customHeight="1">
      <c r="A150" s="22" t="str">
        <f t="shared" si="4"/>
        <v>lunes</v>
      </c>
      <c r="B150" s="24" t="str">
        <f t="shared" si="5"/>
        <v>julio</v>
      </c>
      <c r="C150" s="25">
        <v>46223.0</v>
      </c>
      <c r="D150" s="26" t="s">
        <v>44</v>
      </c>
      <c r="E150" s="27">
        <v>67.0</v>
      </c>
      <c r="F150" s="27">
        <v>61.0</v>
      </c>
      <c r="G150" s="27">
        <v>0.0</v>
      </c>
      <c r="H150" s="27">
        <v>0.0</v>
      </c>
      <c r="J150" s="22"/>
      <c r="K150" s="24"/>
      <c r="L150" s="37"/>
    </row>
    <row r="151" ht="15.75" customHeight="1">
      <c r="A151" s="22" t="str">
        <f t="shared" si="4"/>
        <v>lunes</v>
      </c>
      <c r="B151" s="24" t="str">
        <f t="shared" si="5"/>
        <v>julio</v>
      </c>
      <c r="C151" s="25">
        <v>46223.0</v>
      </c>
      <c r="D151" s="22" t="s">
        <v>46</v>
      </c>
      <c r="E151" s="27">
        <v>101.0</v>
      </c>
      <c r="F151" s="27">
        <v>50.0</v>
      </c>
      <c r="G151" s="27">
        <v>6.0</v>
      </c>
      <c r="H151" s="27">
        <v>19.0</v>
      </c>
      <c r="J151" s="22"/>
      <c r="K151" s="24"/>
      <c r="L151" s="37"/>
    </row>
    <row r="152" ht="15.75" customHeight="1">
      <c r="A152" s="22" t="str">
        <f t="shared" si="4"/>
        <v>lunes</v>
      </c>
      <c r="B152" s="24" t="str">
        <f t="shared" si="5"/>
        <v>julio</v>
      </c>
      <c r="C152" s="25">
        <v>46223.0</v>
      </c>
      <c r="D152" s="26" t="s">
        <v>67</v>
      </c>
      <c r="E152" s="27">
        <v>50.0</v>
      </c>
      <c r="F152" s="27">
        <v>35.0</v>
      </c>
      <c r="G152" s="27">
        <v>3.0</v>
      </c>
      <c r="H152" s="27">
        <v>7.0</v>
      </c>
      <c r="J152" s="22"/>
      <c r="K152" s="24"/>
      <c r="L152" s="37"/>
    </row>
    <row r="153" ht="15.75" customHeight="1">
      <c r="A153" s="22" t="str">
        <f t="shared" si="4"/>
        <v>lunes</v>
      </c>
      <c r="B153" s="24" t="str">
        <f t="shared" si="5"/>
        <v>julio</v>
      </c>
      <c r="C153" s="25">
        <v>46223.0</v>
      </c>
      <c r="D153" s="26" t="s">
        <v>58</v>
      </c>
      <c r="E153" s="27">
        <v>64.0</v>
      </c>
      <c r="F153" s="27">
        <v>42.0</v>
      </c>
      <c r="G153" s="27">
        <v>3.0</v>
      </c>
      <c r="H153" s="27">
        <v>9.0</v>
      </c>
      <c r="J153" s="22"/>
      <c r="K153" s="24"/>
      <c r="L153" s="37"/>
    </row>
    <row r="154" ht="15.75" customHeight="1">
      <c r="A154" s="22" t="str">
        <f t="shared" si="4"/>
        <v>lunes</v>
      </c>
      <c r="B154" s="24" t="str">
        <f t="shared" si="5"/>
        <v>julio</v>
      </c>
      <c r="C154" s="25">
        <v>46223.0</v>
      </c>
      <c r="D154" s="26" t="s">
        <v>64</v>
      </c>
      <c r="E154" s="27">
        <v>120.0</v>
      </c>
      <c r="F154" s="27">
        <v>73.0</v>
      </c>
      <c r="G154" s="27">
        <v>6.0</v>
      </c>
      <c r="H154" s="27">
        <v>1.0</v>
      </c>
      <c r="J154" s="22"/>
      <c r="K154" s="24"/>
      <c r="L154" s="37"/>
    </row>
    <row r="155" ht="15.75" customHeight="1">
      <c r="A155" s="22" t="str">
        <f t="shared" si="4"/>
        <v>lunes</v>
      </c>
      <c r="B155" s="24" t="str">
        <f t="shared" si="5"/>
        <v>julio</v>
      </c>
      <c r="C155" s="25">
        <v>46223.0</v>
      </c>
      <c r="D155" s="26" t="s">
        <v>65</v>
      </c>
      <c r="E155" s="27">
        <v>85.0</v>
      </c>
      <c r="F155" s="27">
        <v>70.0</v>
      </c>
      <c r="G155" s="27">
        <v>4.0</v>
      </c>
      <c r="H155" s="27">
        <v>1.0</v>
      </c>
      <c r="J155" s="22"/>
      <c r="K155" s="24"/>
      <c r="L155" s="37"/>
    </row>
    <row r="156" ht="15.75" customHeight="1">
      <c r="A156" s="22" t="str">
        <f t="shared" si="4"/>
        <v>lunes</v>
      </c>
      <c r="B156" s="24" t="str">
        <f t="shared" si="5"/>
        <v>julio</v>
      </c>
      <c r="C156" s="25">
        <v>46223.0</v>
      </c>
      <c r="D156" s="26" t="s">
        <v>60</v>
      </c>
      <c r="E156" s="27">
        <v>73.0</v>
      </c>
      <c r="F156" s="27">
        <v>27.0</v>
      </c>
      <c r="G156" s="27">
        <v>2.0</v>
      </c>
      <c r="H156" s="27">
        <v>5.0</v>
      </c>
      <c r="J156" s="22"/>
      <c r="K156" s="24"/>
      <c r="L156" s="37"/>
    </row>
    <row r="157" ht="15.75" customHeight="1">
      <c r="A157" s="22" t="str">
        <f t="shared" si="4"/>
        <v>lunes</v>
      </c>
      <c r="B157" s="24" t="str">
        <f t="shared" si="5"/>
        <v>julio</v>
      </c>
      <c r="C157" s="25">
        <v>46223.0</v>
      </c>
      <c r="D157" s="26" t="s">
        <v>66</v>
      </c>
      <c r="E157" s="27">
        <v>129.0</v>
      </c>
      <c r="F157" s="27">
        <v>114.0</v>
      </c>
      <c r="G157" s="27">
        <v>0.0</v>
      </c>
      <c r="H157" s="27">
        <v>2.0</v>
      </c>
      <c r="J157" s="22"/>
      <c r="K157" s="24"/>
      <c r="L157" s="37"/>
    </row>
    <row r="158" ht="15.75" customHeight="1">
      <c r="A158" s="22" t="str">
        <f t="shared" si="4"/>
        <v>martes</v>
      </c>
      <c r="B158" s="24" t="str">
        <f t="shared" si="5"/>
        <v>julio</v>
      </c>
      <c r="C158" s="25">
        <v>46224.0</v>
      </c>
      <c r="D158" s="26" t="s">
        <v>39</v>
      </c>
      <c r="E158" s="27">
        <v>62.0</v>
      </c>
      <c r="F158" s="27">
        <v>42.0</v>
      </c>
      <c r="G158" s="27">
        <v>0.0</v>
      </c>
      <c r="H158" s="27">
        <v>4.0</v>
      </c>
      <c r="J158" s="22"/>
      <c r="K158" s="24"/>
      <c r="L158" s="37"/>
    </row>
    <row r="159" ht="15.75" customHeight="1">
      <c r="A159" s="22" t="str">
        <f t="shared" si="4"/>
        <v>martes</v>
      </c>
      <c r="B159" s="24" t="str">
        <f t="shared" si="5"/>
        <v>julio</v>
      </c>
      <c r="C159" s="25">
        <v>46224.0</v>
      </c>
      <c r="D159" s="26" t="s">
        <v>41</v>
      </c>
      <c r="E159" s="27">
        <v>76.0</v>
      </c>
      <c r="F159" s="27">
        <v>65.0</v>
      </c>
      <c r="G159" s="27">
        <v>2.0</v>
      </c>
      <c r="H159" s="27">
        <v>1.0</v>
      </c>
      <c r="J159" s="22"/>
      <c r="K159" s="24"/>
      <c r="L159" s="37"/>
    </row>
    <row r="160" ht="15.75" customHeight="1">
      <c r="A160" s="22" t="str">
        <f t="shared" si="4"/>
        <v>martes</v>
      </c>
      <c r="B160" s="24" t="str">
        <f t="shared" si="5"/>
        <v>julio</v>
      </c>
      <c r="C160" s="25">
        <v>46224.0</v>
      </c>
      <c r="D160" s="26" t="s">
        <v>42</v>
      </c>
      <c r="E160" s="27">
        <v>102.0</v>
      </c>
      <c r="F160" s="27">
        <v>69.0</v>
      </c>
      <c r="G160" s="27">
        <v>4.0</v>
      </c>
      <c r="H160" s="27">
        <v>9.0</v>
      </c>
      <c r="J160" s="22"/>
      <c r="K160" s="24"/>
      <c r="L160" s="37"/>
    </row>
    <row r="161" ht="15.75" customHeight="1">
      <c r="A161" s="22" t="str">
        <f t="shared" si="4"/>
        <v>martes</v>
      </c>
      <c r="B161" s="24" t="str">
        <f t="shared" si="5"/>
        <v>julio</v>
      </c>
      <c r="C161" s="25">
        <v>46224.0</v>
      </c>
      <c r="D161" s="22" t="s">
        <v>83</v>
      </c>
      <c r="E161" s="27">
        <v>72.0</v>
      </c>
      <c r="F161" s="27">
        <v>41.0</v>
      </c>
      <c r="G161" s="27">
        <v>1.0</v>
      </c>
      <c r="H161" s="27">
        <v>10.0</v>
      </c>
      <c r="J161" s="22"/>
      <c r="K161" s="24"/>
      <c r="L161" s="37"/>
    </row>
    <row r="162" ht="15.75" customHeight="1">
      <c r="A162" s="22" t="str">
        <f t="shared" si="4"/>
        <v>martes</v>
      </c>
      <c r="B162" s="24" t="str">
        <f t="shared" si="5"/>
        <v>julio</v>
      </c>
      <c r="C162" s="25">
        <v>46224.0</v>
      </c>
      <c r="D162" s="22" t="s">
        <v>84</v>
      </c>
      <c r="E162" s="27">
        <v>107.0</v>
      </c>
      <c r="F162" s="27">
        <v>55.0</v>
      </c>
      <c r="G162" s="27">
        <v>2.0</v>
      </c>
      <c r="H162" s="27">
        <v>12.0</v>
      </c>
      <c r="J162" s="22"/>
      <c r="K162" s="24"/>
      <c r="L162" s="37"/>
    </row>
    <row r="163" ht="15.75" customHeight="1">
      <c r="A163" s="22" t="str">
        <f t="shared" si="4"/>
        <v>martes</v>
      </c>
      <c r="B163" s="24" t="str">
        <f t="shared" si="5"/>
        <v>julio</v>
      </c>
      <c r="C163" s="25">
        <v>46224.0</v>
      </c>
      <c r="D163" s="26" t="s">
        <v>67</v>
      </c>
      <c r="E163" s="27">
        <v>61.0</v>
      </c>
      <c r="F163" s="27">
        <v>46.0</v>
      </c>
      <c r="G163" s="27">
        <v>4.0</v>
      </c>
      <c r="H163" s="27">
        <v>8.0</v>
      </c>
      <c r="J163" s="22"/>
      <c r="K163" s="24"/>
      <c r="L163" s="37"/>
    </row>
    <row r="164" ht="15.75" customHeight="1">
      <c r="A164" s="22" t="str">
        <f t="shared" si="4"/>
        <v>martes</v>
      </c>
      <c r="B164" s="24" t="str">
        <f t="shared" si="5"/>
        <v>julio</v>
      </c>
      <c r="C164" s="25">
        <v>46224.0</v>
      </c>
      <c r="D164" s="26" t="s">
        <v>58</v>
      </c>
      <c r="E164" s="27">
        <v>66.0</v>
      </c>
      <c r="F164" s="27">
        <v>36.0</v>
      </c>
      <c r="G164" s="27">
        <v>3.0</v>
      </c>
      <c r="H164" s="27">
        <v>1.0</v>
      </c>
      <c r="J164" s="22"/>
      <c r="K164" s="24"/>
      <c r="L164" s="37"/>
    </row>
    <row r="165" ht="15.75" customHeight="1">
      <c r="A165" s="22" t="str">
        <f t="shared" si="4"/>
        <v>martes</v>
      </c>
      <c r="B165" s="24" t="str">
        <f t="shared" si="5"/>
        <v>julio</v>
      </c>
      <c r="C165" s="25">
        <v>46224.0</v>
      </c>
      <c r="D165" s="26" t="s">
        <v>64</v>
      </c>
      <c r="E165" s="27">
        <v>128.0</v>
      </c>
      <c r="F165" s="27">
        <v>81.0</v>
      </c>
      <c r="G165" s="27">
        <v>3.0</v>
      </c>
      <c r="H165" s="27">
        <v>14.0</v>
      </c>
      <c r="J165" s="22"/>
      <c r="K165" s="24"/>
      <c r="L165" s="37"/>
    </row>
    <row r="166" ht="15.75" customHeight="1">
      <c r="A166" s="22" t="str">
        <f t="shared" si="4"/>
        <v>martes</v>
      </c>
      <c r="B166" s="24" t="str">
        <f t="shared" si="5"/>
        <v>julio</v>
      </c>
      <c r="C166" s="25">
        <v>46224.0</v>
      </c>
      <c r="D166" s="26" t="s">
        <v>65</v>
      </c>
      <c r="E166" s="27">
        <v>68.0</v>
      </c>
      <c r="F166" s="27">
        <v>56.0</v>
      </c>
      <c r="G166" s="27">
        <v>4.0</v>
      </c>
      <c r="H166" s="27">
        <v>0.0</v>
      </c>
      <c r="J166" s="22"/>
      <c r="K166" s="24"/>
      <c r="L166" s="37"/>
    </row>
    <row r="167" ht="15.75" customHeight="1">
      <c r="A167" s="22" t="str">
        <f t="shared" si="4"/>
        <v>martes</v>
      </c>
      <c r="B167" s="24" t="str">
        <f t="shared" si="5"/>
        <v>julio</v>
      </c>
      <c r="C167" s="25">
        <v>46224.0</v>
      </c>
      <c r="D167" s="26" t="s">
        <v>66</v>
      </c>
      <c r="E167" s="27">
        <v>103.0</v>
      </c>
      <c r="F167" s="27">
        <v>83.0</v>
      </c>
      <c r="G167" s="27">
        <v>0.0</v>
      </c>
      <c r="H167" s="27">
        <v>2.0</v>
      </c>
      <c r="J167" s="22"/>
      <c r="K167" s="24"/>
      <c r="L167" s="37"/>
    </row>
    <row r="168" ht="15.75" customHeight="1">
      <c r="A168" s="22" t="str">
        <f t="shared" si="4"/>
        <v>miércoles</v>
      </c>
      <c r="B168" s="24" t="str">
        <f t="shared" si="5"/>
        <v>julio</v>
      </c>
      <c r="C168" s="25">
        <v>46225.0</v>
      </c>
      <c r="D168" s="26" t="s">
        <v>39</v>
      </c>
      <c r="E168" s="27">
        <v>97.0</v>
      </c>
      <c r="F168" s="27">
        <v>69.0</v>
      </c>
      <c r="G168" s="27">
        <v>0.0</v>
      </c>
      <c r="H168" s="27">
        <v>1.0</v>
      </c>
      <c r="J168" s="22"/>
      <c r="K168" s="24"/>
      <c r="L168" s="37"/>
    </row>
    <row r="169" ht="15.75" customHeight="1">
      <c r="A169" s="22" t="str">
        <f t="shared" si="4"/>
        <v>miércoles</v>
      </c>
      <c r="B169" s="24" t="str">
        <f t="shared" si="5"/>
        <v>julio</v>
      </c>
      <c r="C169" s="25">
        <v>46225.0</v>
      </c>
      <c r="D169" s="26" t="s">
        <v>41</v>
      </c>
      <c r="E169" s="27">
        <v>75.0</v>
      </c>
      <c r="F169" s="27">
        <v>58.0</v>
      </c>
      <c r="G169" s="27">
        <v>2.0</v>
      </c>
      <c r="H169" s="27">
        <v>7.0</v>
      </c>
      <c r="J169" s="22"/>
      <c r="K169" s="24"/>
      <c r="L169" s="37"/>
    </row>
    <row r="170" ht="15.75" customHeight="1">
      <c r="A170" s="22" t="str">
        <f t="shared" si="4"/>
        <v>miércoles</v>
      </c>
      <c r="B170" s="24" t="str">
        <f t="shared" si="5"/>
        <v>julio</v>
      </c>
      <c r="C170" s="25">
        <v>46225.0</v>
      </c>
      <c r="D170" s="26" t="s">
        <v>42</v>
      </c>
      <c r="E170" s="27">
        <v>82.0</v>
      </c>
      <c r="F170" s="27">
        <v>48.0</v>
      </c>
      <c r="G170" s="27">
        <v>1.0</v>
      </c>
      <c r="H170" s="27">
        <v>8.0</v>
      </c>
      <c r="J170" s="22"/>
      <c r="K170" s="24"/>
      <c r="L170" s="37"/>
    </row>
    <row r="171" ht="15.75" customHeight="1">
      <c r="A171" s="22" t="str">
        <f t="shared" si="4"/>
        <v>miércoles</v>
      </c>
      <c r="B171" s="24" t="str">
        <f t="shared" si="5"/>
        <v>julio</v>
      </c>
      <c r="C171" s="25">
        <v>46225.0</v>
      </c>
      <c r="D171" s="26" t="s">
        <v>51</v>
      </c>
      <c r="E171" s="27">
        <v>150.0</v>
      </c>
      <c r="F171" s="27">
        <v>125.0</v>
      </c>
      <c r="G171" s="27">
        <v>3.0</v>
      </c>
      <c r="H171" s="27">
        <v>21.0</v>
      </c>
      <c r="J171" s="22"/>
      <c r="K171" s="24"/>
      <c r="L171" s="37"/>
    </row>
    <row r="172" ht="15.75" customHeight="1">
      <c r="A172" s="22" t="str">
        <f t="shared" si="4"/>
        <v>miércoles</v>
      </c>
      <c r="B172" s="24" t="str">
        <f t="shared" si="5"/>
        <v>julio</v>
      </c>
      <c r="C172" s="25">
        <v>46225.0</v>
      </c>
      <c r="D172" s="22" t="s">
        <v>83</v>
      </c>
      <c r="E172" s="27">
        <v>53.0</v>
      </c>
      <c r="F172" s="27">
        <v>21.0</v>
      </c>
      <c r="G172" s="27">
        <v>2.0</v>
      </c>
      <c r="H172" s="27">
        <v>3.0</v>
      </c>
      <c r="J172" s="22"/>
      <c r="K172" s="24"/>
      <c r="L172" s="37"/>
    </row>
    <row r="173" ht="15.75" customHeight="1">
      <c r="A173" s="22" t="str">
        <f t="shared" si="4"/>
        <v>miércoles</v>
      </c>
      <c r="B173" s="24" t="str">
        <f t="shared" si="5"/>
        <v>julio</v>
      </c>
      <c r="C173" s="25">
        <v>46225.0</v>
      </c>
      <c r="D173" s="26" t="s">
        <v>67</v>
      </c>
      <c r="E173" s="27">
        <v>66.0</v>
      </c>
      <c r="F173" s="27">
        <v>58.0</v>
      </c>
      <c r="G173" s="27">
        <v>2.0</v>
      </c>
      <c r="H173" s="27">
        <v>1.0</v>
      </c>
      <c r="J173" s="22"/>
      <c r="K173" s="24"/>
      <c r="L173" s="37"/>
    </row>
    <row r="174" ht="15.75" customHeight="1">
      <c r="A174" s="22" t="str">
        <f t="shared" si="4"/>
        <v>miércoles</v>
      </c>
      <c r="B174" s="24" t="str">
        <f t="shared" si="5"/>
        <v>julio</v>
      </c>
      <c r="C174" s="25">
        <v>46225.0</v>
      </c>
      <c r="D174" s="26" t="s">
        <v>58</v>
      </c>
      <c r="E174" s="27">
        <v>70.0</v>
      </c>
      <c r="F174" s="27">
        <v>38.0</v>
      </c>
      <c r="G174" s="27">
        <v>9.0</v>
      </c>
      <c r="H174" s="27">
        <v>8.0</v>
      </c>
      <c r="J174" s="22"/>
      <c r="K174" s="24"/>
      <c r="L174" s="37"/>
    </row>
    <row r="175" ht="15.75" customHeight="1">
      <c r="A175" s="22" t="str">
        <f t="shared" si="4"/>
        <v>miércoles</v>
      </c>
      <c r="B175" s="24" t="str">
        <f t="shared" si="5"/>
        <v>julio</v>
      </c>
      <c r="C175" s="25">
        <v>46225.0</v>
      </c>
      <c r="D175" s="26" t="s">
        <v>64</v>
      </c>
      <c r="E175" s="27">
        <v>93.0</v>
      </c>
      <c r="F175" s="27">
        <v>59.0</v>
      </c>
      <c r="G175" s="27">
        <v>6.0</v>
      </c>
      <c r="H175" s="27">
        <v>2.0</v>
      </c>
      <c r="J175" s="22"/>
      <c r="K175" s="24"/>
      <c r="L175" s="37"/>
    </row>
    <row r="176" ht="15.75" customHeight="1">
      <c r="A176" s="22" t="str">
        <f t="shared" si="4"/>
        <v>miércoles</v>
      </c>
      <c r="B176" s="24" t="str">
        <f t="shared" si="5"/>
        <v>julio</v>
      </c>
      <c r="C176" s="25">
        <v>46225.0</v>
      </c>
      <c r="D176" s="26" t="s">
        <v>65</v>
      </c>
      <c r="E176" s="27">
        <v>102.0</v>
      </c>
      <c r="F176" s="27">
        <v>90.0</v>
      </c>
      <c r="G176" s="27">
        <v>1.0</v>
      </c>
      <c r="H176" s="27">
        <v>1.0</v>
      </c>
      <c r="J176" s="22"/>
      <c r="K176" s="24"/>
      <c r="L176" s="37"/>
    </row>
    <row r="177" ht="15.75" customHeight="1">
      <c r="A177" s="22" t="str">
        <f t="shared" si="4"/>
        <v>miércoles</v>
      </c>
      <c r="B177" s="24" t="str">
        <f t="shared" si="5"/>
        <v>julio</v>
      </c>
      <c r="C177" s="25">
        <v>46225.0</v>
      </c>
      <c r="D177" s="26" t="s">
        <v>66</v>
      </c>
      <c r="E177" s="27">
        <v>119.0</v>
      </c>
      <c r="F177" s="27">
        <v>125.0</v>
      </c>
      <c r="G177" s="27">
        <v>1.0</v>
      </c>
      <c r="H177" s="27">
        <v>2.0</v>
      </c>
      <c r="J177" s="22"/>
      <c r="K177" s="24"/>
      <c r="L177" s="37"/>
    </row>
    <row r="178" ht="15.75" customHeight="1">
      <c r="A178" s="22" t="str">
        <f t="shared" si="4"/>
        <v>jueves</v>
      </c>
      <c r="B178" s="24" t="str">
        <f t="shared" si="5"/>
        <v>julio</v>
      </c>
      <c r="C178" s="25">
        <v>46226.0</v>
      </c>
      <c r="D178" s="26" t="s">
        <v>39</v>
      </c>
      <c r="E178" s="27">
        <v>62.0</v>
      </c>
      <c r="F178" s="27">
        <v>53.0</v>
      </c>
      <c r="G178" s="27">
        <v>0.0</v>
      </c>
      <c r="H178" s="27">
        <v>0.0</v>
      </c>
      <c r="J178" s="22"/>
      <c r="K178" s="24"/>
      <c r="L178" s="37"/>
    </row>
    <row r="179" ht="15.75" customHeight="1">
      <c r="A179" s="22" t="str">
        <f t="shared" si="4"/>
        <v>jueves</v>
      </c>
      <c r="B179" s="24" t="str">
        <f t="shared" si="5"/>
        <v>julio</v>
      </c>
      <c r="C179" s="25">
        <v>46226.0</v>
      </c>
      <c r="D179" s="26" t="s">
        <v>41</v>
      </c>
      <c r="E179" s="27">
        <v>94.0</v>
      </c>
      <c r="F179" s="27">
        <v>49.0</v>
      </c>
      <c r="G179" s="27">
        <v>2.0</v>
      </c>
      <c r="H179" s="27">
        <v>5.0</v>
      </c>
      <c r="J179" s="22"/>
      <c r="K179" s="24"/>
      <c r="L179" s="37"/>
    </row>
    <row r="180" ht="15.75" customHeight="1">
      <c r="A180" s="22" t="str">
        <f t="shared" si="4"/>
        <v>jueves</v>
      </c>
      <c r="B180" s="24" t="str">
        <f t="shared" si="5"/>
        <v>julio</v>
      </c>
      <c r="C180" s="25">
        <v>46226.0</v>
      </c>
      <c r="D180" s="26" t="s">
        <v>42</v>
      </c>
      <c r="E180" s="27">
        <v>74.0</v>
      </c>
      <c r="F180" s="27">
        <v>48.0</v>
      </c>
      <c r="G180" s="27">
        <v>2.0</v>
      </c>
      <c r="H180" s="27">
        <v>4.0</v>
      </c>
      <c r="J180" s="22"/>
      <c r="K180" s="24"/>
      <c r="L180" s="37"/>
    </row>
    <row r="181" ht="15.75" customHeight="1">
      <c r="A181" s="22" t="str">
        <f t="shared" si="4"/>
        <v>jueves</v>
      </c>
      <c r="B181" s="24" t="str">
        <f t="shared" si="5"/>
        <v>julio</v>
      </c>
      <c r="C181" s="25">
        <v>46226.0</v>
      </c>
      <c r="D181" s="26" t="s">
        <v>51</v>
      </c>
      <c r="E181" s="27">
        <v>96.0</v>
      </c>
      <c r="F181" s="27">
        <v>77.0</v>
      </c>
      <c r="G181" s="27">
        <v>2.0</v>
      </c>
      <c r="H181" s="27">
        <v>17.0</v>
      </c>
      <c r="J181" s="22"/>
      <c r="K181" s="24"/>
      <c r="L181" s="37"/>
    </row>
    <row r="182" ht="15.75" customHeight="1">
      <c r="A182" s="22" t="str">
        <f t="shared" si="4"/>
        <v>jueves</v>
      </c>
      <c r="B182" s="24" t="str">
        <f t="shared" si="5"/>
        <v>julio</v>
      </c>
      <c r="C182" s="25">
        <v>46226.0</v>
      </c>
      <c r="D182" s="26" t="s">
        <v>67</v>
      </c>
      <c r="E182" s="27">
        <v>63.0</v>
      </c>
      <c r="F182" s="27">
        <v>44.0</v>
      </c>
      <c r="G182" s="27">
        <v>3.0</v>
      </c>
      <c r="H182" s="27">
        <v>7.0</v>
      </c>
    </row>
    <row r="183" ht="15.75" customHeight="1">
      <c r="A183" s="22" t="str">
        <f t="shared" si="4"/>
        <v>jueves</v>
      </c>
      <c r="B183" s="24" t="str">
        <f t="shared" si="5"/>
        <v>julio</v>
      </c>
      <c r="C183" s="25">
        <v>46226.0</v>
      </c>
      <c r="D183" s="26" t="s">
        <v>58</v>
      </c>
      <c r="E183" s="27">
        <v>87.0</v>
      </c>
      <c r="F183" s="27">
        <v>51.0</v>
      </c>
      <c r="G183" s="27">
        <v>3.0</v>
      </c>
      <c r="H183" s="27">
        <v>4.0</v>
      </c>
    </row>
    <row r="184" ht="15.75" customHeight="1">
      <c r="A184" s="22" t="str">
        <f t="shared" si="4"/>
        <v>jueves</v>
      </c>
      <c r="B184" s="24" t="str">
        <f t="shared" si="5"/>
        <v>julio</v>
      </c>
      <c r="C184" s="25">
        <v>46226.0</v>
      </c>
      <c r="D184" s="26" t="s">
        <v>52</v>
      </c>
      <c r="E184" s="27">
        <v>37.0</v>
      </c>
      <c r="F184" s="27">
        <v>37.0</v>
      </c>
      <c r="G184" s="27">
        <v>4.0</v>
      </c>
      <c r="H184" s="27">
        <v>4.0</v>
      </c>
    </row>
    <row r="185" ht="15.75" customHeight="1">
      <c r="A185" s="22" t="str">
        <f t="shared" si="4"/>
        <v>jueves</v>
      </c>
      <c r="B185" s="24" t="str">
        <f t="shared" si="5"/>
        <v>julio</v>
      </c>
      <c r="C185" s="25">
        <v>46226.0</v>
      </c>
      <c r="D185" s="26" t="s">
        <v>53</v>
      </c>
      <c r="E185" s="27">
        <v>78.0</v>
      </c>
      <c r="F185" s="27">
        <v>57.0</v>
      </c>
      <c r="G185" s="27">
        <v>2.0</v>
      </c>
      <c r="H185" s="27">
        <v>0.0</v>
      </c>
    </row>
    <row r="186" ht="15.75" customHeight="1">
      <c r="A186" s="22" t="str">
        <f t="shared" si="4"/>
        <v>jueves</v>
      </c>
      <c r="B186" s="24" t="str">
        <f t="shared" si="5"/>
        <v>julio</v>
      </c>
      <c r="C186" s="25">
        <v>46226.0</v>
      </c>
      <c r="D186" s="26" t="s">
        <v>64</v>
      </c>
      <c r="E186" s="27">
        <v>128.0</v>
      </c>
      <c r="F186" s="27">
        <v>83.0</v>
      </c>
      <c r="G186" s="27">
        <v>5.0</v>
      </c>
      <c r="H186" s="27">
        <v>13.0</v>
      </c>
    </row>
    <row r="187" ht="15.75" customHeight="1">
      <c r="A187" s="22" t="str">
        <f t="shared" si="4"/>
        <v>jueves</v>
      </c>
      <c r="B187" s="24" t="str">
        <f t="shared" si="5"/>
        <v>julio</v>
      </c>
      <c r="C187" s="25">
        <v>46226.0</v>
      </c>
      <c r="D187" s="26" t="s">
        <v>65</v>
      </c>
      <c r="E187" s="27">
        <v>90.0</v>
      </c>
      <c r="F187" s="27">
        <v>72.0</v>
      </c>
      <c r="G187" s="27">
        <v>3.0</v>
      </c>
      <c r="H187" s="27">
        <v>2.0</v>
      </c>
    </row>
    <row r="188" ht="15.75" customHeight="1">
      <c r="A188" s="22" t="str">
        <f t="shared" si="4"/>
        <v>jueves</v>
      </c>
      <c r="B188" s="24" t="str">
        <f t="shared" si="5"/>
        <v>julio</v>
      </c>
      <c r="C188" s="25">
        <v>46226.0</v>
      </c>
      <c r="D188" s="26" t="s">
        <v>66</v>
      </c>
      <c r="E188" s="27">
        <v>119.0</v>
      </c>
      <c r="F188" s="27">
        <v>94.0</v>
      </c>
      <c r="G188" s="27">
        <v>1.0</v>
      </c>
      <c r="H188" s="27">
        <v>6.0</v>
      </c>
    </row>
    <row r="189" ht="15.75" customHeight="1">
      <c r="A189" s="22" t="str">
        <f t="shared" si="4"/>
        <v>viernes</v>
      </c>
      <c r="B189" s="24" t="str">
        <f t="shared" si="5"/>
        <v>julio</v>
      </c>
      <c r="C189" s="25">
        <v>46227.0</v>
      </c>
      <c r="D189" s="26" t="s">
        <v>51</v>
      </c>
      <c r="E189" s="27">
        <v>72.0</v>
      </c>
      <c r="F189" s="27">
        <v>61.0</v>
      </c>
      <c r="G189" s="27">
        <v>2.0</v>
      </c>
      <c r="H189" s="27">
        <v>7.0</v>
      </c>
    </row>
    <row r="190" ht="15.75" customHeight="1">
      <c r="A190" s="22" t="str">
        <f t="shared" si="4"/>
        <v>viernes</v>
      </c>
      <c r="B190" s="24" t="str">
        <f t="shared" si="5"/>
        <v>julio</v>
      </c>
      <c r="C190" s="25">
        <v>46227.0</v>
      </c>
      <c r="D190" s="26" t="s">
        <v>58</v>
      </c>
      <c r="E190" s="27">
        <v>64.0</v>
      </c>
      <c r="F190" s="27">
        <v>31.0</v>
      </c>
      <c r="G190" s="27">
        <v>4.0</v>
      </c>
      <c r="H190" s="27">
        <v>4.0</v>
      </c>
    </row>
    <row r="191" ht="15.75" customHeight="1">
      <c r="A191" s="22" t="str">
        <f t="shared" si="4"/>
        <v>viernes</v>
      </c>
      <c r="B191" s="24" t="str">
        <f t="shared" si="5"/>
        <v>julio</v>
      </c>
      <c r="C191" s="25">
        <v>46227.0</v>
      </c>
      <c r="D191" s="26" t="s">
        <v>52</v>
      </c>
      <c r="E191" s="27">
        <v>62.0</v>
      </c>
      <c r="F191" s="27">
        <v>43.0</v>
      </c>
      <c r="G191" s="27">
        <v>4.0</v>
      </c>
      <c r="H191" s="27">
        <v>6.0</v>
      </c>
    </row>
    <row r="192" ht="15.75" customHeight="1">
      <c r="A192" s="22" t="str">
        <f t="shared" si="4"/>
        <v>viernes</v>
      </c>
      <c r="B192" s="24" t="str">
        <f t="shared" si="5"/>
        <v>julio</v>
      </c>
      <c r="C192" s="25">
        <v>46227.0</v>
      </c>
      <c r="D192" s="26" t="s">
        <v>53</v>
      </c>
      <c r="E192" s="27">
        <v>72.0</v>
      </c>
      <c r="F192" s="27">
        <v>48.0</v>
      </c>
      <c r="G192" s="27">
        <v>6.0</v>
      </c>
      <c r="H192" s="27">
        <v>0.0</v>
      </c>
    </row>
    <row r="193" ht="15.75" customHeight="1">
      <c r="A193" s="22" t="str">
        <f t="shared" si="4"/>
        <v>viernes</v>
      </c>
      <c r="B193" s="24" t="str">
        <f t="shared" si="5"/>
        <v>julio</v>
      </c>
      <c r="C193" s="25">
        <v>46227.0</v>
      </c>
      <c r="D193" s="26" t="s">
        <v>64</v>
      </c>
      <c r="E193" s="27">
        <v>104.0</v>
      </c>
      <c r="F193" s="27">
        <v>78.0</v>
      </c>
      <c r="G193" s="27">
        <v>5.0</v>
      </c>
      <c r="H193" s="27">
        <v>1.0</v>
      </c>
    </row>
    <row r="194" ht="15.75" customHeight="1">
      <c r="A194" s="22" t="str">
        <f t="shared" si="4"/>
        <v>viernes</v>
      </c>
      <c r="B194" s="24" t="str">
        <f t="shared" si="5"/>
        <v>julio</v>
      </c>
      <c r="C194" s="25">
        <v>46227.0</v>
      </c>
      <c r="D194" s="26" t="s">
        <v>65</v>
      </c>
      <c r="E194" s="27">
        <v>60.0</v>
      </c>
      <c r="F194" s="27">
        <v>49.0</v>
      </c>
      <c r="G194" s="27">
        <v>7.0</v>
      </c>
      <c r="H194" s="27">
        <v>0.0</v>
      </c>
    </row>
    <row r="195" ht="15.75" customHeight="1">
      <c r="A195" s="22" t="str">
        <f t="shared" si="4"/>
        <v>viernes</v>
      </c>
      <c r="B195" s="24" t="str">
        <f t="shared" si="5"/>
        <v>julio</v>
      </c>
      <c r="C195" s="25">
        <v>46227.0</v>
      </c>
      <c r="D195" s="26" t="s">
        <v>66</v>
      </c>
      <c r="E195" s="27">
        <v>153.0</v>
      </c>
      <c r="F195" s="27">
        <v>107.0</v>
      </c>
      <c r="G195" s="27">
        <v>1.0</v>
      </c>
      <c r="H195" s="27">
        <v>7.0</v>
      </c>
    </row>
    <row r="196" ht="15.75" customHeight="1">
      <c r="A196" s="22" t="str">
        <f t="shared" si="4"/>
        <v>sábado</v>
      </c>
      <c r="B196" s="24" t="str">
        <f t="shared" si="5"/>
        <v>julio</v>
      </c>
      <c r="C196" s="25">
        <v>46228.0</v>
      </c>
      <c r="D196" s="22" t="s">
        <v>43</v>
      </c>
      <c r="E196" s="27">
        <v>80.0</v>
      </c>
      <c r="F196" s="27">
        <v>44.0</v>
      </c>
      <c r="G196" s="27">
        <v>5.0</v>
      </c>
      <c r="H196" s="27">
        <v>2.0</v>
      </c>
    </row>
    <row r="197" ht="15.75" customHeight="1">
      <c r="A197" s="22" t="str">
        <f t="shared" si="4"/>
        <v>sábado</v>
      </c>
      <c r="B197" s="24" t="str">
        <f t="shared" si="5"/>
        <v>julio</v>
      </c>
      <c r="C197" s="25">
        <v>46228.0</v>
      </c>
      <c r="D197" s="22" t="s">
        <v>46</v>
      </c>
      <c r="E197" s="27">
        <v>112.0</v>
      </c>
      <c r="F197" s="27">
        <v>65.0</v>
      </c>
      <c r="G197" s="27">
        <v>1.0</v>
      </c>
      <c r="H197" s="27">
        <v>4.0</v>
      </c>
    </row>
    <row r="198" ht="15.75" customHeight="1">
      <c r="A198" s="22" t="str">
        <f t="shared" si="4"/>
        <v>sábado</v>
      </c>
      <c r="B198" s="24" t="str">
        <f t="shared" si="5"/>
        <v>julio</v>
      </c>
      <c r="C198" s="25">
        <v>46228.0</v>
      </c>
      <c r="D198" s="26" t="s">
        <v>52</v>
      </c>
      <c r="E198" s="27">
        <v>55.0</v>
      </c>
      <c r="F198" s="27">
        <v>32.0</v>
      </c>
      <c r="G198" s="27">
        <v>2.0</v>
      </c>
      <c r="H198" s="27">
        <v>8.0</v>
      </c>
    </row>
    <row r="199" ht="15.75" customHeight="1">
      <c r="A199" s="22" t="str">
        <f t="shared" si="4"/>
        <v>sábado</v>
      </c>
      <c r="B199" s="24" t="str">
        <f t="shared" si="5"/>
        <v>julio</v>
      </c>
      <c r="C199" s="25">
        <v>46228.0</v>
      </c>
      <c r="D199" s="26" t="s">
        <v>53</v>
      </c>
      <c r="E199" s="27">
        <v>91.0</v>
      </c>
      <c r="F199" s="27">
        <v>65.0</v>
      </c>
      <c r="G199" s="27">
        <v>1.0</v>
      </c>
      <c r="H199" s="27">
        <v>3.0</v>
      </c>
    </row>
    <row r="200" ht="15.75" customHeight="1">
      <c r="A200" s="22" t="str">
        <f t="shared" si="4"/>
        <v>sábado</v>
      </c>
      <c r="B200" s="24" t="str">
        <f t="shared" si="5"/>
        <v>julio</v>
      </c>
      <c r="C200" s="25">
        <v>46228.0</v>
      </c>
      <c r="D200" s="26" t="s">
        <v>60</v>
      </c>
      <c r="E200" s="27">
        <v>187.0</v>
      </c>
      <c r="F200" s="27">
        <v>140.0</v>
      </c>
      <c r="G200" s="27">
        <v>2.0</v>
      </c>
      <c r="H200" s="27">
        <v>1.0</v>
      </c>
    </row>
    <row r="201" ht="15.75" customHeight="1">
      <c r="A201" s="22" t="str">
        <f t="shared" si="4"/>
        <v>domingo</v>
      </c>
      <c r="B201" s="24" t="str">
        <f t="shared" si="5"/>
        <v>julio</v>
      </c>
      <c r="C201" s="25">
        <v>46229.0</v>
      </c>
      <c r="D201" s="26" t="s">
        <v>39</v>
      </c>
      <c r="E201" s="27">
        <v>64.0</v>
      </c>
      <c r="F201" s="27">
        <v>41.0</v>
      </c>
      <c r="G201" s="27">
        <v>0.0</v>
      </c>
      <c r="H201" s="27">
        <v>0.0</v>
      </c>
    </row>
    <row r="202" ht="15.75" customHeight="1">
      <c r="A202" s="22" t="str">
        <f t="shared" si="4"/>
        <v>domingo</v>
      </c>
      <c r="B202" s="24" t="str">
        <f t="shared" si="5"/>
        <v>julio</v>
      </c>
      <c r="C202" s="25">
        <v>46229.0</v>
      </c>
      <c r="D202" s="26" t="s">
        <v>40</v>
      </c>
      <c r="E202" s="27">
        <v>50.0</v>
      </c>
      <c r="F202" s="27">
        <v>24.0</v>
      </c>
      <c r="G202" s="27">
        <v>2.0</v>
      </c>
      <c r="H202" s="27">
        <v>1.0</v>
      </c>
    </row>
    <row r="203" ht="15.75" customHeight="1">
      <c r="A203" s="22" t="str">
        <f t="shared" si="4"/>
        <v>domingo</v>
      </c>
      <c r="B203" s="24" t="str">
        <f t="shared" si="5"/>
        <v>julio</v>
      </c>
      <c r="C203" s="25">
        <v>46229.0</v>
      </c>
      <c r="D203" s="22" t="s">
        <v>43</v>
      </c>
      <c r="E203" s="27">
        <v>68.0</v>
      </c>
      <c r="F203" s="27">
        <v>42.0</v>
      </c>
      <c r="G203" s="27">
        <v>7.0</v>
      </c>
      <c r="H203" s="27">
        <v>10.0</v>
      </c>
    </row>
    <row r="204" ht="15.75" customHeight="1">
      <c r="A204" s="22" t="str">
        <f t="shared" si="4"/>
        <v>domingo</v>
      </c>
      <c r="B204" s="24" t="str">
        <f t="shared" si="5"/>
        <v>julio</v>
      </c>
      <c r="C204" s="25">
        <v>46229.0</v>
      </c>
      <c r="D204" s="22" t="s">
        <v>46</v>
      </c>
      <c r="E204" s="27">
        <v>89.0</v>
      </c>
      <c r="F204" s="27">
        <v>53.0</v>
      </c>
      <c r="G204" s="27">
        <v>2.0</v>
      </c>
      <c r="H204" s="27">
        <v>6.0</v>
      </c>
    </row>
    <row r="205" ht="15.75" customHeight="1">
      <c r="A205" s="22" t="str">
        <f t="shared" si="4"/>
        <v>domingo</v>
      </c>
      <c r="B205" s="24" t="str">
        <f t="shared" si="5"/>
        <v>julio</v>
      </c>
      <c r="C205" s="25">
        <v>46229.0</v>
      </c>
      <c r="D205" s="26" t="s">
        <v>52</v>
      </c>
      <c r="E205" s="27">
        <v>70.0</v>
      </c>
      <c r="F205" s="27">
        <v>54.0</v>
      </c>
      <c r="G205" s="27">
        <v>3.0</v>
      </c>
      <c r="H205" s="27">
        <v>3.0</v>
      </c>
    </row>
    <row r="206" ht="15.75" customHeight="1">
      <c r="A206" s="22" t="str">
        <f t="shared" si="4"/>
        <v>domingo</v>
      </c>
      <c r="B206" s="24" t="str">
        <f t="shared" si="5"/>
        <v>julio</v>
      </c>
      <c r="C206" s="25">
        <v>46229.0</v>
      </c>
      <c r="D206" s="26" t="s">
        <v>53</v>
      </c>
      <c r="E206" s="27">
        <v>91.0</v>
      </c>
      <c r="F206" s="27">
        <v>51.0</v>
      </c>
      <c r="G206" s="27">
        <v>3.0</v>
      </c>
      <c r="H206" s="27">
        <v>2.0</v>
      </c>
    </row>
    <row r="207" ht="15.75" customHeight="1">
      <c r="A207" s="22" t="str">
        <f t="shared" si="4"/>
        <v>domingo</v>
      </c>
      <c r="B207" s="24" t="str">
        <f t="shared" si="5"/>
        <v>julio</v>
      </c>
      <c r="C207" s="25">
        <v>46229.0</v>
      </c>
      <c r="D207" s="26" t="s">
        <v>60</v>
      </c>
      <c r="E207" s="27">
        <v>199.0</v>
      </c>
      <c r="F207" s="27">
        <v>150.0</v>
      </c>
      <c r="G207" s="27">
        <v>3.0</v>
      </c>
      <c r="H207" s="27">
        <v>2.0</v>
      </c>
    </row>
    <row r="208" ht="15.75" customHeight="1">
      <c r="A208" s="22" t="str">
        <f t="shared" si="4"/>
        <v>lunes</v>
      </c>
      <c r="B208" s="24" t="str">
        <f t="shared" si="5"/>
        <v>julio</v>
      </c>
      <c r="C208" s="25">
        <v>46230.0</v>
      </c>
      <c r="D208" s="26" t="s">
        <v>39</v>
      </c>
      <c r="E208" s="27">
        <v>80.0</v>
      </c>
      <c r="F208" s="27">
        <v>55.0</v>
      </c>
      <c r="G208" s="27">
        <v>0.0</v>
      </c>
      <c r="H208" s="27">
        <v>3.0</v>
      </c>
    </row>
    <row r="209" ht="15.75" customHeight="1">
      <c r="A209" s="22" t="str">
        <f t="shared" si="4"/>
        <v>lunes</v>
      </c>
      <c r="B209" s="24" t="str">
        <f t="shared" si="5"/>
        <v>julio</v>
      </c>
      <c r="C209" s="25">
        <v>46230.0</v>
      </c>
      <c r="D209" s="26" t="s">
        <v>41</v>
      </c>
      <c r="E209" s="27">
        <v>78.0</v>
      </c>
      <c r="F209" s="27">
        <v>58.0</v>
      </c>
      <c r="G209" s="27">
        <v>1.0</v>
      </c>
      <c r="H209" s="27">
        <v>4.0</v>
      </c>
    </row>
    <row r="210" ht="15.75" customHeight="1">
      <c r="A210" s="22" t="str">
        <f t="shared" si="4"/>
        <v>lunes</v>
      </c>
      <c r="B210" s="24" t="str">
        <f t="shared" si="5"/>
        <v>julio</v>
      </c>
      <c r="C210" s="25">
        <v>46230.0</v>
      </c>
      <c r="D210" s="26" t="s">
        <v>42</v>
      </c>
      <c r="E210" s="27">
        <v>89.0</v>
      </c>
      <c r="F210" s="27">
        <v>38.0</v>
      </c>
      <c r="G210" s="27">
        <v>3.0</v>
      </c>
      <c r="H210" s="27">
        <v>20.0</v>
      </c>
    </row>
    <row r="211" ht="15.75" customHeight="1">
      <c r="A211" s="22" t="str">
        <f t="shared" si="4"/>
        <v>lunes</v>
      </c>
      <c r="B211" s="24" t="str">
        <f t="shared" si="5"/>
        <v>julio</v>
      </c>
      <c r="C211" s="25">
        <v>46230.0</v>
      </c>
      <c r="D211" s="26" t="s">
        <v>44</v>
      </c>
      <c r="E211" s="27">
        <v>47.0</v>
      </c>
      <c r="F211" s="27">
        <v>45.0</v>
      </c>
      <c r="G211" s="27">
        <v>0.0</v>
      </c>
      <c r="H211" s="27">
        <v>0.0</v>
      </c>
    </row>
    <row r="212" ht="15.75" customHeight="1">
      <c r="A212" s="22" t="str">
        <f t="shared" si="4"/>
        <v>lunes</v>
      </c>
      <c r="B212" s="24" t="str">
        <f t="shared" si="5"/>
        <v>julio</v>
      </c>
      <c r="C212" s="25">
        <v>46230.0</v>
      </c>
      <c r="D212" s="22" t="s">
        <v>46</v>
      </c>
      <c r="E212" s="27">
        <v>112.0</v>
      </c>
      <c r="F212" s="27">
        <v>66.0</v>
      </c>
      <c r="G212" s="27">
        <v>3.0</v>
      </c>
      <c r="H212" s="27">
        <v>19.0</v>
      </c>
    </row>
    <row r="213" ht="15.75" customHeight="1">
      <c r="A213" s="22" t="str">
        <f t="shared" si="4"/>
        <v>lunes</v>
      </c>
      <c r="B213" s="24" t="str">
        <f t="shared" si="5"/>
        <v>julio</v>
      </c>
      <c r="C213" s="25">
        <v>46230.0</v>
      </c>
      <c r="D213" s="26" t="s">
        <v>67</v>
      </c>
      <c r="E213" s="27">
        <v>68.0</v>
      </c>
      <c r="F213" s="27">
        <v>47.0</v>
      </c>
      <c r="G213" s="27">
        <v>5.0</v>
      </c>
      <c r="H213" s="27">
        <v>4.0</v>
      </c>
    </row>
    <row r="214" ht="15.75" customHeight="1">
      <c r="A214" s="22" t="str">
        <f t="shared" si="4"/>
        <v>lunes</v>
      </c>
      <c r="B214" s="24" t="str">
        <f t="shared" si="5"/>
        <v>julio</v>
      </c>
      <c r="C214" s="25">
        <v>46230.0</v>
      </c>
      <c r="D214" s="26" t="s">
        <v>58</v>
      </c>
      <c r="E214" s="27">
        <v>61.0</v>
      </c>
      <c r="F214" s="27">
        <v>35.0</v>
      </c>
      <c r="G214" s="27">
        <v>2.0</v>
      </c>
      <c r="H214" s="27">
        <v>2.0</v>
      </c>
    </row>
    <row r="215" ht="15.75" customHeight="1">
      <c r="A215" s="22" t="str">
        <f t="shared" si="4"/>
        <v>lunes</v>
      </c>
      <c r="B215" s="24" t="str">
        <f t="shared" si="5"/>
        <v>julio</v>
      </c>
      <c r="C215" s="25">
        <v>46230.0</v>
      </c>
      <c r="D215" s="26" t="s">
        <v>64</v>
      </c>
      <c r="E215" s="27">
        <v>108.0</v>
      </c>
      <c r="F215" s="27">
        <v>55.0</v>
      </c>
      <c r="G215" s="27">
        <v>4.0</v>
      </c>
      <c r="H215" s="27">
        <v>12.0</v>
      </c>
    </row>
    <row r="216" ht="15.75" customHeight="1">
      <c r="A216" s="22" t="str">
        <f t="shared" si="4"/>
        <v>lunes</v>
      </c>
      <c r="B216" s="24" t="str">
        <f t="shared" si="5"/>
        <v>julio</v>
      </c>
      <c r="C216" s="25">
        <v>46230.0</v>
      </c>
      <c r="D216" s="26" t="s">
        <v>65</v>
      </c>
      <c r="E216" s="27">
        <v>49.0</v>
      </c>
      <c r="F216" s="27">
        <v>40.0</v>
      </c>
      <c r="G216" s="27">
        <v>5.0</v>
      </c>
      <c r="H216" s="27">
        <v>0.0</v>
      </c>
    </row>
    <row r="217" ht="15.75" customHeight="1">
      <c r="A217" s="22" t="str">
        <f t="shared" si="4"/>
        <v>lunes</v>
      </c>
      <c r="B217" s="24" t="str">
        <f t="shared" si="5"/>
        <v>julio</v>
      </c>
      <c r="C217" s="25">
        <v>46230.0</v>
      </c>
      <c r="D217" s="26" t="s">
        <v>60</v>
      </c>
      <c r="E217" s="27">
        <v>66.0</v>
      </c>
      <c r="F217" s="27">
        <v>13.0</v>
      </c>
      <c r="G217" s="27">
        <v>1.0</v>
      </c>
      <c r="H217" s="27">
        <v>4.0</v>
      </c>
    </row>
    <row r="218" ht="15.75" customHeight="1">
      <c r="A218" s="22" t="str">
        <f t="shared" si="4"/>
        <v>lunes</v>
      </c>
      <c r="B218" s="24" t="str">
        <f t="shared" si="5"/>
        <v>julio</v>
      </c>
      <c r="C218" s="25">
        <v>46230.0</v>
      </c>
      <c r="D218" s="26" t="s">
        <v>66</v>
      </c>
      <c r="E218" s="27">
        <v>96.0</v>
      </c>
      <c r="F218" s="27">
        <v>92.0</v>
      </c>
      <c r="G218" s="27">
        <v>0.0</v>
      </c>
      <c r="H218" s="27">
        <v>0.0</v>
      </c>
    </row>
    <row r="219" ht="15.75" customHeight="1">
      <c r="A219" s="22" t="str">
        <f t="shared" si="4"/>
        <v>martes</v>
      </c>
      <c r="B219" s="24" t="str">
        <f t="shared" si="5"/>
        <v>julio</v>
      </c>
      <c r="C219" s="25">
        <v>46231.0</v>
      </c>
      <c r="D219" s="26" t="s">
        <v>39</v>
      </c>
      <c r="E219" s="27">
        <v>87.0</v>
      </c>
      <c r="F219" s="27">
        <v>65.0</v>
      </c>
      <c r="G219" s="27">
        <v>0.0</v>
      </c>
      <c r="H219" s="27">
        <v>5.0</v>
      </c>
    </row>
    <row r="220" ht="15.75" customHeight="1">
      <c r="A220" s="22" t="str">
        <f t="shared" si="4"/>
        <v>martes</v>
      </c>
      <c r="B220" s="24" t="str">
        <f t="shared" si="5"/>
        <v>julio</v>
      </c>
      <c r="C220" s="25">
        <v>46231.0</v>
      </c>
      <c r="D220" s="26" t="s">
        <v>41</v>
      </c>
      <c r="E220" s="27">
        <v>84.0</v>
      </c>
      <c r="F220" s="27">
        <v>62.0</v>
      </c>
      <c r="G220" s="27">
        <v>1.0</v>
      </c>
      <c r="H220" s="27">
        <v>0.0</v>
      </c>
    </row>
    <row r="221" ht="15.75" customHeight="1">
      <c r="A221" s="22" t="str">
        <f t="shared" si="4"/>
        <v>martes</v>
      </c>
      <c r="B221" s="24" t="str">
        <f t="shared" si="5"/>
        <v>julio</v>
      </c>
      <c r="C221" s="25">
        <v>46231.0</v>
      </c>
      <c r="D221" s="26" t="s">
        <v>42</v>
      </c>
      <c r="E221" s="27">
        <v>86.0</v>
      </c>
      <c r="F221" s="27">
        <v>57.0</v>
      </c>
      <c r="G221" s="27">
        <v>3.0</v>
      </c>
      <c r="H221" s="27">
        <v>0.0</v>
      </c>
    </row>
    <row r="222" ht="15.75" customHeight="1">
      <c r="A222" s="22" t="str">
        <f t="shared" si="4"/>
        <v>martes</v>
      </c>
      <c r="B222" s="24" t="str">
        <f t="shared" si="5"/>
        <v>julio</v>
      </c>
      <c r="C222" s="25">
        <v>46231.0</v>
      </c>
      <c r="D222" s="22" t="s">
        <v>83</v>
      </c>
      <c r="E222" s="27">
        <v>74.0</v>
      </c>
      <c r="F222" s="27">
        <v>46.0</v>
      </c>
      <c r="G222" s="27">
        <v>1.0</v>
      </c>
      <c r="H222" s="27">
        <v>2.0</v>
      </c>
    </row>
    <row r="223" ht="15.75" customHeight="1">
      <c r="A223" s="22" t="str">
        <f t="shared" si="4"/>
        <v>martes</v>
      </c>
      <c r="B223" s="24" t="str">
        <f t="shared" si="5"/>
        <v>julio</v>
      </c>
      <c r="C223" s="25">
        <v>46231.0</v>
      </c>
      <c r="D223" s="22" t="s">
        <v>84</v>
      </c>
      <c r="E223" s="27">
        <v>126.0</v>
      </c>
      <c r="F223" s="27">
        <v>92.0</v>
      </c>
      <c r="G223" s="27">
        <v>1.0</v>
      </c>
      <c r="H223" s="27">
        <v>2.0</v>
      </c>
    </row>
    <row r="224" ht="15.75" customHeight="1">
      <c r="A224" s="22" t="str">
        <f t="shared" si="4"/>
        <v>martes</v>
      </c>
      <c r="B224" s="24" t="str">
        <f t="shared" si="5"/>
        <v>julio</v>
      </c>
      <c r="C224" s="25">
        <v>46231.0</v>
      </c>
      <c r="D224" s="26" t="s">
        <v>67</v>
      </c>
      <c r="E224" s="27">
        <v>66.0</v>
      </c>
      <c r="F224" s="27">
        <v>52.0</v>
      </c>
      <c r="G224" s="27">
        <v>2.0</v>
      </c>
      <c r="H224" s="27">
        <v>9.0</v>
      </c>
    </row>
    <row r="225" ht="15.75" customHeight="1">
      <c r="A225" s="22" t="str">
        <f t="shared" si="4"/>
        <v>martes</v>
      </c>
      <c r="B225" s="24" t="str">
        <f t="shared" si="5"/>
        <v>julio</v>
      </c>
      <c r="C225" s="25">
        <v>46231.0</v>
      </c>
      <c r="D225" s="26" t="s">
        <v>58</v>
      </c>
      <c r="E225" s="27">
        <v>70.0</v>
      </c>
      <c r="F225" s="27">
        <v>43.0</v>
      </c>
      <c r="G225" s="27">
        <v>4.0</v>
      </c>
      <c r="H225" s="27">
        <v>9.0</v>
      </c>
    </row>
    <row r="226" ht="15.75" customHeight="1">
      <c r="A226" s="22" t="str">
        <f t="shared" si="4"/>
        <v>martes</v>
      </c>
      <c r="B226" s="24" t="str">
        <f t="shared" si="5"/>
        <v>julio</v>
      </c>
      <c r="C226" s="25">
        <v>46231.0</v>
      </c>
      <c r="D226" s="26" t="s">
        <v>64</v>
      </c>
      <c r="E226" s="27">
        <v>127.0</v>
      </c>
      <c r="F226" s="27">
        <v>77.0</v>
      </c>
      <c r="G226" s="27">
        <v>2.0</v>
      </c>
      <c r="H226" s="27">
        <v>2.0</v>
      </c>
    </row>
    <row r="227" ht="15.75" customHeight="1">
      <c r="A227" s="22" t="str">
        <f t="shared" si="4"/>
        <v>martes</v>
      </c>
      <c r="B227" s="24" t="str">
        <f t="shared" si="5"/>
        <v>julio</v>
      </c>
      <c r="C227" s="25">
        <v>46231.0</v>
      </c>
      <c r="D227" s="26" t="s">
        <v>65</v>
      </c>
      <c r="E227" s="27">
        <v>53.0</v>
      </c>
      <c r="F227" s="27">
        <v>42.0</v>
      </c>
      <c r="G227" s="27">
        <v>2.0</v>
      </c>
      <c r="H227" s="27">
        <v>1.0</v>
      </c>
    </row>
    <row r="228" ht="15.75" customHeight="1">
      <c r="A228" s="22" t="str">
        <f t="shared" si="4"/>
        <v>martes</v>
      </c>
      <c r="B228" s="24" t="str">
        <f t="shared" si="5"/>
        <v>julio</v>
      </c>
      <c r="C228" s="25">
        <v>46231.0</v>
      </c>
      <c r="D228" s="26" t="s">
        <v>66</v>
      </c>
      <c r="E228" s="27">
        <v>75.0</v>
      </c>
      <c r="F228" s="27">
        <v>57.0</v>
      </c>
      <c r="G228" s="27">
        <v>1.0</v>
      </c>
      <c r="H228" s="27">
        <v>10.0</v>
      </c>
    </row>
    <row r="229" ht="15.75" customHeight="1">
      <c r="A229" s="22" t="str">
        <f t="shared" si="4"/>
        <v>miércoles</v>
      </c>
      <c r="B229" s="24" t="str">
        <f t="shared" si="5"/>
        <v>julio</v>
      </c>
      <c r="C229" s="25">
        <v>46232.0</v>
      </c>
      <c r="D229" s="26" t="s">
        <v>39</v>
      </c>
      <c r="E229" s="27">
        <v>95.0</v>
      </c>
      <c r="F229" s="27">
        <v>73.0</v>
      </c>
      <c r="G229" s="27">
        <v>0.0</v>
      </c>
      <c r="H229" s="27">
        <v>11.0</v>
      </c>
    </row>
    <row r="230" ht="15.75" customHeight="1">
      <c r="A230" s="22" t="str">
        <f t="shared" si="4"/>
        <v>miércoles</v>
      </c>
      <c r="B230" s="24" t="str">
        <f t="shared" si="5"/>
        <v>julio</v>
      </c>
      <c r="C230" s="25">
        <v>46232.0</v>
      </c>
      <c r="D230" s="26" t="s">
        <v>41</v>
      </c>
      <c r="E230" s="27">
        <v>82.0</v>
      </c>
      <c r="F230" s="27">
        <v>67.0</v>
      </c>
      <c r="G230" s="27">
        <v>2.0</v>
      </c>
      <c r="H230" s="27">
        <v>5.0</v>
      </c>
    </row>
    <row r="231" ht="15.75" customHeight="1">
      <c r="A231" s="22" t="str">
        <f t="shared" si="4"/>
        <v>miércoles</v>
      </c>
      <c r="B231" s="24" t="str">
        <f t="shared" si="5"/>
        <v>julio</v>
      </c>
      <c r="C231" s="25">
        <v>46232.0</v>
      </c>
      <c r="D231" s="26" t="s">
        <v>42</v>
      </c>
      <c r="E231" s="27">
        <v>83.0</v>
      </c>
      <c r="F231" s="27">
        <v>54.0</v>
      </c>
      <c r="G231" s="27">
        <v>2.0</v>
      </c>
      <c r="H231" s="27">
        <v>9.0</v>
      </c>
    </row>
    <row r="232" ht="15.75" customHeight="1">
      <c r="A232" s="22" t="str">
        <f t="shared" si="4"/>
        <v>miércoles</v>
      </c>
      <c r="B232" s="24" t="str">
        <f t="shared" si="5"/>
        <v>julio</v>
      </c>
      <c r="C232" s="25">
        <v>46232.0</v>
      </c>
      <c r="D232" s="26" t="s">
        <v>51</v>
      </c>
      <c r="E232" s="27">
        <v>183.0</v>
      </c>
      <c r="F232" s="27">
        <v>157.0</v>
      </c>
      <c r="G232" s="27">
        <v>4.0</v>
      </c>
      <c r="H232" s="27">
        <v>23.0</v>
      </c>
    </row>
    <row r="233" ht="15.75" customHeight="1">
      <c r="A233" s="22" t="str">
        <f t="shared" si="4"/>
        <v>miércoles</v>
      </c>
      <c r="B233" s="24" t="str">
        <f t="shared" si="5"/>
        <v>julio</v>
      </c>
      <c r="C233" s="25">
        <v>46232.0</v>
      </c>
      <c r="D233" s="22" t="s">
        <v>83</v>
      </c>
      <c r="E233" s="27">
        <v>59.0</v>
      </c>
      <c r="F233" s="27">
        <v>15.0</v>
      </c>
      <c r="G233" s="27">
        <v>1.0</v>
      </c>
      <c r="H233" s="27">
        <v>11.0</v>
      </c>
    </row>
    <row r="234" ht="15.75" customHeight="1">
      <c r="A234" s="22" t="str">
        <f t="shared" si="4"/>
        <v>miércoles</v>
      </c>
      <c r="B234" s="24" t="str">
        <f t="shared" si="5"/>
        <v>julio</v>
      </c>
      <c r="C234" s="25">
        <v>46232.0</v>
      </c>
      <c r="D234" s="26" t="s">
        <v>67</v>
      </c>
      <c r="E234" s="27">
        <v>55.0</v>
      </c>
      <c r="F234" s="27">
        <v>38.0</v>
      </c>
      <c r="G234" s="27">
        <v>2.0</v>
      </c>
      <c r="H234" s="27">
        <v>4.0</v>
      </c>
    </row>
    <row r="235" ht="15.75" customHeight="1">
      <c r="A235" s="22" t="str">
        <f t="shared" si="4"/>
        <v>miércoles</v>
      </c>
      <c r="B235" s="24" t="str">
        <f t="shared" si="5"/>
        <v>julio</v>
      </c>
      <c r="C235" s="25">
        <v>46232.0</v>
      </c>
      <c r="D235" s="26" t="s">
        <v>58</v>
      </c>
      <c r="E235" s="27">
        <v>71.0</v>
      </c>
      <c r="F235" s="27">
        <v>37.0</v>
      </c>
      <c r="G235" s="27">
        <v>4.0</v>
      </c>
      <c r="H235" s="27">
        <v>4.0</v>
      </c>
    </row>
    <row r="236" ht="15.75" customHeight="1">
      <c r="A236" s="22" t="str">
        <f t="shared" si="4"/>
        <v>miércoles</v>
      </c>
      <c r="B236" s="24" t="str">
        <f t="shared" si="5"/>
        <v>julio</v>
      </c>
      <c r="C236" s="25">
        <v>46232.0</v>
      </c>
      <c r="D236" s="26" t="s">
        <v>64</v>
      </c>
      <c r="E236" s="27">
        <v>130.0</v>
      </c>
      <c r="F236" s="27">
        <v>78.0</v>
      </c>
      <c r="G236" s="27">
        <v>4.0</v>
      </c>
      <c r="H236" s="27">
        <v>7.0</v>
      </c>
    </row>
    <row r="237" ht="15.75" customHeight="1">
      <c r="A237" s="22" t="str">
        <f t="shared" si="4"/>
        <v>miércoles</v>
      </c>
      <c r="B237" s="24" t="str">
        <f t="shared" si="5"/>
        <v>julio</v>
      </c>
      <c r="C237" s="25">
        <v>46232.0</v>
      </c>
      <c r="D237" s="26" t="s">
        <v>65</v>
      </c>
      <c r="E237" s="27">
        <v>50.0</v>
      </c>
      <c r="F237" s="27">
        <v>39.0</v>
      </c>
      <c r="G237" s="27">
        <v>2.0</v>
      </c>
      <c r="H237" s="27">
        <v>4.0</v>
      </c>
    </row>
    <row r="238" ht="15.75" customHeight="1">
      <c r="A238" s="22" t="str">
        <f t="shared" si="4"/>
        <v>miércoles</v>
      </c>
      <c r="B238" s="24" t="str">
        <f t="shared" si="5"/>
        <v>julio</v>
      </c>
      <c r="C238" s="25">
        <v>46232.0</v>
      </c>
      <c r="D238" s="26" t="s">
        <v>66</v>
      </c>
      <c r="E238" s="27">
        <v>111.0</v>
      </c>
      <c r="F238" s="27">
        <v>104.0</v>
      </c>
      <c r="G238" s="27">
        <v>0.0</v>
      </c>
      <c r="H238" s="27">
        <v>1.0</v>
      </c>
    </row>
    <row r="239" ht="15.75" customHeight="1">
      <c r="A239" s="22" t="str">
        <f t="shared" si="4"/>
        <v>jueves</v>
      </c>
      <c r="B239" s="24" t="str">
        <f t="shared" si="5"/>
        <v>julio</v>
      </c>
      <c r="C239" s="25">
        <v>46233.0</v>
      </c>
      <c r="D239" s="26" t="s">
        <v>39</v>
      </c>
      <c r="E239" s="27">
        <v>97.0</v>
      </c>
      <c r="F239" s="27">
        <v>66.0</v>
      </c>
      <c r="G239" s="27">
        <v>2.0</v>
      </c>
      <c r="H239" s="27">
        <v>8.0</v>
      </c>
    </row>
    <row r="240" ht="15.75" customHeight="1">
      <c r="A240" s="22" t="str">
        <f t="shared" si="4"/>
        <v>jueves</v>
      </c>
      <c r="B240" s="24" t="str">
        <f t="shared" si="5"/>
        <v>julio</v>
      </c>
      <c r="C240" s="25">
        <v>46233.0</v>
      </c>
      <c r="D240" s="26" t="s">
        <v>40</v>
      </c>
      <c r="E240" s="27">
        <v>58.0</v>
      </c>
      <c r="F240" s="27">
        <v>28.0</v>
      </c>
      <c r="G240" s="27">
        <v>4.0</v>
      </c>
      <c r="H240" s="27">
        <v>9.0</v>
      </c>
    </row>
    <row r="241" ht="15.75" customHeight="1">
      <c r="A241" s="22" t="str">
        <f t="shared" si="4"/>
        <v>jueves</v>
      </c>
      <c r="B241" s="24" t="str">
        <f t="shared" si="5"/>
        <v>julio</v>
      </c>
      <c r="C241" s="25">
        <v>46233.0</v>
      </c>
      <c r="D241" s="28" t="s">
        <v>41</v>
      </c>
      <c r="E241" s="5">
        <v>74.0</v>
      </c>
      <c r="F241" s="5">
        <v>47.0</v>
      </c>
      <c r="G241" s="5">
        <v>1.0</v>
      </c>
      <c r="H241" s="5">
        <v>6.0</v>
      </c>
    </row>
    <row r="242" ht="15.75" customHeight="1">
      <c r="A242" s="22" t="str">
        <f t="shared" si="4"/>
        <v>jueves</v>
      </c>
      <c r="B242" s="24" t="str">
        <f t="shared" si="5"/>
        <v>julio</v>
      </c>
      <c r="C242" s="25">
        <v>46233.0</v>
      </c>
      <c r="D242" s="28" t="s">
        <v>42</v>
      </c>
      <c r="E242" s="5">
        <v>74.0</v>
      </c>
      <c r="F242" s="5">
        <v>53.0</v>
      </c>
      <c r="G242" s="5">
        <v>2.0</v>
      </c>
      <c r="H242" s="5">
        <v>13.0</v>
      </c>
    </row>
    <row r="243" ht="15.75" customHeight="1">
      <c r="A243" s="22" t="str">
        <f t="shared" si="4"/>
        <v>jueves</v>
      </c>
      <c r="B243" s="24" t="str">
        <f t="shared" si="5"/>
        <v>julio</v>
      </c>
      <c r="C243" s="25">
        <v>46233.0</v>
      </c>
      <c r="D243" s="28" t="s">
        <v>51</v>
      </c>
      <c r="E243" s="5">
        <v>83.0</v>
      </c>
      <c r="F243" s="5">
        <v>72.0</v>
      </c>
      <c r="G243" s="5">
        <v>2.0</v>
      </c>
      <c r="H243" s="5">
        <v>10.0</v>
      </c>
    </row>
    <row r="244" ht="15.75" customHeight="1">
      <c r="A244" s="22" t="str">
        <f t="shared" si="4"/>
        <v>jueves</v>
      </c>
      <c r="B244" s="24" t="str">
        <f t="shared" si="5"/>
        <v>julio</v>
      </c>
      <c r="C244" s="25">
        <v>46233.0</v>
      </c>
      <c r="D244" s="28" t="s">
        <v>67</v>
      </c>
      <c r="E244" s="5">
        <v>75.0</v>
      </c>
      <c r="F244" s="5">
        <v>58.0</v>
      </c>
      <c r="G244" s="5">
        <v>0.0</v>
      </c>
      <c r="H244" s="5">
        <v>10.0</v>
      </c>
    </row>
    <row r="245" ht="15.75" customHeight="1">
      <c r="A245" s="22" t="str">
        <f t="shared" si="4"/>
        <v>jueves</v>
      </c>
      <c r="B245" s="24" t="str">
        <f t="shared" si="5"/>
        <v>julio</v>
      </c>
      <c r="C245" s="25">
        <v>46233.0</v>
      </c>
      <c r="D245" s="28" t="s">
        <v>58</v>
      </c>
      <c r="E245" s="5">
        <v>65.0</v>
      </c>
      <c r="F245" s="5">
        <v>33.0</v>
      </c>
      <c r="G245" s="5">
        <v>5.0</v>
      </c>
      <c r="H245" s="5">
        <v>12.0</v>
      </c>
    </row>
    <row r="246" ht="15.75" customHeight="1">
      <c r="A246" s="22" t="str">
        <f t="shared" si="4"/>
        <v>jueves</v>
      </c>
      <c r="B246" s="24" t="str">
        <f t="shared" si="5"/>
        <v>julio</v>
      </c>
      <c r="C246" s="25">
        <v>46233.0</v>
      </c>
      <c r="D246" s="28" t="s">
        <v>52</v>
      </c>
      <c r="E246" s="5">
        <v>47.0</v>
      </c>
      <c r="F246" s="5">
        <v>41.0</v>
      </c>
      <c r="G246" s="5">
        <v>2.0</v>
      </c>
      <c r="H246" s="5">
        <v>10.0</v>
      </c>
    </row>
    <row r="247" ht="15.75" customHeight="1">
      <c r="A247" s="22" t="str">
        <f t="shared" si="4"/>
        <v>jueves</v>
      </c>
      <c r="B247" s="24" t="str">
        <f t="shared" si="5"/>
        <v>julio</v>
      </c>
      <c r="C247" s="25">
        <v>46233.0</v>
      </c>
      <c r="D247" s="28" t="s">
        <v>53</v>
      </c>
      <c r="E247" s="5">
        <v>73.0</v>
      </c>
      <c r="F247" s="5">
        <v>45.0</v>
      </c>
      <c r="G247" s="5">
        <v>1.0</v>
      </c>
      <c r="H247" s="5">
        <v>0.0</v>
      </c>
    </row>
    <row r="248" ht="15.75" customHeight="1">
      <c r="A248" s="22" t="str">
        <f t="shared" si="4"/>
        <v>jueves</v>
      </c>
      <c r="B248" s="24" t="str">
        <f t="shared" si="5"/>
        <v>julio</v>
      </c>
      <c r="C248" s="25">
        <v>46233.0</v>
      </c>
      <c r="D248" s="28" t="s">
        <v>64</v>
      </c>
      <c r="E248" s="5">
        <v>101.0</v>
      </c>
      <c r="F248" s="5">
        <v>59.0</v>
      </c>
      <c r="G248" s="5">
        <v>3.0</v>
      </c>
      <c r="H248" s="5">
        <v>6.0</v>
      </c>
    </row>
    <row r="249" ht="15.75" customHeight="1">
      <c r="A249" s="22" t="str">
        <f t="shared" si="4"/>
        <v>jueves</v>
      </c>
      <c r="B249" s="24" t="str">
        <f t="shared" si="5"/>
        <v>julio</v>
      </c>
      <c r="C249" s="25">
        <v>46233.0</v>
      </c>
      <c r="D249" s="28" t="s">
        <v>65</v>
      </c>
      <c r="E249" s="5">
        <v>39.0</v>
      </c>
      <c r="F249" s="5">
        <v>30.0</v>
      </c>
      <c r="G249" s="5">
        <v>5.0</v>
      </c>
      <c r="H249" s="5">
        <v>3.0</v>
      </c>
    </row>
    <row r="250" ht="15.75" customHeight="1">
      <c r="A250" s="22" t="str">
        <f t="shared" si="4"/>
        <v>jueves</v>
      </c>
      <c r="B250" s="24" t="str">
        <f t="shared" si="5"/>
        <v>julio</v>
      </c>
      <c r="C250" s="25">
        <v>46233.0</v>
      </c>
      <c r="D250" s="28" t="s">
        <v>66</v>
      </c>
      <c r="E250" s="5">
        <v>106.0</v>
      </c>
      <c r="F250" s="5">
        <v>99.0</v>
      </c>
      <c r="G250" s="5">
        <v>0.0</v>
      </c>
      <c r="H250" s="5">
        <v>3.0</v>
      </c>
    </row>
    <row r="251" ht="15.75" customHeight="1">
      <c r="A251" s="22" t="str">
        <f t="shared" si="4"/>
        <v>viernes</v>
      </c>
      <c r="B251" s="24" t="str">
        <f t="shared" si="5"/>
        <v>julio</v>
      </c>
      <c r="C251" s="25">
        <v>46234.0</v>
      </c>
      <c r="D251" s="28" t="s">
        <v>40</v>
      </c>
      <c r="E251" s="5">
        <v>62.0</v>
      </c>
      <c r="F251" s="5">
        <v>25.0</v>
      </c>
      <c r="G251" s="5">
        <v>6.0</v>
      </c>
      <c r="H251" s="5">
        <v>2.0</v>
      </c>
    </row>
    <row r="252" ht="15.75" customHeight="1">
      <c r="A252" s="22" t="str">
        <f t="shared" si="4"/>
        <v>viernes</v>
      </c>
      <c r="B252" s="24" t="str">
        <f t="shared" si="5"/>
        <v>julio</v>
      </c>
      <c r="C252" s="25">
        <v>46234.0</v>
      </c>
      <c r="D252" s="28" t="s">
        <v>58</v>
      </c>
      <c r="E252" s="5">
        <v>68.0</v>
      </c>
      <c r="F252" s="5">
        <v>41.0</v>
      </c>
      <c r="G252" s="5">
        <v>1.0</v>
      </c>
      <c r="H252" s="5">
        <v>6.0</v>
      </c>
    </row>
    <row r="253" ht="15.75" customHeight="1">
      <c r="A253" s="22" t="str">
        <f t="shared" si="4"/>
        <v>viernes</v>
      </c>
      <c r="B253" s="24" t="str">
        <f t="shared" si="5"/>
        <v>julio</v>
      </c>
      <c r="C253" s="25">
        <v>46234.0</v>
      </c>
      <c r="D253" s="28" t="s">
        <v>52</v>
      </c>
      <c r="E253" s="5">
        <v>51.0</v>
      </c>
      <c r="F253" s="5">
        <v>41.0</v>
      </c>
      <c r="G253" s="5">
        <v>3.0</v>
      </c>
      <c r="H253" s="5">
        <v>5.0</v>
      </c>
    </row>
    <row r="254" ht="15.75" customHeight="1">
      <c r="A254" s="22" t="str">
        <f t="shared" si="4"/>
        <v>viernes</v>
      </c>
      <c r="B254" s="24" t="str">
        <f t="shared" si="5"/>
        <v>julio</v>
      </c>
      <c r="C254" s="25">
        <v>46234.0</v>
      </c>
      <c r="D254" s="28" t="s">
        <v>53</v>
      </c>
      <c r="E254" s="5">
        <v>43.0</v>
      </c>
      <c r="F254" s="5">
        <v>25.0</v>
      </c>
      <c r="G254" s="5">
        <v>4.0</v>
      </c>
      <c r="H254" s="5">
        <v>4.0</v>
      </c>
    </row>
    <row r="255" ht="15.75" customHeight="1">
      <c r="A255" s="22" t="str">
        <f t="shared" si="4"/>
        <v>viernes</v>
      </c>
      <c r="B255" s="24" t="str">
        <f t="shared" si="5"/>
        <v>julio</v>
      </c>
      <c r="C255" s="25">
        <v>46234.0</v>
      </c>
      <c r="D255" s="28" t="s">
        <v>64</v>
      </c>
      <c r="E255" s="5">
        <v>147.0</v>
      </c>
      <c r="F255" s="5">
        <v>103.0</v>
      </c>
      <c r="G255" s="5">
        <v>7.0</v>
      </c>
      <c r="H255" s="5">
        <v>6.0</v>
      </c>
    </row>
    <row r="256" ht="15.75" customHeight="1">
      <c r="A256" s="22" t="str">
        <f t="shared" si="4"/>
        <v>viernes</v>
      </c>
      <c r="B256" s="24" t="str">
        <f t="shared" si="5"/>
        <v>julio</v>
      </c>
      <c r="C256" s="25">
        <v>46234.0</v>
      </c>
      <c r="D256" s="28" t="s">
        <v>65</v>
      </c>
      <c r="E256" s="5">
        <v>76.0</v>
      </c>
      <c r="F256" s="5">
        <v>58.0</v>
      </c>
      <c r="G256" s="5">
        <v>7.0</v>
      </c>
      <c r="H256" s="5">
        <v>3.0</v>
      </c>
    </row>
    <row r="257" ht="15.75" customHeight="1">
      <c r="A257" s="22" t="str">
        <f t="shared" si="4"/>
        <v>viernes</v>
      </c>
      <c r="B257" s="24" t="str">
        <f t="shared" si="5"/>
        <v>julio</v>
      </c>
      <c r="C257" s="25">
        <v>46234.0</v>
      </c>
      <c r="D257" s="28" t="s">
        <v>66</v>
      </c>
      <c r="E257" s="5">
        <v>144.0</v>
      </c>
      <c r="F257" s="5">
        <v>199.0</v>
      </c>
      <c r="G257" s="5">
        <v>0.0</v>
      </c>
      <c r="H257" s="5">
        <v>15.0</v>
      </c>
    </row>
    <row r="258" ht="15.75" customHeight="1">
      <c r="A258" s="22"/>
      <c r="B258" s="24"/>
      <c r="C258" s="25"/>
    </row>
    <row r="259" ht="15.75" customHeight="1">
      <c r="A259" s="22"/>
      <c r="B259" s="24"/>
      <c r="C259" s="25"/>
    </row>
    <row r="260" ht="15.75" customHeight="1">
      <c r="A260" s="22"/>
      <c r="B260" s="24"/>
      <c r="C260" s="25"/>
    </row>
    <row r="261" ht="15.75" customHeight="1">
      <c r="A261" s="22"/>
      <c r="B261" s="24"/>
      <c r="C261" s="25"/>
    </row>
    <row r="262" ht="15.75" customHeight="1">
      <c r="A262" s="22"/>
      <c r="B262" s="24"/>
      <c r="C262" s="25"/>
    </row>
    <row r="263" ht="15.75" customHeight="1">
      <c r="A263" s="22"/>
      <c r="B263" s="24"/>
      <c r="C263" s="25"/>
    </row>
    <row r="264" ht="15.75" customHeight="1">
      <c r="A264" s="22"/>
      <c r="B264" s="24"/>
      <c r="C264" s="25"/>
    </row>
    <row r="265" ht="15.75" customHeight="1">
      <c r="A265" s="22"/>
      <c r="B265" s="24"/>
      <c r="C265" s="25"/>
    </row>
    <row r="266" ht="15.75" customHeight="1">
      <c r="A266" s="22"/>
      <c r="B266" s="24"/>
      <c r="C266" s="25"/>
    </row>
    <row r="267" ht="15.75" customHeight="1">
      <c r="A267" s="22"/>
      <c r="B267" s="24"/>
      <c r="C267" s="25"/>
    </row>
    <row r="268" ht="15.75" customHeight="1">
      <c r="A268" s="22"/>
      <c r="B268" s="24"/>
      <c r="C268" s="25"/>
    </row>
    <row r="269" ht="15.75" customHeight="1">
      <c r="A269" s="22"/>
      <c r="B269" s="24"/>
      <c r="C269" s="25"/>
    </row>
    <row r="270" ht="15.75" customHeight="1">
      <c r="A270" s="22"/>
      <c r="B270" s="24"/>
      <c r="C270" s="25"/>
    </row>
    <row r="271" ht="15.75" customHeight="1">
      <c r="A271" s="22"/>
      <c r="B271" s="24"/>
      <c r="C271" s="25"/>
    </row>
    <row r="272" ht="15.75" customHeight="1">
      <c r="A272" s="22"/>
      <c r="B272" s="24"/>
      <c r="C272" s="25"/>
    </row>
    <row r="273" ht="15.75" customHeight="1">
      <c r="A273" s="22"/>
      <c r="B273" s="24"/>
      <c r="C273" s="25"/>
    </row>
    <row r="274" ht="15.75" customHeight="1">
      <c r="A274" s="22"/>
      <c r="B274" s="24"/>
      <c r="C274" s="25"/>
    </row>
    <row r="275" ht="15.75" customHeight="1">
      <c r="A275" s="22"/>
      <c r="B275" s="24"/>
      <c r="C275" s="25"/>
    </row>
    <row r="276" ht="15.75" customHeight="1">
      <c r="A276" s="22"/>
      <c r="B276" s="24"/>
      <c r="C276" s="25"/>
    </row>
    <row r="277" ht="15.75" customHeight="1">
      <c r="A277" s="22"/>
      <c r="B277" s="24"/>
      <c r="C277" s="25"/>
    </row>
    <row r="278" ht="15.75" customHeight="1">
      <c r="A278" s="22"/>
      <c r="B278" s="24"/>
      <c r="C278" s="25"/>
    </row>
    <row r="279" ht="15.75" customHeight="1">
      <c r="A279" s="22"/>
      <c r="B279" s="24"/>
      <c r="C279" s="25"/>
    </row>
    <row r="280" ht="15.75" customHeight="1">
      <c r="A280" s="22"/>
      <c r="B280" s="24"/>
      <c r="C280" s="25"/>
    </row>
    <row r="281" ht="15.75" customHeight="1">
      <c r="A281" s="22"/>
      <c r="B281" s="24"/>
      <c r="C281" s="25"/>
    </row>
    <row r="282" ht="15.75" customHeight="1">
      <c r="A282" s="22"/>
      <c r="B282" s="24"/>
      <c r="C282" s="25"/>
    </row>
    <row r="283" ht="15.75" customHeight="1">
      <c r="A283" s="22"/>
      <c r="B283" s="24"/>
      <c r="C283" s="25"/>
    </row>
    <row r="284" ht="15.75" customHeight="1">
      <c r="A284" s="22"/>
      <c r="B284" s="24"/>
      <c r="C284" s="25"/>
    </row>
    <row r="285" ht="15.75" customHeight="1">
      <c r="A285" s="22"/>
      <c r="B285" s="24"/>
      <c r="C285" s="25"/>
    </row>
    <row r="286" ht="15.75" customHeight="1">
      <c r="A286" s="22"/>
      <c r="B286" s="24"/>
      <c r="C286" s="25"/>
    </row>
    <row r="287" ht="15.75" customHeight="1">
      <c r="A287" s="22"/>
      <c r="B287" s="24"/>
      <c r="C287" s="25"/>
    </row>
    <row r="288" ht="15.75" customHeight="1">
      <c r="A288" s="22"/>
      <c r="B288" s="24"/>
      <c r="C288" s="25"/>
    </row>
    <row r="289" ht="15.75" customHeight="1">
      <c r="A289" s="22"/>
      <c r="B289" s="24"/>
      <c r="C289" s="25"/>
    </row>
    <row r="290" ht="15.75" customHeight="1">
      <c r="A290" s="22"/>
      <c r="B290" s="24"/>
      <c r="C290" s="25"/>
    </row>
    <row r="291" ht="15.75" customHeight="1">
      <c r="A291" s="22"/>
      <c r="B291" s="24"/>
      <c r="C291" s="25"/>
    </row>
    <row r="292" ht="15.75" customHeight="1">
      <c r="A292" s="22"/>
      <c r="B292" s="24"/>
      <c r="C292" s="25"/>
    </row>
    <row r="293" ht="15.75" customHeight="1">
      <c r="A293" s="22"/>
      <c r="B293" s="24"/>
      <c r="C293" s="25"/>
    </row>
    <row r="294" ht="15.75" customHeight="1">
      <c r="A294" s="22"/>
      <c r="B294" s="24"/>
      <c r="C294" s="25"/>
    </row>
    <row r="295" ht="15.75" customHeight="1">
      <c r="A295" s="22"/>
      <c r="B295" s="24"/>
      <c r="C295" s="25"/>
    </row>
    <row r="296" ht="15.75" customHeight="1">
      <c r="A296" s="22"/>
      <c r="B296" s="24"/>
      <c r="C296" s="25"/>
    </row>
    <row r="297" ht="15.75" customHeight="1">
      <c r="A297" s="22"/>
      <c r="B297" s="24"/>
      <c r="C297" s="25"/>
    </row>
    <row r="298" ht="15.75" customHeight="1">
      <c r="A298" s="22"/>
      <c r="B298" s="24"/>
      <c r="C298" s="25"/>
    </row>
    <row r="299" ht="15.75" customHeight="1">
      <c r="A299" s="22"/>
      <c r="B299" s="24"/>
      <c r="C299" s="25"/>
    </row>
    <row r="300" ht="15.75" customHeight="1">
      <c r="A300" s="22"/>
      <c r="B300" s="24"/>
      <c r="C300" s="25"/>
    </row>
    <row r="301" ht="15.75" customHeight="1">
      <c r="A301" s="22"/>
      <c r="B301" s="24"/>
      <c r="C301" s="25"/>
    </row>
    <row r="302" ht="15.75" customHeight="1">
      <c r="A302" s="22"/>
      <c r="B302" s="24"/>
      <c r="C302" s="25"/>
    </row>
    <row r="303" ht="15.75" customHeight="1">
      <c r="A303" s="22"/>
      <c r="B303" s="24"/>
      <c r="C303" s="25"/>
    </row>
    <row r="304" ht="15.75" customHeight="1">
      <c r="A304" s="22"/>
      <c r="B304" s="24"/>
      <c r="C304" s="25"/>
    </row>
    <row r="305" ht="15.75" customHeight="1">
      <c r="A305" s="22"/>
      <c r="B305" s="24"/>
      <c r="C305" s="25"/>
    </row>
    <row r="306" ht="15.75" customHeight="1">
      <c r="A306" s="22"/>
      <c r="B306" s="24"/>
      <c r="C306" s="25"/>
    </row>
    <row r="307" ht="15.75" customHeight="1">
      <c r="A307" s="22"/>
      <c r="B307" s="24"/>
      <c r="C307" s="25"/>
    </row>
    <row r="308" ht="15.75" customHeight="1">
      <c r="A308" s="22"/>
      <c r="B308" s="24"/>
      <c r="C308" s="25"/>
    </row>
    <row r="309" ht="15.75" customHeight="1">
      <c r="A309" s="22"/>
      <c r="B309" s="24"/>
      <c r="C309" s="25"/>
    </row>
    <row r="310" ht="15.75" customHeight="1">
      <c r="A310" s="22"/>
      <c r="B310" s="24"/>
      <c r="C310" s="25"/>
    </row>
    <row r="311" ht="15.75" customHeight="1">
      <c r="A311" s="22"/>
      <c r="B311" s="24"/>
      <c r="C311" s="25"/>
    </row>
    <row r="312" ht="15.75" customHeight="1">
      <c r="A312" s="22"/>
      <c r="B312" s="24"/>
      <c r="C312" s="25"/>
    </row>
    <row r="313" ht="15.75" customHeight="1">
      <c r="A313" s="22"/>
      <c r="B313" s="24"/>
      <c r="C313" s="25"/>
    </row>
    <row r="314" ht="15.75" customHeight="1">
      <c r="A314" s="22"/>
      <c r="B314" s="24"/>
      <c r="C314" s="25"/>
    </row>
    <row r="315" ht="15.75" customHeight="1">
      <c r="A315" s="22"/>
      <c r="B315" s="24"/>
      <c r="C315" s="25"/>
    </row>
    <row r="316" ht="15.75" customHeight="1">
      <c r="A316" s="22"/>
      <c r="B316" s="24"/>
      <c r="C316" s="25"/>
    </row>
    <row r="317" ht="15.75" customHeight="1">
      <c r="A317" s="22"/>
      <c r="B317" s="24"/>
      <c r="C317" s="25"/>
    </row>
    <row r="318" ht="15.75" customHeight="1">
      <c r="A318" s="22"/>
      <c r="B318" s="24"/>
      <c r="C318" s="25"/>
    </row>
    <row r="319" ht="15.75" customHeight="1">
      <c r="A319" s="22"/>
      <c r="B319" s="24"/>
      <c r="C319" s="25"/>
    </row>
    <row r="320" ht="15.75" customHeight="1">
      <c r="A320" s="22"/>
      <c r="B320" s="24"/>
      <c r="C320" s="25"/>
    </row>
    <row r="321" ht="15.75" customHeight="1">
      <c r="A321" s="22"/>
      <c r="B321" s="24"/>
      <c r="C321" s="25"/>
    </row>
    <row r="322" ht="15.75" customHeight="1">
      <c r="A322" s="22"/>
      <c r="B322" s="24"/>
      <c r="C322" s="25"/>
    </row>
    <row r="323" ht="15.75" customHeight="1">
      <c r="A323" s="22"/>
      <c r="B323" s="24"/>
      <c r="C323" s="25"/>
    </row>
    <row r="324" ht="15.75" customHeight="1">
      <c r="A324" s="22"/>
      <c r="B324" s="24"/>
      <c r="C324" s="25"/>
    </row>
    <row r="325" ht="15.75" customHeight="1">
      <c r="A325" s="22"/>
      <c r="B325" s="24"/>
      <c r="C325" s="25"/>
    </row>
    <row r="326" ht="15.75" customHeight="1">
      <c r="A326" s="22"/>
      <c r="B326" s="24"/>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U$50:$AB$64"/>
  <mergeCells count="17">
    <mergeCell ref="J1:K1"/>
    <mergeCell ref="Z1:AA1"/>
    <mergeCell ref="J2:N2"/>
    <mergeCell ref="O2:P2"/>
    <mergeCell ref="Q2:R2"/>
    <mergeCell ref="S2:S3"/>
    <mergeCell ref="J22:R22"/>
    <mergeCell ref="Q49:R49"/>
    <mergeCell ref="AA49:AB49"/>
    <mergeCell ref="V68:Y68"/>
    <mergeCell ref="K23:N23"/>
    <mergeCell ref="O23:P23"/>
    <mergeCell ref="Q23:R23"/>
    <mergeCell ref="V24:Y24"/>
    <mergeCell ref="AA24:AB24"/>
    <mergeCell ref="J49:N49"/>
    <mergeCell ref="O49:P49"/>
  </mergeCells>
  <conditionalFormatting sqref="P4:P18">
    <cfRule type="colorScale" priority="1">
      <colorScale>
        <cfvo type="min"/>
        <cfvo type="percentile" val="50"/>
        <cfvo type="max"/>
        <color rgb="FFEA9999"/>
        <color rgb="FFFFD666"/>
        <color rgb="FF93C47D"/>
      </colorScale>
    </cfRule>
  </conditionalFormatting>
  <conditionalFormatting sqref="Q4:Q18 Q21">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93C47D"/>
      </colorScale>
    </cfRule>
  </conditionalFormatting>
  <conditionalFormatting sqref="R4:R18">
    <cfRule type="colorScale" priority="4">
      <colorScale>
        <cfvo type="min"/>
        <cfvo type="percentile" val="50"/>
        <cfvo type="max"/>
        <color rgb="FFEA9999"/>
        <color rgb="FFFFD666"/>
        <color rgb="FF93C47D"/>
      </colorScale>
    </cfRule>
  </conditionalFormatting>
  <conditionalFormatting sqref="M4:M18">
    <cfRule type="colorScale" priority="5">
      <colorScale>
        <cfvo type="min"/>
        <cfvo type="percentile" val="50"/>
        <cfvo type="max"/>
        <color rgb="FFDD7E6B"/>
        <color rgb="FFFFD666"/>
        <color rgb="FF6AA84F"/>
      </colorScale>
    </cfRule>
  </conditionalFormatting>
  <conditionalFormatting sqref="N4:N18">
    <cfRule type="colorScale" priority="6">
      <colorScale>
        <cfvo type="min"/>
        <cfvo type="percentile" val="50"/>
        <cfvo type="max"/>
        <color rgb="FFEA9999"/>
        <color rgb="FFFFD666"/>
        <color rgb="FF6AA84F"/>
      </colorScale>
    </cfRule>
  </conditionalFormatting>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5" t="s">
        <v>3</v>
      </c>
      <c r="D1" s="6" t="s">
        <v>5</v>
      </c>
      <c r="F1" s="5"/>
      <c r="J1" s="9">
        <v>46174.0</v>
      </c>
    </row>
    <row r="2" ht="15.75" customHeight="1">
      <c r="D2" s="11" t="s">
        <v>11</v>
      </c>
      <c r="E2" s="5">
        <f t="shared" ref="E2:H2" si="1">SUM(E4:E267)</f>
        <v>25443</v>
      </c>
      <c r="F2" s="5">
        <f t="shared" si="1"/>
        <v>17845</v>
      </c>
      <c r="G2" s="5">
        <f t="shared" si="1"/>
        <v>835</v>
      </c>
      <c r="H2" s="5">
        <f t="shared" si="1"/>
        <v>1562</v>
      </c>
      <c r="J2" s="12" t="s">
        <v>15</v>
      </c>
      <c r="O2" s="13" t="s">
        <v>18</v>
      </c>
      <c r="Q2" s="13" t="s">
        <v>19</v>
      </c>
      <c r="S2" s="14" t="s">
        <v>20</v>
      </c>
      <c r="Z2" s="10" t="s">
        <v>9</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0" t="s">
        <v>25</v>
      </c>
      <c r="AA3" s="20" t="s">
        <v>37</v>
      </c>
    </row>
    <row r="4" ht="15.75" customHeight="1">
      <c r="A4" s="22" t="str">
        <f t="shared" ref="A4:A240" si="3">TEXT(C4,"dddd")</f>
        <v>lunes</v>
      </c>
      <c r="B4" s="24" t="str">
        <f t="shared" ref="B4:B240" si="4">TEXT(C4,"mmmm")</f>
        <v>junio</v>
      </c>
      <c r="C4" s="25">
        <v>46174.0</v>
      </c>
      <c r="D4" s="26" t="s">
        <v>39</v>
      </c>
      <c r="E4" s="27">
        <v>147.0</v>
      </c>
      <c r="F4" s="27">
        <v>84.0</v>
      </c>
      <c r="G4" s="27">
        <v>1.0</v>
      </c>
      <c r="H4" s="27">
        <v>8.0</v>
      </c>
      <c r="J4" s="28" t="s">
        <v>39</v>
      </c>
      <c r="K4" s="23">
        <f t="shared" ref="K4:K18" si="5">AVERAGEIF($D$4:$D$350,J4,$E$4:$E$350)</f>
        <v>97</v>
      </c>
      <c r="L4" s="23">
        <f t="shared" ref="L4:L18" si="6">AVERAGEIF($D$4:$D$350,J4,$F$4:$F$350)</f>
        <v>60.55555556</v>
      </c>
      <c r="M4" s="23">
        <f t="shared" ref="M4:M18" si="7">AVERAGEIF($D$4:$D$350,J4,$G$4:$G$350)</f>
        <v>0.3888888889</v>
      </c>
      <c r="N4" s="23">
        <f t="shared" ref="N4:N18" si="8">AVERAGEIF($D$4:$D$350,J4,$H$4:$H$350)</f>
        <v>5.666666667</v>
      </c>
      <c r="O4" s="29">
        <f t="shared" ref="O4:O18" si="9">K4/S4</f>
        <v>12.125</v>
      </c>
      <c r="P4" s="29">
        <f t="shared" ref="P4:P18" si="10">L4/S4</f>
        <v>7.569444444</v>
      </c>
      <c r="Q4" s="23">
        <f t="shared" ref="Q4:Q18" si="11">K4*T4</f>
        <v>485</v>
      </c>
      <c r="R4" s="23">
        <f t="shared" ref="R4:R18" si="12">L4*T4</f>
        <v>302.7777778</v>
      </c>
      <c r="S4" s="30">
        <v>8.0</v>
      </c>
      <c r="T4" s="30">
        <v>5.0</v>
      </c>
      <c r="Z4" s="23">
        <f t="shared" ref="Z4:AA4" si="2">V4/4</f>
        <v>0</v>
      </c>
      <c r="AA4" s="23">
        <f t="shared" si="2"/>
        <v>0</v>
      </c>
      <c r="AB4" s="23"/>
      <c r="AC4" s="23"/>
      <c r="AD4" s="23"/>
      <c r="AE4" s="23"/>
      <c r="AF4" s="23"/>
      <c r="AG4" s="23"/>
    </row>
    <row r="5" ht="15.75" customHeight="1">
      <c r="A5" s="22" t="str">
        <f t="shared" si="3"/>
        <v>lunes</v>
      </c>
      <c r="B5" s="24" t="str">
        <f t="shared" si="4"/>
        <v>junio</v>
      </c>
      <c r="C5" s="25">
        <v>46174.0</v>
      </c>
      <c r="D5" s="26" t="s">
        <v>42</v>
      </c>
      <c r="E5" s="27">
        <v>114.0</v>
      </c>
      <c r="F5" s="27">
        <v>61.0</v>
      </c>
      <c r="G5" s="27">
        <v>6.0</v>
      </c>
      <c r="H5" s="27">
        <v>1.0</v>
      </c>
      <c r="J5" s="28" t="s">
        <v>40</v>
      </c>
      <c r="K5" s="23">
        <f t="shared" si="5"/>
        <v>82.75</v>
      </c>
      <c r="L5" s="23">
        <f t="shared" si="6"/>
        <v>41.0625</v>
      </c>
      <c r="M5" s="23">
        <f t="shared" si="7"/>
        <v>4.0625</v>
      </c>
      <c r="N5" s="23">
        <f t="shared" si="8"/>
        <v>9.5</v>
      </c>
      <c r="O5" s="29">
        <f t="shared" si="9"/>
        <v>8.275</v>
      </c>
      <c r="P5" s="29">
        <f t="shared" si="10"/>
        <v>4.10625</v>
      </c>
      <c r="Q5" s="23">
        <f t="shared" si="11"/>
        <v>331</v>
      </c>
      <c r="R5" s="23">
        <f t="shared" si="12"/>
        <v>164.25</v>
      </c>
      <c r="S5" s="30">
        <v>10.0</v>
      </c>
      <c r="T5" s="30">
        <v>4.0</v>
      </c>
      <c r="Z5" s="23">
        <f t="shared" ref="Z5:AA5" si="13">V5/4</f>
        <v>0</v>
      </c>
      <c r="AA5" s="23">
        <f t="shared" si="13"/>
        <v>0</v>
      </c>
      <c r="AB5" s="23"/>
      <c r="AC5" s="31" t="s">
        <v>45</v>
      </c>
      <c r="AD5" s="32">
        <v>19.0</v>
      </c>
      <c r="AE5" s="33" t="s">
        <v>47</v>
      </c>
      <c r="AF5" s="34" t="s">
        <v>48</v>
      </c>
      <c r="AG5" s="23"/>
    </row>
    <row r="6" ht="15.75" customHeight="1">
      <c r="A6" s="22" t="str">
        <f t="shared" si="3"/>
        <v>lunes</v>
      </c>
      <c r="B6" s="24" t="str">
        <f t="shared" si="4"/>
        <v>junio</v>
      </c>
      <c r="C6" s="25">
        <v>46174.0</v>
      </c>
      <c r="D6" s="26" t="s">
        <v>44</v>
      </c>
      <c r="E6" s="27">
        <v>110.0</v>
      </c>
      <c r="F6" s="27">
        <v>13.0</v>
      </c>
      <c r="G6" s="27">
        <v>0.0</v>
      </c>
      <c r="H6" s="27">
        <v>0.0</v>
      </c>
      <c r="J6" s="28" t="s">
        <v>44</v>
      </c>
      <c r="K6" s="23">
        <f t="shared" si="5"/>
        <v>81.6</v>
      </c>
      <c r="L6" s="23">
        <f t="shared" si="6"/>
        <v>62</v>
      </c>
      <c r="M6" s="23">
        <f t="shared" si="7"/>
        <v>0</v>
      </c>
      <c r="N6" s="23">
        <f t="shared" si="8"/>
        <v>0</v>
      </c>
      <c r="O6" s="29">
        <f t="shared" si="9"/>
        <v>7.418181818</v>
      </c>
      <c r="P6" s="29">
        <f t="shared" si="10"/>
        <v>5.636363636</v>
      </c>
      <c r="Q6" s="23">
        <f t="shared" si="11"/>
        <v>326.4</v>
      </c>
      <c r="R6" s="23">
        <f t="shared" si="12"/>
        <v>248</v>
      </c>
      <c r="S6" s="30">
        <v>11.0</v>
      </c>
      <c r="T6" s="30">
        <v>4.0</v>
      </c>
      <c r="Z6" s="23">
        <f t="shared" ref="Z6:AA6" si="14">V6/4</f>
        <v>0</v>
      </c>
      <c r="AA6" s="23">
        <f t="shared" si="14"/>
        <v>0</v>
      </c>
      <c r="AB6" s="23"/>
      <c r="AC6" s="35" t="s">
        <v>55</v>
      </c>
      <c r="AD6" s="32">
        <v>0.0</v>
      </c>
      <c r="AE6" s="33" t="s">
        <v>56</v>
      </c>
      <c r="AF6" s="36" t="s">
        <v>57</v>
      </c>
      <c r="AG6" s="23"/>
    </row>
    <row r="7" ht="15.75" customHeight="1">
      <c r="A7" s="22" t="str">
        <f t="shared" si="3"/>
        <v>lunes</v>
      </c>
      <c r="B7" s="24" t="str">
        <f t="shared" si="4"/>
        <v>junio</v>
      </c>
      <c r="C7" s="25">
        <v>46174.0</v>
      </c>
      <c r="D7" s="26" t="s">
        <v>58</v>
      </c>
      <c r="E7" s="27">
        <v>55.0</v>
      </c>
      <c r="F7" s="27">
        <v>30.0</v>
      </c>
      <c r="G7" s="27">
        <v>4.0</v>
      </c>
      <c r="H7" s="27">
        <v>4.0</v>
      </c>
      <c r="J7" s="28" t="s">
        <v>59</v>
      </c>
      <c r="K7" s="23">
        <f t="shared" si="5"/>
        <v>96</v>
      </c>
      <c r="L7" s="23">
        <f t="shared" si="6"/>
        <v>82</v>
      </c>
      <c r="M7" s="23">
        <f t="shared" si="7"/>
        <v>2</v>
      </c>
      <c r="N7" s="23">
        <f t="shared" si="8"/>
        <v>2</v>
      </c>
      <c r="O7" s="29">
        <f t="shared" si="9"/>
        <v>8.727272727</v>
      </c>
      <c r="P7" s="29">
        <f t="shared" si="10"/>
        <v>7.454545455</v>
      </c>
      <c r="Q7" s="23">
        <f t="shared" si="11"/>
        <v>384</v>
      </c>
      <c r="R7" s="23">
        <f t="shared" si="12"/>
        <v>328</v>
      </c>
      <c r="S7" s="30">
        <v>11.0</v>
      </c>
      <c r="T7" s="30">
        <v>4.0</v>
      </c>
      <c r="Z7" s="23">
        <f t="shared" ref="Z7:AA7" si="15">V7/4</f>
        <v>0</v>
      </c>
      <c r="AA7" s="23">
        <f t="shared" si="15"/>
        <v>0</v>
      </c>
      <c r="AB7" s="23"/>
      <c r="AC7" s="31" t="s">
        <v>61</v>
      </c>
      <c r="AD7" s="32">
        <v>170.0</v>
      </c>
      <c r="AE7" s="33" t="s">
        <v>62</v>
      </c>
      <c r="AF7" s="36" t="s">
        <v>63</v>
      </c>
      <c r="AG7" s="23"/>
    </row>
    <row r="8" ht="15.75" customHeight="1">
      <c r="A8" s="22" t="str">
        <f t="shared" si="3"/>
        <v>lunes</v>
      </c>
      <c r="B8" s="24" t="str">
        <f t="shared" si="4"/>
        <v>junio</v>
      </c>
      <c r="C8" s="25">
        <v>46174.0</v>
      </c>
      <c r="D8" s="26" t="s">
        <v>64</v>
      </c>
      <c r="E8" s="27">
        <v>125.0</v>
      </c>
      <c r="F8" s="27">
        <v>68.0</v>
      </c>
      <c r="G8" s="27">
        <v>7.0</v>
      </c>
      <c r="H8" s="27">
        <v>5.0</v>
      </c>
      <c r="J8" s="28" t="s">
        <v>52</v>
      </c>
      <c r="K8" s="23">
        <f t="shared" si="5"/>
        <v>69.86666667</v>
      </c>
      <c r="L8" s="23">
        <f t="shared" si="6"/>
        <v>52</v>
      </c>
      <c r="M8" s="23">
        <f t="shared" si="7"/>
        <v>4.333333333</v>
      </c>
      <c r="N8" s="23">
        <f t="shared" si="8"/>
        <v>5.066666667</v>
      </c>
      <c r="O8" s="29">
        <f t="shared" si="9"/>
        <v>6.986666667</v>
      </c>
      <c r="P8" s="29">
        <f t="shared" si="10"/>
        <v>5.2</v>
      </c>
      <c r="Q8" s="23">
        <f t="shared" si="11"/>
        <v>279.4666667</v>
      </c>
      <c r="R8" s="23">
        <f t="shared" si="12"/>
        <v>208</v>
      </c>
      <c r="S8" s="30">
        <v>10.0</v>
      </c>
      <c r="T8" s="30">
        <v>4.0</v>
      </c>
      <c r="Z8" s="23">
        <f t="shared" ref="Z8:AA8" si="16">V8/4</f>
        <v>0</v>
      </c>
      <c r="AA8" s="23">
        <f t="shared" si="16"/>
        <v>0</v>
      </c>
      <c r="AB8" s="23"/>
      <c r="AC8" s="23"/>
      <c r="AD8" s="23"/>
      <c r="AE8" s="23"/>
      <c r="AF8" s="23"/>
      <c r="AG8" s="23"/>
    </row>
    <row r="9" ht="15.75" customHeight="1">
      <c r="A9" s="22" t="str">
        <f t="shared" si="3"/>
        <v>lunes</v>
      </c>
      <c r="B9" s="24" t="str">
        <f t="shared" si="4"/>
        <v>junio</v>
      </c>
      <c r="C9" s="25">
        <v>46174.0</v>
      </c>
      <c r="D9" s="26" t="s">
        <v>65</v>
      </c>
      <c r="E9" s="27">
        <v>90.0</v>
      </c>
      <c r="F9" s="27">
        <v>80.0</v>
      </c>
      <c r="G9" s="27">
        <v>4.0</v>
      </c>
      <c r="H9" s="27">
        <v>4.0</v>
      </c>
      <c r="J9" s="28" t="s">
        <v>53</v>
      </c>
      <c r="K9" s="23">
        <f t="shared" si="5"/>
        <v>73</v>
      </c>
      <c r="L9" s="23">
        <f t="shared" si="6"/>
        <v>50.5</v>
      </c>
      <c r="M9" s="23">
        <f t="shared" si="7"/>
        <v>1.833333333</v>
      </c>
      <c r="N9" s="23">
        <f t="shared" si="8"/>
        <v>2.833333333</v>
      </c>
      <c r="O9" s="29">
        <f t="shared" si="9"/>
        <v>7.3</v>
      </c>
      <c r="P9" s="29">
        <f t="shared" si="10"/>
        <v>5.05</v>
      </c>
      <c r="Q9" s="23">
        <f t="shared" si="11"/>
        <v>292</v>
      </c>
      <c r="R9" s="23">
        <f t="shared" si="12"/>
        <v>202</v>
      </c>
      <c r="S9" s="30">
        <v>10.0</v>
      </c>
      <c r="T9" s="30">
        <v>4.0</v>
      </c>
      <c r="Z9" s="23">
        <f t="shared" ref="Z9:AA9" si="17">V9/4</f>
        <v>0</v>
      </c>
      <c r="AA9" s="23">
        <f t="shared" si="17"/>
        <v>0</v>
      </c>
      <c r="AB9" s="23"/>
      <c r="AC9" s="23"/>
      <c r="AD9" s="23"/>
      <c r="AE9" s="23"/>
      <c r="AF9" s="23"/>
      <c r="AG9" s="23"/>
    </row>
    <row r="10" ht="15.75" customHeight="1">
      <c r="A10" s="22" t="str">
        <f t="shared" si="3"/>
        <v>lunes</v>
      </c>
      <c r="B10" s="24" t="str">
        <f t="shared" si="4"/>
        <v>junio</v>
      </c>
      <c r="C10" s="25">
        <v>46174.0</v>
      </c>
      <c r="D10" s="26" t="s">
        <v>60</v>
      </c>
      <c r="E10" s="27">
        <v>243.0</v>
      </c>
      <c r="F10" s="27">
        <v>103.0</v>
      </c>
      <c r="G10" s="27">
        <v>1.0</v>
      </c>
      <c r="H10" s="27">
        <v>15.0</v>
      </c>
      <c r="J10" s="28" t="s">
        <v>60</v>
      </c>
      <c r="K10" s="23">
        <f t="shared" si="5"/>
        <v>191.3076923</v>
      </c>
      <c r="L10" s="23">
        <f t="shared" si="6"/>
        <v>124.2307692</v>
      </c>
      <c r="M10" s="23">
        <f t="shared" si="7"/>
        <v>4.076923077</v>
      </c>
      <c r="N10" s="23">
        <f t="shared" si="8"/>
        <v>7.461538462</v>
      </c>
      <c r="O10" s="29">
        <f t="shared" si="9"/>
        <v>19.13076923</v>
      </c>
      <c r="P10" s="29">
        <f t="shared" si="10"/>
        <v>12.42307692</v>
      </c>
      <c r="Q10" s="23">
        <f t="shared" si="11"/>
        <v>765.2307692</v>
      </c>
      <c r="R10" s="23">
        <f t="shared" si="12"/>
        <v>496.9230769</v>
      </c>
      <c r="S10" s="30">
        <v>10.0</v>
      </c>
      <c r="T10" s="30">
        <v>4.0</v>
      </c>
      <c r="Z10" s="23">
        <f t="shared" ref="Z10:AA10" si="18">V10/4</f>
        <v>0</v>
      </c>
      <c r="AA10" s="23">
        <f t="shared" si="18"/>
        <v>0</v>
      </c>
      <c r="AB10" s="23"/>
      <c r="AC10" s="23"/>
      <c r="AD10" s="23"/>
      <c r="AE10" s="23"/>
      <c r="AF10" s="23"/>
      <c r="AG10" s="23"/>
    </row>
    <row r="11" ht="15.75" customHeight="1">
      <c r="A11" s="22" t="str">
        <f t="shared" si="3"/>
        <v>lunes</v>
      </c>
      <c r="B11" s="24" t="str">
        <f t="shared" si="4"/>
        <v>junio</v>
      </c>
      <c r="C11" s="25">
        <v>46174.0</v>
      </c>
      <c r="D11" s="26" t="s">
        <v>66</v>
      </c>
      <c r="E11" s="27">
        <v>89.0</v>
      </c>
      <c r="F11" s="27">
        <v>88.0</v>
      </c>
      <c r="G11" s="27">
        <v>0.0</v>
      </c>
      <c r="H11" s="27">
        <v>4.0</v>
      </c>
      <c r="J11" s="28" t="s">
        <v>41</v>
      </c>
      <c r="K11" s="23">
        <f t="shared" si="5"/>
        <v>69.25</v>
      </c>
      <c r="L11" s="23">
        <f t="shared" si="6"/>
        <v>52.33333333</v>
      </c>
      <c r="M11" s="23">
        <f t="shared" si="7"/>
        <v>1.75</v>
      </c>
      <c r="N11" s="23">
        <f t="shared" si="8"/>
        <v>3.5</v>
      </c>
      <c r="O11" s="29">
        <f t="shared" si="9"/>
        <v>6.295454545</v>
      </c>
      <c r="P11" s="29">
        <f t="shared" si="10"/>
        <v>4.757575758</v>
      </c>
      <c r="Q11" s="23">
        <f t="shared" si="11"/>
        <v>277</v>
      </c>
      <c r="R11" s="23">
        <f t="shared" si="12"/>
        <v>209.3333333</v>
      </c>
      <c r="S11" s="30">
        <v>11.0</v>
      </c>
      <c r="T11" s="30">
        <v>4.0</v>
      </c>
      <c r="Z11" s="23">
        <f t="shared" ref="Z11:AA11" si="19">V11/4</f>
        <v>0</v>
      </c>
      <c r="AA11" s="23">
        <f t="shared" si="19"/>
        <v>0</v>
      </c>
      <c r="AB11" s="23"/>
      <c r="AC11" s="23"/>
      <c r="AD11" s="23"/>
      <c r="AE11" s="23"/>
      <c r="AF11" s="23"/>
      <c r="AG11" s="23"/>
    </row>
    <row r="12" ht="15.75" customHeight="1">
      <c r="A12" s="22" t="str">
        <f t="shared" si="3"/>
        <v>martes</v>
      </c>
      <c r="B12" s="24" t="str">
        <f t="shared" si="4"/>
        <v>junio</v>
      </c>
      <c r="C12" s="25">
        <v>46175.0</v>
      </c>
      <c r="D12" s="26" t="s">
        <v>39</v>
      </c>
      <c r="E12" s="27">
        <v>130.0</v>
      </c>
      <c r="F12" s="27">
        <v>77.0</v>
      </c>
      <c r="G12" s="27">
        <v>0.0</v>
      </c>
      <c r="H12" s="27">
        <v>8.0</v>
      </c>
      <c r="J12" s="28" t="s">
        <v>42</v>
      </c>
      <c r="K12" s="23">
        <f t="shared" si="5"/>
        <v>141.3333333</v>
      </c>
      <c r="L12" s="23">
        <f t="shared" si="6"/>
        <v>78.38888889</v>
      </c>
      <c r="M12" s="23">
        <f t="shared" si="7"/>
        <v>3.444444444</v>
      </c>
      <c r="N12" s="23">
        <f t="shared" si="8"/>
        <v>7.611111111</v>
      </c>
      <c r="O12" s="29">
        <f t="shared" si="9"/>
        <v>14.13333333</v>
      </c>
      <c r="P12" s="29">
        <f t="shared" si="10"/>
        <v>7.838888889</v>
      </c>
      <c r="Q12" s="23">
        <f t="shared" si="11"/>
        <v>565.3333333</v>
      </c>
      <c r="R12" s="23">
        <f t="shared" si="12"/>
        <v>313.5555556</v>
      </c>
      <c r="S12" s="30">
        <v>10.0</v>
      </c>
      <c r="T12" s="30">
        <v>4.0</v>
      </c>
      <c r="Z12" s="23">
        <f t="shared" ref="Z12:AA12" si="20">V12/4</f>
        <v>0</v>
      </c>
      <c r="AA12" s="23">
        <f t="shared" si="20"/>
        <v>0</v>
      </c>
      <c r="AB12" s="23"/>
      <c r="AC12" s="23"/>
      <c r="AD12" s="23"/>
      <c r="AE12" s="23"/>
      <c r="AF12" s="23"/>
      <c r="AG12" s="23"/>
    </row>
    <row r="13" ht="15.75" customHeight="1">
      <c r="A13" s="22" t="str">
        <f t="shared" si="3"/>
        <v>martes</v>
      </c>
      <c r="B13" s="24" t="str">
        <f t="shared" si="4"/>
        <v>junio</v>
      </c>
      <c r="C13" s="25">
        <v>46175.0</v>
      </c>
      <c r="D13" s="26" t="s">
        <v>42</v>
      </c>
      <c r="E13" s="27">
        <v>218.0</v>
      </c>
      <c r="F13" s="27">
        <v>121.0</v>
      </c>
      <c r="G13" s="27">
        <v>4.0</v>
      </c>
      <c r="H13" s="27">
        <v>11.0</v>
      </c>
      <c r="J13" s="28" t="s">
        <v>67</v>
      </c>
      <c r="K13" s="23">
        <f t="shared" si="5"/>
        <v>68.07142857</v>
      </c>
      <c r="L13" s="23">
        <f t="shared" si="6"/>
        <v>51.78571429</v>
      </c>
      <c r="M13" s="23">
        <f t="shared" si="7"/>
        <v>5.571428571</v>
      </c>
      <c r="N13" s="23">
        <f t="shared" si="8"/>
        <v>4.5</v>
      </c>
      <c r="O13" s="29">
        <f t="shared" si="9"/>
        <v>6.807142857</v>
      </c>
      <c r="P13" s="29">
        <f t="shared" si="10"/>
        <v>5.178571429</v>
      </c>
      <c r="Q13" s="23">
        <f t="shared" si="11"/>
        <v>272.2857143</v>
      </c>
      <c r="R13" s="23">
        <f t="shared" si="12"/>
        <v>207.1428571</v>
      </c>
      <c r="S13" s="30">
        <v>10.0</v>
      </c>
      <c r="T13" s="30">
        <v>4.0</v>
      </c>
      <c r="Z13" s="23">
        <f t="shared" ref="Z13:AA13" si="21">V13/4</f>
        <v>0</v>
      </c>
      <c r="AA13" s="23">
        <f t="shared" si="21"/>
        <v>0</v>
      </c>
      <c r="AB13" s="23"/>
      <c r="AC13" s="23"/>
      <c r="AD13" s="23"/>
      <c r="AE13" s="23"/>
      <c r="AF13" s="23"/>
      <c r="AG13" s="23"/>
    </row>
    <row r="14" ht="15.75" customHeight="1">
      <c r="A14" s="22" t="str">
        <f t="shared" si="3"/>
        <v>martes</v>
      </c>
      <c r="B14" s="24" t="str">
        <f t="shared" si="4"/>
        <v>junio</v>
      </c>
      <c r="C14" s="25">
        <v>46175.0</v>
      </c>
      <c r="D14" s="26" t="s">
        <v>59</v>
      </c>
      <c r="E14" s="27">
        <v>96.0</v>
      </c>
      <c r="F14" s="27">
        <v>82.0</v>
      </c>
      <c r="G14" s="27">
        <v>2.0</v>
      </c>
      <c r="H14" s="27">
        <v>2.0</v>
      </c>
      <c r="J14" s="28" t="s">
        <v>58</v>
      </c>
      <c r="K14" s="23">
        <f t="shared" si="5"/>
        <v>59.21052632</v>
      </c>
      <c r="L14" s="23">
        <f t="shared" si="6"/>
        <v>33.47368421</v>
      </c>
      <c r="M14" s="23">
        <f t="shared" si="7"/>
        <v>5.052631579</v>
      </c>
      <c r="N14" s="23">
        <f t="shared" si="8"/>
        <v>1.789473684</v>
      </c>
      <c r="O14" s="29">
        <f t="shared" si="9"/>
        <v>7.401315789</v>
      </c>
      <c r="P14" s="29">
        <f t="shared" si="10"/>
        <v>4.184210526</v>
      </c>
      <c r="Q14" s="23">
        <f t="shared" si="11"/>
        <v>296.0526316</v>
      </c>
      <c r="R14" s="23">
        <f t="shared" si="12"/>
        <v>167.3684211</v>
      </c>
      <c r="S14" s="30">
        <v>8.0</v>
      </c>
      <c r="T14" s="30">
        <v>5.0</v>
      </c>
      <c r="Z14" s="23">
        <f t="shared" ref="Z14:AA14" si="22">V14/4</f>
        <v>0</v>
      </c>
      <c r="AA14" s="23">
        <f t="shared" si="22"/>
        <v>0</v>
      </c>
      <c r="AB14" s="23"/>
      <c r="AC14" s="23"/>
      <c r="AD14" s="23"/>
      <c r="AE14" s="23"/>
      <c r="AF14" s="23"/>
      <c r="AG14" s="23"/>
    </row>
    <row r="15" ht="15.75" customHeight="1">
      <c r="A15" s="22" t="str">
        <f t="shared" si="3"/>
        <v>martes</v>
      </c>
      <c r="B15" s="24" t="str">
        <f t="shared" si="4"/>
        <v>junio</v>
      </c>
      <c r="C15" s="25">
        <v>46175.0</v>
      </c>
      <c r="D15" s="22" t="s">
        <v>46</v>
      </c>
      <c r="E15" s="27">
        <v>134.0</v>
      </c>
      <c r="F15" s="27">
        <v>80.0</v>
      </c>
      <c r="G15" s="27">
        <v>1.0</v>
      </c>
      <c r="H15" s="27">
        <v>3.0</v>
      </c>
      <c r="J15" s="28" t="s">
        <v>64</v>
      </c>
      <c r="K15" s="23">
        <f t="shared" si="5"/>
        <v>179.952381</v>
      </c>
      <c r="L15" s="23">
        <f t="shared" si="6"/>
        <v>120.5714286</v>
      </c>
      <c r="M15" s="23">
        <f t="shared" si="7"/>
        <v>6.523809524</v>
      </c>
      <c r="N15" s="23">
        <f t="shared" si="8"/>
        <v>13.76190476</v>
      </c>
      <c r="O15" s="29">
        <f t="shared" si="9"/>
        <v>22.49404762</v>
      </c>
      <c r="P15" s="29">
        <f t="shared" si="10"/>
        <v>15.07142857</v>
      </c>
      <c r="Q15" s="23">
        <f t="shared" si="11"/>
        <v>899.7619048</v>
      </c>
      <c r="R15" s="23">
        <f t="shared" si="12"/>
        <v>602.8571429</v>
      </c>
      <c r="S15" s="30">
        <v>8.0</v>
      </c>
      <c r="T15" s="30">
        <v>5.0</v>
      </c>
      <c r="Z15" s="23">
        <f t="shared" ref="Z15:AA15" si="23">V15/4</f>
        <v>0</v>
      </c>
      <c r="AA15" s="23">
        <f t="shared" si="23"/>
        <v>0</v>
      </c>
      <c r="AB15" s="23"/>
      <c r="AC15" s="23"/>
      <c r="AD15" s="23"/>
      <c r="AE15" s="23"/>
      <c r="AF15" s="23"/>
      <c r="AG15" s="23"/>
    </row>
    <row r="16" ht="15.75" customHeight="1">
      <c r="A16" s="22" t="str">
        <f t="shared" si="3"/>
        <v>martes</v>
      </c>
      <c r="B16" s="24" t="str">
        <f t="shared" si="4"/>
        <v>junio</v>
      </c>
      <c r="C16" s="25">
        <v>46175.0</v>
      </c>
      <c r="D16" s="26" t="s">
        <v>64</v>
      </c>
      <c r="E16" s="27">
        <v>292.0</v>
      </c>
      <c r="F16" s="27">
        <v>185.0</v>
      </c>
      <c r="G16" s="27">
        <v>5.0</v>
      </c>
      <c r="H16" s="27">
        <v>6.0</v>
      </c>
      <c r="J16" s="28" t="s">
        <v>65</v>
      </c>
      <c r="K16" s="23">
        <f t="shared" si="5"/>
        <v>96.27272727</v>
      </c>
      <c r="L16" s="23">
        <f t="shared" si="6"/>
        <v>80.36363636</v>
      </c>
      <c r="M16" s="23">
        <f t="shared" si="7"/>
        <v>4.545454545</v>
      </c>
      <c r="N16" s="23">
        <f t="shared" si="8"/>
        <v>3.863636364</v>
      </c>
      <c r="O16" s="29">
        <f t="shared" si="9"/>
        <v>12.03409091</v>
      </c>
      <c r="P16" s="29">
        <f t="shared" si="10"/>
        <v>10.04545455</v>
      </c>
      <c r="Q16" s="23">
        <f t="shared" si="11"/>
        <v>481.3636364</v>
      </c>
      <c r="R16" s="23">
        <f t="shared" si="12"/>
        <v>401.8181818</v>
      </c>
      <c r="S16" s="30">
        <v>8.0</v>
      </c>
      <c r="T16" s="30">
        <v>5.0</v>
      </c>
      <c r="Z16" s="23">
        <f t="shared" ref="Z16:AA16" si="24">V16/4</f>
        <v>0</v>
      </c>
      <c r="AA16" s="23">
        <f t="shared" si="24"/>
        <v>0</v>
      </c>
      <c r="AB16" s="23"/>
      <c r="AC16" s="23"/>
      <c r="AD16" s="23"/>
      <c r="AE16" s="23"/>
      <c r="AF16" s="23"/>
      <c r="AG16" s="23"/>
    </row>
    <row r="17" ht="15.75" customHeight="1">
      <c r="A17" s="22" t="str">
        <f t="shared" si="3"/>
        <v>martes</v>
      </c>
      <c r="B17" s="24" t="str">
        <f t="shared" si="4"/>
        <v>junio</v>
      </c>
      <c r="C17" s="25">
        <v>46175.0</v>
      </c>
      <c r="D17" s="26" t="s">
        <v>65</v>
      </c>
      <c r="E17" s="27">
        <v>177.0</v>
      </c>
      <c r="F17" s="27">
        <v>156.0</v>
      </c>
      <c r="G17" s="27">
        <v>3.0</v>
      </c>
      <c r="H17" s="27">
        <v>1.0</v>
      </c>
      <c r="J17" s="28" t="s">
        <v>51</v>
      </c>
      <c r="K17" s="23">
        <f t="shared" si="5"/>
        <v>137.6666667</v>
      </c>
      <c r="L17" s="23">
        <f t="shared" si="6"/>
        <v>122.4666667</v>
      </c>
      <c r="M17" s="23">
        <f t="shared" si="7"/>
        <v>3.4</v>
      </c>
      <c r="N17" s="23">
        <f t="shared" si="8"/>
        <v>15.2</v>
      </c>
      <c r="O17" s="29">
        <f t="shared" si="9"/>
        <v>12.51515152</v>
      </c>
      <c r="P17" s="29">
        <f t="shared" si="10"/>
        <v>11.13333333</v>
      </c>
      <c r="Q17" s="23">
        <f t="shared" si="11"/>
        <v>550.6666667</v>
      </c>
      <c r="R17" s="23">
        <f t="shared" si="12"/>
        <v>489.8666667</v>
      </c>
      <c r="S17" s="30">
        <v>11.0</v>
      </c>
      <c r="T17" s="30">
        <v>4.0</v>
      </c>
      <c r="Z17" s="23">
        <f t="shared" ref="Z17:AA17" si="25">V17/4</f>
        <v>0</v>
      </c>
      <c r="AA17" s="23">
        <f t="shared" si="25"/>
        <v>0</v>
      </c>
      <c r="AB17" s="23"/>
      <c r="AC17" s="23"/>
      <c r="AD17" s="23"/>
      <c r="AE17" s="23"/>
      <c r="AF17" s="23"/>
      <c r="AG17" s="23"/>
    </row>
    <row r="18" ht="15.75" customHeight="1">
      <c r="A18" s="22" t="str">
        <f t="shared" si="3"/>
        <v>martes</v>
      </c>
      <c r="B18" s="24" t="str">
        <f t="shared" si="4"/>
        <v>junio</v>
      </c>
      <c r="C18" s="25">
        <v>46175.0</v>
      </c>
      <c r="D18" s="26" t="s">
        <v>66</v>
      </c>
      <c r="E18" s="27">
        <v>186.0</v>
      </c>
      <c r="F18" s="27">
        <v>176.0</v>
      </c>
      <c r="G18" s="27">
        <v>1.0</v>
      </c>
      <c r="H18" s="27">
        <v>7.0</v>
      </c>
      <c r="J18" s="28" t="s">
        <v>66</v>
      </c>
      <c r="K18" s="23">
        <f t="shared" si="5"/>
        <v>119.4210526</v>
      </c>
      <c r="L18" s="23">
        <f t="shared" si="6"/>
        <v>109.6842105</v>
      </c>
      <c r="M18" s="23">
        <f t="shared" si="7"/>
        <v>1</v>
      </c>
      <c r="N18" s="23">
        <f t="shared" si="8"/>
        <v>4.631578947</v>
      </c>
      <c r="O18" s="29">
        <f t="shared" si="9"/>
        <v>14.92763158</v>
      </c>
      <c r="P18" s="29">
        <f t="shared" si="10"/>
        <v>13.71052632</v>
      </c>
      <c r="Q18" s="23">
        <f t="shared" si="11"/>
        <v>597.1052632</v>
      </c>
      <c r="R18" s="23">
        <f t="shared" si="12"/>
        <v>548.4210526</v>
      </c>
      <c r="S18" s="30">
        <v>8.0</v>
      </c>
      <c r="T18" s="30">
        <v>5.0</v>
      </c>
      <c r="Z18" s="23">
        <f t="shared" ref="Z18:AA18" si="26">V18/4</f>
        <v>0</v>
      </c>
      <c r="AA18" s="23">
        <f t="shared" si="26"/>
        <v>0</v>
      </c>
      <c r="AB18" s="23"/>
      <c r="AC18" s="23"/>
      <c r="AD18" s="23"/>
      <c r="AE18" s="23"/>
      <c r="AF18" s="23"/>
      <c r="AG18" s="23"/>
    </row>
    <row r="19" ht="15.75" customHeight="1">
      <c r="A19" s="22" t="str">
        <f t="shared" si="3"/>
        <v>miércoles</v>
      </c>
      <c r="B19" s="24" t="str">
        <f t="shared" si="4"/>
        <v>junio</v>
      </c>
      <c r="C19" s="25">
        <v>46176.0</v>
      </c>
      <c r="D19" s="26" t="s">
        <v>39</v>
      </c>
      <c r="E19" s="27">
        <v>173.0</v>
      </c>
      <c r="F19" s="27">
        <v>97.0</v>
      </c>
      <c r="G19" s="27">
        <v>1.0</v>
      </c>
      <c r="H19" s="27">
        <v>18.0</v>
      </c>
      <c r="AO19" s="38"/>
    </row>
    <row r="20" ht="15.75" customHeight="1">
      <c r="A20" s="22" t="str">
        <f t="shared" si="3"/>
        <v>miércoles</v>
      </c>
      <c r="B20" s="24" t="str">
        <f t="shared" si="4"/>
        <v>junio</v>
      </c>
      <c r="C20" s="25">
        <v>46176.0</v>
      </c>
      <c r="D20" s="26" t="s">
        <v>42</v>
      </c>
      <c r="E20" s="27">
        <v>234.0</v>
      </c>
      <c r="F20" s="27">
        <v>134.0</v>
      </c>
      <c r="G20" s="27">
        <v>4.0</v>
      </c>
      <c r="H20" s="27">
        <v>1.0</v>
      </c>
      <c r="J20" s="39" t="s">
        <v>69</v>
      </c>
      <c r="K20" s="40">
        <f t="shared" ref="K20:R20" si="27">AVERAGE(K4:K18)</f>
        <v>104.180165</v>
      </c>
      <c r="L20" s="40">
        <f t="shared" si="27"/>
        <v>74.76109251</v>
      </c>
      <c r="M20" s="40">
        <f t="shared" si="27"/>
        <v>3.19884982</v>
      </c>
      <c r="N20" s="40">
        <f t="shared" si="27"/>
        <v>5.825727333</v>
      </c>
      <c r="O20" s="39">
        <f t="shared" si="27"/>
        <v>11.10473724</v>
      </c>
      <c r="P20" s="39">
        <f t="shared" si="27"/>
        <v>7.957311322</v>
      </c>
      <c r="Q20" s="39">
        <f t="shared" si="27"/>
        <v>453.5111057</v>
      </c>
      <c r="R20" s="39">
        <f t="shared" si="27"/>
        <v>326.0209377</v>
      </c>
      <c r="AA20" s="23"/>
      <c r="AB20" s="23"/>
      <c r="AC20" s="23"/>
      <c r="AD20" s="23"/>
      <c r="AE20" s="23"/>
      <c r="AF20" s="23"/>
      <c r="AG20" s="23"/>
      <c r="AN20" s="38"/>
      <c r="AO20" s="38"/>
    </row>
    <row r="21" ht="15.75" customHeight="1">
      <c r="A21" s="22" t="str">
        <f t="shared" si="3"/>
        <v>miércoles</v>
      </c>
      <c r="B21" s="24" t="str">
        <f t="shared" si="4"/>
        <v>junio</v>
      </c>
      <c r="C21" s="25">
        <v>46176.0</v>
      </c>
      <c r="D21" s="26" t="s">
        <v>51</v>
      </c>
      <c r="E21" s="27">
        <v>200.0</v>
      </c>
      <c r="F21" s="27">
        <v>175.0</v>
      </c>
      <c r="G21" s="27">
        <v>4.0</v>
      </c>
      <c r="H21" s="27">
        <v>30.0</v>
      </c>
      <c r="J21" s="5" t="s">
        <v>81</v>
      </c>
      <c r="K21" s="28" t="s">
        <v>65</v>
      </c>
      <c r="L21" s="23">
        <f>SUMIF($D$4:$D$350,K21,$E$4:$E$350)</f>
        <v>2118</v>
      </c>
      <c r="Q21" s="23">
        <f>L21/T21</f>
        <v>423.6</v>
      </c>
      <c r="T21" s="5">
        <v>5.0</v>
      </c>
      <c r="AN21" s="38"/>
      <c r="AO21" s="38"/>
    </row>
    <row r="22" ht="15.75" customHeight="1">
      <c r="A22" s="22" t="str">
        <f t="shared" si="3"/>
        <v>miércoles</v>
      </c>
      <c r="B22" s="24" t="str">
        <f t="shared" si="4"/>
        <v>junio</v>
      </c>
      <c r="C22" s="25">
        <v>46176.0</v>
      </c>
      <c r="D22" s="22" t="s">
        <v>46</v>
      </c>
      <c r="E22" s="27">
        <v>176.0</v>
      </c>
      <c r="F22" s="27">
        <v>90.0</v>
      </c>
      <c r="G22" s="27">
        <v>6.0</v>
      </c>
      <c r="H22" s="27">
        <v>3.0</v>
      </c>
      <c r="J22" s="42" t="s">
        <v>73</v>
      </c>
      <c r="AN22" s="38"/>
      <c r="AO22" s="30"/>
    </row>
    <row r="23" ht="15.75" customHeight="1">
      <c r="A23" s="22" t="str">
        <f t="shared" si="3"/>
        <v>miércoles</v>
      </c>
      <c r="B23" s="24" t="str">
        <f t="shared" si="4"/>
        <v>junio</v>
      </c>
      <c r="C23" s="25">
        <v>46176.0</v>
      </c>
      <c r="D23" s="26" t="s">
        <v>64</v>
      </c>
      <c r="E23" s="27">
        <v>354.0</v>
      </c>
      <c r="F23" s="27">
        <v>222.0</v>
      </c>
      <c r="G23" s="27">
        <v>7.0</v>
      </c>
      <c r="H23" s="27">
        <v>9.0</v>
      </c>
      <c r="K23" s="44" t="s">
        <v>74</v>
      </c>
      <c r="O23" s="45" t="s">
        <v>75</v>
      </c>
      <c r="Q23" s="45" t="s">
        <v>76</v>
      </c>
      <c r="U23" s="44" t="s">
        <v>74</v>
      </c>
      <c r="Y23" s="45" t="s">
        <v>75</v>
      </c>
      <c r="AA23" s="45" t="s">
        <v>76</v>
      </c>
      <c r="AN23" s="30"/>
      <c r="AO23" s="30"/>
    </row>
    <row r="24" ht="15.75" customHeight="1">
      <c r="A24" s="22" t="str">
        <f t="shared" si="3"/>
        <v>miércoles</v>
      </c>
      <c r="B24" s="24" t="str">
        <f t="shared" si="4"/>
        <v>junio</v>
      </c>
      <c r="C24" s="25">
        <v>46176.0</v>
      </c>
      <c r="D24" s="26" t="s">
        <v>65</v>
      </c>
      <c r="E24" s="27">
        <v>170.0</v>
      </c>
      <c r="F24" s="27">
        <v>145.0</v>
      </c>
      <c r="G24" s="27">
        <v>4.0</v>
      </c>
      <c r="H24" s="27">
        <v>4.0</v>
      </c>
      <c r="K24" s="47" t="s">
        <v>25</v>
      </c>
      <c r="L24" s="47" t="s">
        <v>26</v>
      </c>
      <c r="M24" s="48" t="s">
        <v>79</v>
      </c>
      <c r="N24" s="47" t="s">
        <v>31</v>
      </c>
      <c r="O24" s="47" t="s">
        <v>25</v>
      </c>
      <c r="P24" s="47" t="s">
        <v>26</v>
      </c>
      <c r="Q24" s="47" t="s">
        <v>25</v>
      </c>
      <c r="R24" s="47" t="s">
        <v>26</v>
      </c>
      <c r="U24" s="47" t="s">
        <v>25</v>
      </c>
      <c r="V24" s="47" t="s">
        <v>26</v>
      </c>
      <c r="W24" s="48" t="s">
        <v>79</v>
      </c>
      <c r="X24" s="47" t="s">
        <v>31</v>
      </c>
      <c r="Y24" s="47"/>
      <c r="Z24" s="47"/>
      <c r="AA24" s="47" t="s">
        <v>25</v>
      </c>
      <c r="AB24" s="47" t="s">
        <v>26</v>
      </c>
      <c r="AN24" s="30"/>
      <c r="AO24" s="30"/>
    </row>
    <row r="25" ht="15.75" customHeight="1">
      <c r="A25" s="22" t="str">
        <f t="shared" si="3"/>
        <v>miércoles</v>
      </c>
      <c r="B25" s="24" t="str">
        <f t="shared" si="4"/>
        <v>junio</v>
      </c>
      <c r="C25" s="25">
        <v>46176.0</v>
      </c>
      <c r="D25" s="26" t="s">
        <v>66</v>
      </c>
      <c r="E25" s="27">
        <v>204.0</v>
      </c>
      <c r="F25" s="27">
        <v>189.0</v>
      </c>
      <c r="G25" s="27">
        <v>0.0</v>
      </c>
      <c r="H25" s="27">
        <v>8.0</v>
      </c>
      <c r="K25" s="49" t="s">
        <v>60</v>
      </c>
      <c r="L25" s="49" t="s">
        <v>60</v>
      </c>
      <c r="M25" s="49" t="s">
        <v>64</v>
      </c>
      <c r="N25" s="49" t="s">
        <v>51</v>
      </c>
      <c r="O25" s="49" t="s">
        <v>64</v>
      </c>
      <c r="P25" s="49" t="s">
        <v>64</v>
      </c>
      <c r="Q25" s="49" t="s">
        <v>64</v>
      </c>
      <c r="R25" s="50" t="s">
        <v>64</v>
      </c>
      <c r="U25" s="49" t="s">
        <v>64</v>
      </c>
      <c r="V25" s="49" t="s">
        <v>64</v>
      </c>
      <c r="W25" s="49" t="s">
        <v>64</v>
      </c>
      <c r="X25" s="49" t="s">
        <v>64</v>
      </c>
      <c r="Y25" s="16"/>
      <c r="Z25" s="16"/>
      <c r="AA25" s="49" t="s">
        <v>64</v>
      </c>
      <c r="AB25" s="50" t="s">
        <v>64</v>
      </c>
      <c r="AN25" s="30"/>
      <c r="AO25" s="51"/>
    </row>
    <row r="26" ht="15.75" customHeight="1">
      <c r="A26" s="22" t="str">
        <f t="shared" si="3"/>
        <v>jueves</v>
      </c>
      <c r="B26" s="24" t="str">
        <f t="shared" si="4"/>
        <v>junio</v>
      </c>
      <c r="C26" s="25">
        <v>46177.0</v>
      </c>
      <c r="D26" s="26" t="s">
        <v>40</v>
      </c>
      <c r="E26" s="27">
        <v>53.0</v>
      </c>
      <c r="F26" s="27">
        <v>21.0</v>
      </c>
      <c r="G26" s="27">
        <v>6.0</v>
      </c>
      <c r="H26" s="27">
        <v>14.0</v>
      </c>
      <c r="K26" s="49" t="s">
        <v>64</v>
      </c>
      <c r="L26" s="49" t="s">
        <v>51</v>
      </c>
      <c r="M26" s="49" t="s">
        <v>67</v>
      </c>
      <c r="N26" s="49" t="s">
        <v>64</v>
      </c>
      <c r="O26" s="49" t="s">
        <v>60</v>
      </c>
      <c r="P26" s="49" t="s">
        <v>66</v>
      </c>
      <c r="Q26" s="49" t="s">
        <v>60</v>
      </c>
      <c r="R26" s="50" t="s">
        <v>66</v>
      </c>
      <c r="U26" s="49" t="s">
        <v>42</v>
      </c>
      <c r="V26" s="49" t="s">
        <v>66</v>
      </c>
      <c r="W26" s="49" t="s">
        <v>65</v>
      </c>
      <c r="X26" s="49" t="s">
        <v>65</v>
      </c>
      <c r="Y26" s="16"/>
      <c r="Z26" s="16"/>
      <c r="AA26" s="49" t="s">
        <v>42</v>
      </c>
      <c r="AB26" s="50" t="s">
        <v>66</v>
      </c>
      <c r="AN26" s="51"/>
      <c r="AO26" s="51"/>
    </row>
    <row r="27" ht="15.75" customHeight="1">
      <c r="A27" s="22" t="str">
        <f t="shared" si="3"/>
        <v>jueves</v>
      </c>
      <c r="B27" s="24" t="str">
        <f t="shared" si="4"/>
        <v>junio</v>
      </c>
      <c r="C27" s="25">
        <v>46177.0</v>
      </c>
      <c r="D27" s="26" t="s">
        <v>42</v>
      </c>
      <c r="E27" s="27">
        <v>192.0</v>
      </c>
      <c r="F27" s="27">
        <v>103.0</v>
      </c>
      <c r="G27" s="27">
        <v>6.0</v>
      </c>
      <c r="H27" s="27">
        <v>13.0</v>
      </c>
      <c r="K27" s="49" t="s">
        <v>42</v>
      </c>
      <c r="L27" s="49" t="s">
        <v>64</v>
      </c>
      <c r="M27" s="49" t="s">
        <v>58</v>
      </c>
      <c r="N27" s="49" t="s">
        <v>40</v>
      </c>
      <c r="O27" s="49" t="s">
        <v>66</v>
      </c>
      <c r="P27" s="49" t="s">
        <v>60</v>
      </c>
      <c r="Q27" s="49" t="s">
        <v>66</v>
      </c>
      <c r="R27" s="50" t="s">
        <v>60</v>
      </c>
      <c r="U27" s="49" t="s">
        <v>60</v>
      </c>
      <c r="V27" s="49" t="s">
        <v>51</v>
      </c>
      <c r="W27" s="49" t="s">
        <v>58</v>
      </c>
      <c r="X27" s="49" t="s">
        <v>58</v>
      </c>
      <c r="Y27" s="16"/>
      <c r="Z27" s="16"/>
      <c r="AA27" s="49" t="s">
        <v>60</v>
      </c>
      <c r="AB27" s="50" t="s">
        <v>51</v>
      </c>
    </row>
    <row r="28" ht="15.75" customHeight="1">
      <c r="A28" s="22" t="str">
        <f t="shared" si="3"/>
        <v>jueves</v>
      </c>
      <c r="B28" s="24" t="str">
        <f t="shared" si="4"/>
        <v>junio</v>
      </c>
      <c r="C28" s="25">
        <v>46177.0</v>
      </c>
      <c r="D28" s="26" t="s">
        <v>51</v>
      </c>
      <c r="E28" s="27">
        <v>223.0</v>
      </c>
      <c r="F28" s="27">
        <v>199.0</v>
      </c>
      <c r="G28" s="27">
        <v>3.0</v>
      </c>
      <c r="H28" s="27">
        <v>19.0</v>
      </c>
      <c r="K28" s="49" t="s">
        <v>51</v>
      </c>
      <c r="L28" s="49" t="s">
        <v>66</v>
      </c>
      <c r="M28" s="49" t="s">
        <v>65</v>
      </c>
      <c r="N28" s="49" t="s">
        <v>42</v>
      </c>
      <c r="O28" s="49" t="s">
        <v>42</v>
      </c>
      <c r="P28" s="49" t="s">
        <v>51</v>
      </c>
      <c r="Q28" s="49" t="s">
        <v>42</v>
      </c>
      <c r="R28" s="50" t="s">
        <v>51</v>
      </c>
      <c r="U28" s="49" t="s">
        <v>66</v>
      </c>
      <c r="V28" s="49" t="s">
        <v>65</v>
      </c>
      <c r="W28" s="49" t="s">
        <v>67</v>
      </c>
      <c r="X28" s="49" t="s">
        <v>67</v>
      </c>
      <c r="Y28" s="16"/>
      <c r="Z28" s="16"/>
      <c r="AA28" s="49" t="s">
        <v>66</v>
      </c>
      <c r="AB28" s="50" t="s">
        <v>65</v>
      </c>
    </row>
    <row r="29" ht="15.75" customHeight="1">
      <c r="A29" s="22" t="str">
        <f t="shared" si="3"/>
        <v>jueves</v>
      </c>
      <c r="B29" s="24" t="str">
        <f t="shared" si="4"/>
        <v>junio</v>
      </c>
      <c r="C29" s="25">
        <v>46177.0</v>
      </c>
      <c r="D29" s="26" t="s">
        <v>58</v>
      </c>
      <c r="E29" s="27">
        <v>57.0</v>
      </c>
      <c r="F29" s="27">
        <v>29.0</v>
      </c>
      <c r="G29" s="27">
        <v>10.0</v>
      </c>
      <c r="H29" s="27">
        <v>5.0</v>
      </c>
      <c r="K29" s="49" t="s">
        <v>66</v>
      </c>
      <c r="L29" s="49" t="s">
        <v>59</v>
      </c>
      <c r="M29" s="49" t="s">
        <v>52</v>
      </c>
      <c r="N29" s="49" t="s">
        <v>60</v>
      </c>
      <c r="O29" s="49" t="s">
        <v>51</v>
      </c>
      <c r="P29" s="49" t="s">
        <v>65</v>
      </c>
      <c r="Q29" s="49" t="s">
        <v>51</v>
      </c>
      <c r="R29" s="50" t="s">
        <v>65</v>
      </c>
      <c r="U29" s="49" t="s">
        <v>65</v>
      </c>
      <c r="V29" s="49" t="s">
        <v>60</v>
      </c>
      <c r="W29" s="49" t="s">
        <v>40</v>
      </c>
      <c r="X29" s="49" t="s">
        <v>40</v>
      </c>
      <c r="Y29" s="16"/>
      <c r="Z29" s="16"/>
      <c r="AA29" s="49" t="s">
        <v>65</v>
      </c>
      <c r="AB29" s="50" t="s">
        <v>60</v>
      </c>
    </row>
    <row r="30" ht="15.75" customHeight="1">
      <c r="A30" s="22" t="str">
        <f t="shared" si="3"/>
        <v>jueves</v>
      </c>
      <c r="B30" s="24" t="str">
        <f t="shared" si="4"/>
        <v>junio</v>
      </c>
      <c r="C30" s="25">
        <v>46177.0</v>
      </c>
      <c r="D30" s="26" t="s">
        <v>52</v>
      </c>
      <c r="E30" s="27">
        <v>46.0</v>
      </c>
      <c r="F30" s="27">
        <v>37.0</v>
      </c>
      <c r="G30" s="27">
        <v>4.0</v>
      </c>
      <c r="H30" s="27">
        <v>9.0</v>
      </c>
      <c r="K30" s="52" t="s">
        <v>39</v>
      </c>
      <c r="L30" s="52" t="s">
        <v>65</v>
      </c>
      <c r="M30" s="52" t="s">
        <v>60</v>
      </c>
      <c r="N30" s="52" t="s">
        <v>39</v>
      </c>
      <c r="O30" s="52" t="s">
        <v>39</v>
      </c>
      <c r="P30" s="52" t="s">
        <v>42</v>
      </c>
      <c r="Q30" s="52" t="s">
        <v>39</v>
      </c>
      <c r="R30" s="52" t="s">
        <v>59</v>
      </c>
      <c r="U30" s="52" t="s">
        <v>51</v>
      </c>
      <c r="V30" s="52" t="s">
        <v>42</v>
      </c>
      <c r="W30" s="52" t="s">
        <v>52</v>
      </c>
      <c r="X30" s="52" t="s">
        <v>52</v>
      </c>
      <c r="Y30" s="53"/>
      <c r="Z30" s="53"/>
      <c r="AA30" s="52" t="s">
        <v>51</v>
      </c>
      <c r="AB30" s="52" t="s">
        <v>42</v>
      </c>
    </row>
    <row r="31" ht="15.75" customHeight="1">
      <c r="A31" s="22" t="str">
        <f t="shared" si="3"/>
        <v>jueves</v>
      </c>
      <c r="B31" s="24" t="str">
        <f t="shared" si="4"/>
        <v>junio</v>
      </c>
      <c r="C31" s="25">
        <v>46177.0</v>
      </c>
      <c r="D31" s="26" t="s">
        <v>53</v>
      </c>
      <c r="E31" s="27">
        <v>72.0</v>
      </c>
      <c r="F31" s="27">
        <v>69.0</v>
      </c>
      <c r="G31" s="27">
        <v>0.0</v>
      </c>
      <c r="H31" s="27">
        <v>0.0</v>
      </c>
      <c r="K31" s="52" t="s">
        <v>65</v>
      </c>
      <c r="L31" s="52" t="s">
        <v>42</v>
      </c>
      <c r="M31" s="52" t="s">
        <v>40</v>
      </c>
      <c r="N31" s="52" t="s">
        <v>52</v>
      </c>
      <c r="O31" s="52" t="s">
        <v>65</v>
      </c>
      <c r="P31" s="52" t="s">
        <v>39</v>
      </c>
      <c r="Q31" s="52" t="s">
        <v>65</v>
      </c>
      <c r="R31" s="52" t="s">
        <v>42</v>
      </c>
      <c r="U31" s="52" t="s">
        <v>39</v>
      </c>
      <c r="V31" s="52" t="s">
        <v>39</v>
      </c>
      <c r="W31" s="52" t="s">
        <v>42</v>
      </c>
      <c r="X31" s="52" t="s">
        <v>42</v>
      </c>
      <c r="Y31" s="53"/>
      <c r="Z31" s="53"/>
      <c r="AA31" s="52" t="s">
        <v>39</v>
      </c>
      <c r="AB31" s="52" t="s">
        <v>39</v>
      </c>
    </row>
    <row r="32" ht="15.75" customHeight="1">
      <c r="A32" s="22" t="str">
        <f t="shared" si="3"/>
        <v>jueves</v>
      </c>
      <c r="B32" s="24" t="str">
        <f t="shared" si="4"/>
        <v>junio</v>
      </c>
      <c r="C32" s="25">
        <v>46177.0</v>
      </c>
      <c r="D32" s="26" t="s">
        <v>64</v>
      </c>
      <c r="E32" s="27">
        <v>159.0</v>
      </c>
      <c r="F32" s="27">
        <v>140.0</v>
      </c>
      <c r="G32" s="27">
        <v>8.0</v>
      </c>
      <c r="H32" s="27">
        <v>7.0</v>
      </c>
      <c r="K32" s="52" t="s">
        <v>59</v>
      </c>
      <c r="L32" s="52" t="s">
        <v>44</v>
      </c>
      <c r="M32" s="52" t="s">
        <v>42</v>
      </c>
      <c r="N32" s="52" t="s">
        <v>66</v>
      </c>
      <c r="O32" s="52" t="s">
        <v>59</v>
      </c>
      <c r="P32" s="52" t="s">
        <v>59</v>
      </c>
      <c r="Q32" s="52" t="s">
        <v>59</v>
      </c>
      <c r="R32" s="52" t="s">
        <v>39</v>
      </c>
      <c r="U32" s="52" t="s">
        <v>40</v>
      </c>
      <c r="V32" s="52" t="s">
        <v>52</v>
      </c>
      <c r="W32" s="52" t="s">
        <v>60</v>
      </c>
      <c r="X32" s="52" t="s">
        <v>60</v>
      </c>
      <c r="Y32" s="53"/>
      <c r="Z32" s="53"/>
      <c r="AA32" s="52" t="s">
        <v>40</v>
      </c>
      <c r="AB32" s="52" t="s">
        <v>52</v>
      </c>
    </row>
    <row r="33" ht="15.75" customHeight="1">
      <c r="A33" s="22" t="str">
        <f t="shared" si="3"/>
        <v>jueves</v>
      </c>
      <c r="B33" s="24" t="str">
        <f t="shared" si="4"/>
        <v>junio</v>
      </c>
      <c r="C33" s="25">
        <v>46177.0</v>
      </c>
      <c r="D33" s="26" t="s">
        <v>65</v>
      </c>
      <c r="E33" s="27">
        <v>152.0</v>
      </c>
      <c r="F33" s="27">
        <v>129.0</v>
      </c>
      <c r="G33" s="27">
        <v>6.0</v>
      </c>
      <c r="H33" s="27">
        <v>12.0</v>
      </c>
      <c r="K33" s="52" t="s">
        <v>40</v>
      </c>
      <c r="L33" s="52" t="s">
        <v>39</v>
      </c>
      <c r="M33" s="52" t="s">
        <v>51</v>
      </c>
      <c r="N33" s="52" t="s">
        <v>67</v>
      </c>
      <c r="O33" s="52" t="s">
        <v>40</v>
      </c>
      <c r="P33" s="52" t="s">
        <v>44</v>
      </c>
      <c r="Q33" s="52" t="s">
        <v>40</v>
      </c>
      <c r="R33" s="52" t="s">
        <v>44</v>
      </c>
      <c r="U33" s="52" t="s">
        <v>58</v>
      </c>
      <c r="V33" s="52" t="s">
        <v>67</v>
      </c>
      <c r="W33" s="52" t="s">
        <v>51</v>
      </c>
      <c r="X33" s="52" t="s">
        <v>51</v>
      </c>
      <c r="Y33" s="53"/>
      <c r="Z33" s="53"/>
      <c r="AA33" s="52" t="s">
        <v>58</v>
      </c>
      <c r="AB33" s="52" t="s">
        <v>67</v>
      </c>
    </row>
    <row r="34" ht="15.75" customHeight="1">
      <c r="A34" s="22" t="str">
        <f t="shared" si="3"/>
        <v>jueves</v>
      </c>
      <c r="B34" s="24" t="str">
        <f t="shared" si="4"/>
        <v>junio</v>
      </c>
      <c r="C34" s="25">
        <v>46177.0</v>
      </c>
      <c r="D34" s="26" t="s">
        <v>66</v>
      </c>
      <c r="E34" s="27">
        <v>192.0</v>
      </c>
      <c r="F34" s="27">
        <v>184.0</v>
      </c>
      <c r="G34" s="27">
        <v>2.0</v>
      </c>
      <c r="H34" s="27">
        <v>0.0</v>
      </c>
      <c r="K34" s="52" t="s">
        <v>44</v>
      </c>
      <c r="L34" s="52" t="s">
        <v>41</v>
      </c>
      <c r="M34" s="52" t="s">
        <v>59</v>
      </c>
      <c r="N34" s="52" t="s">
        <v>65</v>
      </c>
      <c r="O34" s="52" t="s">
        <v>44</v>
      </c>
      <c r="P34" s="52" t="s">
        <v>52</v>
      </c>
      <c r="Q34" s="52" t="s">
        <v>44</v>
      </c>
      <c r="R34" s="52" t="s">
        <v>41</v>
      </c>
      <c r="U34" s="52" t="s">
        <v>52</v>
      </c>
      <c r="V34" s="52" t="s">
        <v>40</v>
      </c>
      <c r="W34" s="52" t="s">
        <v>41</v>
      </c>
      <c r="X34" s="52" t="s">
        <v>41</v>
      </c>
      <c r="Y34" s="53"/>
      <c r="Z34" s="53"/>
      <c r="AA34" s="52" t="s">
        <v>52</v>
      </c>
      <c r="AB34" s="52" t="s">
        <v>40</v>
      </c>
      <c r="AN34" s="51"/>
      <c r="AO34" s="51"/>
    </row>
    <row r="35" ht="15.75" customHeight="1">
      <c r="A35" s="22" t="str">
        <f t="shared" si="3"/>
        <v>viernes</v>
      </c>
      <c r="B35" s="24" t="str">
        <f t="shared" si="4"/>
        <v>junio</v>
      </c>
      <c r="C35" s="25">
        <v>46178.0</v>
      </c>
      <c r="D35" s="26" t="s">
        <v>40</v>
      </c>
      <c r="E35" s="27">
        <v>118.0</v>
      </c>
      <c r="F35" s="27">
        <v>47.0</v>
      </c>
      <c r="G35" s="27">
        <v>3.0</v>
      </c>
      <c r="H35" s="27">
        <v>11.0</v>
      </c>
      <c r="K35" s="54" t="s">
        <v>53</v>
      </c>
      <c r="L35" s="54" t="s">
        <v>52</v>
      </c>
      <c r="M35" s="54" t="s">
        <v>53</v>
      </c>
      <c r="N35" s="54" t="s">
        <v>41</v>
      </c>
      <c r="O35" s="54" t="s">
        <v>58</v>
      </c>
      <c r="P35" s="54" t="s">
        <v>67</v>
      </c>
      <c r="Q35" s="54" t="s">
        <v>58</v>
      </c>
      <c r="R35" s="54" t="s">
        <v>52</v>
      </c>
      <c r="U35" s="54" t="s">
        <v>67</v>
      </c>
      <c r="V35" s="54" t="s">
        <v>58</v>
      </c>
      <c r="W35" s="54" t="s">
        <v>66</v>
      </c>
      <c r="X35" s="54" t="s">
        <v>66</v>
      </c>
      <c r="Y35" s="55"/>
      <c r="Z35" s="55"/>
      <c r="AA35" s="54" t="s">
        <v>67</v>
      </c>
      <c r="AB35" s="54" t="s">
        <v>58</v>
      </c>
      <c r="AN35" s="51"/>
    </row>
    <row r="36" ht="15.75" customHeight="1">
      <c r="A36" s="22" t="str">
        <f t="shared" si="3"/>
        <v>viernes</v>
      </c>
      <c r="B36" s="24" t="str">
        <f t="shared" si="4"/>
        <v>junio</v>
      </c>
      <c r="C36" s="25">
        <v>46178.0</v>
      </c>
      <c r="D36" s="26" t="s">
        <v>51</v>
      </c>
      <c r="E36" s="27">
        <v>127.0</v>
      </c>
      <c r="F36" s="27">
        <v>113.0</v>
      </c>
      <c r="G36" s="27">
        <v>1.0</v>
      </c>
      <c r="H36" s="27">
        <v>18.0</v>
      </c>
      <c r="K36" s="54" t="s">
        <v>52</v>
      </c>
      <c r="L36" s="54" t="s">
        <v>67</v>
      </c>
      <c r="M36" s="54" t="s">
        <v>41</v>
      </c>
      <c r="N36" s="54" t="s">
        <v>53</v>
      </c>
      <c r="O36" s="54" t="s">
        <v>53</v>
      </c>
      <c r="P36" s="54" t="s">
        <v>53</v>
      </c>
      <c r="Q36" s="54" t="s">
        <v>53</v>
      </c>
      <c r="R36" s="54" t="s">
        <v>67</v>
      </c>
      <c r="U36" s="54" t="s">
        <v>41</v>
      </c>
      <c r="V36" s="54" t="s">
        <v>41</v>
      </c>
      <c r="W36" s="54" t="s">
        <v>53</v>
      </c>
      <c r="X36" s="54" t="s">
        <v>53</v>
      </c>
      <c r="Y36" s="55"/>
      <c r="Z36" s="55"/>
      <c r="AA36" s="54" t="s">
        <v>41</v>
      </c>
      <c r="AB36" s="54" t="s">
        <v>41</v>
      </c>
    </row>
    <row r="37" ht="15.75" customHeight="1">
      <c r="A37" s="22" t="str">
        <f t="shared" si="3"/>
        <v>viernes</v>
      </c>
      <c r="B37" s="24" t="str">
        <f t="shared" si="4"/>
        <v>junio</v>
      </c>
      <c r="C37" s="25">
        <v>46178.0</v>
      </c>
      <c r="D37" s="26" t="s">
        <v>58</v>
      </c>
      <c r="E37" s="27">
        <v>122.0</v>
      </c>
      <c r="F37" s="27">
        <v>68.0</v>
      </c>
      <c r="G37" s="27">
        <v>9.0</v>
      </c>
      <c r="H37" s="27">
        <v>3.0</v>
      </c>
      <c r="K37" s="54" t="s">
        <v>41</v>
      </c>
      <c r="L37" s="54" t="s">
        <v>53</v>
      </c>
      <c r="M37" s="54" t="s">
        <v>66</v>
      </c>
      <c r="N37" s="54" t="s">
        <v>59</v>
      </c>
      <c r="O37" s="54" t="s">
        <v>52</v>
      </c>
      <c r="P37" s="54" t="s">
        <v>41</v>
      </c>
      <c r="Q37" s="54" t="s">
        <v>52</v>
      </c>
      <c r="R37" s="54" t="s">
        <v>53</v>
      </c>
      <c r="U37" s="54" t="s">
        <v>53</v>
      </c>
      <c r="V37" s="54" t="s">
        <v>44</v>
      </c>
      <c r="W37" s="54" t="s">
        <v>39</v>
      </c>
      <c r="X37" s="54" t="s">
        <v>39</v>
      </c>
      <c r="Y37" s="55"/>
      <c r="Z37" s="55"/>
      <c r="AA37" s="54" t="s">
        <v>53</v>
      </c>
      <c r="AB37" s="54" t="s">
        <v>44</v>
      </c>
    </row>
    <row r="38" ht="15.75" customHeight="1">
      <c r="A38" s="22" t="str">
        <f t="shared" si="3"/>
        <v>viernes</v>
      </c>
      <c r="B38" s="24" t="str">
        <f t="shared" si="4"/>
        <v>junio</v>
      </c>
      <c r="C38" s="25">
        <v>46178.0</v>
      </c>
      <c r="D38" s="26" t="s">
        <v>52</v>
      </c>
      <c r="E38" s="27">
        <v>84.0</v>
      </c>
      <c r="F38" s="27">
        <v>61.0</v>
      </c>
      <c r="G38" s="27">
        <v>8.0</v>
      </c>
      <c r="H38" s="27">
        <v>6.0</v>
      </c>
      <c r="K38" s="54" t="s">
        <v>67</v>
      </c>
      <c r="L38" s="54" t="s">
        <v>40</v>
      </c>
      <c r="M38" s="54" t="s">
        <v>39</v>
      </c>
      <c r="N38" s="54" t="s">
        <v>58</v>
      </c>
      <c r="O38" s="54" t="s">
        <v>67</v>
      </c>
      <c r="P38" s="54" t="s">
        <v>58</v>
      </c>
      <c r="Q38" s="54" t="s">
        <v>41</v>
      </c>
      <c r="R38" s="54" t="s">
        <v>58</v>
      </c>
      <c r="U38" s="54" t="s">
        <v>44</v>
      </c>
      <c r="V38" s="54" t="s">
        <v>53</v>
      </c>
      <c r="W38" s="54" t="s">
        <v>44</v>
      </c>
      <c r="X38" s="54" t="s">
        <v>44</v>
      </c>
      <c r="Y38" s="55"/>
      <c r="Z38" s="55"/>
      <c r="AA38" s="54" t="s">
        <v>44</v>
      </c>
      <c r="AB38" s="54" t="s">
        <v>53</v>
      </c>
    </row>
    <row r="39" ht="15.75" customHeight="1">
      <c r="A39" s="22" t="str">
        <f t="shared" si="3"/>
        <v>viernes</v>
      </c>
      <c r="B39" s="24" t="str">
        <f t="shared" si="4"/>
        <v>junio</v>
      </c>
      <c r="C39" s="25">
        <v>46178.0</v>
      </c>
      <c r="D39" s="26" t="s">
        <v>64</v>
      </c>
      <c r="E39" s="27">
        <v>321.0</v>
      </c>
      <c r="F39" s="27">
        <v>192.0</v>
      </c>
      <c r="G39" s="27">
        <v>12.0</v>
      </c>
      <c r="H39" s="27">
        <v>11.0</v>
      </c>
      <c r="K39" s="54" t="s">
        <v>58</v>
      </c>
      <c r="L39" s="54" t="s">
        <v>58</v>
      </c>
      <c r="M39" s="54" t="s">
        <v>44</v>
      </c>
      <c r="N39" s="54" t="s">
        <v>44</v>
      </c>
      <c r="O39" s="54" t="s">
        <v>41</v>
      </c>
      <c r="P39" s="54" t="s">
        <v>40</v>
      </c>
      <c r="Q39" s="54" t="s">
        <v>67</v>
      </c>
      <c r="R39" s="54" t="s">
        <v>40</v>
      </c>
      <c r="U39" s="55"/>
      <c r="V39" s="55"/>
      <c r="W39" s="55"/>
      <c r="X39" s="55"/>
      <c r="Y39" s="55"/>
      <c r="Z39" s="55"/>
      <c r="AA39" s="55"/>
      <c r="AB39" s="55"/>
    </row>
    <row r="40" ht="15.75" customHeight="1">
      <c r="A40" s="22" t="str">
        <f t="shared" si="3"/>
        <v>viernes</v>
      </c>
      <c r="B40" s="24" t="str">
        <f t="shared" si="4"/>
        <v>junio</v>
      </c>
      <c r="C40" s="25">
        <v>46178.0</v>
      </c>
      <c r="D40" s="26" t="s">
        <v>65</v>
      </c>
      <c r="E40" s="27">
        <v>128.0</v>
      </c>
      <c r="F40" s="27">
        <v>102.0</v>
      </c>
      <c r="G40" s="27">
        <v>5.0</v>
      </c>
      <c r="H40" s="27">
        <v>10.0</v>
      </c>
      <c r="AM40" s="38"/>
      <c r="AO40" s="23"/>
    </row>
    <row r="41" ht="15.75" customHeight="1">
      <c r="A41" s="22" t="str">
        <f t="shared" si="3"/>
        <v>viernes</v>
      </c>
      <c r="B41" s="24" t="str">
        <f t="shared" si="4"/>
        <v>junio</v>
      </c>
      <c r="C41" s="25">
        <v>46178.0</v>
      </c>
      <c r="D41" s="26" t="s">
        <v>87</v>
      </c>
      <c r="E41" s="27">
        <v>231.0</v>
      </c>
      <c r="F41" s="27">
        <v>193.0</v>
      </c>
      <c r="G41" s="27">
        <v>0.0</v>
      </c>
      <c r="H41" s="27">
        <v>11.0</v>
      </c>
      <c r="J41" s="40" t="s">
        <v>69</v>
      </c>
      <c r="K41" s="40">
        <f t="shared" ref="K41:R41" si="28">AVERAGE(K4:K18)</f>
        <v>104.180165</v>
      </c>
      <c r="L41" s="40">
        <f t="shared" si="28"/>
        <v>74.76109251</v>
      </c>
      <c r="M41" s="40">
        <f t="shared" si="28"/>
        <v>3.19884982</v>
      </c>
      <c r="N41" s="40">
        <f t="shared" si="28"/>
        <v>5.825727333</v>
      </c>
      <c r="O41" s="40">
        <f t="shared" si="28"/>
        <v>11.10473724</v>
      </c>
      <c r="P41" s="40">
        <f t="shared" si="28"/>
        <v>7.957311322</v>
      </c>
      <c r="Q41" s="40">
        <f t="shared" si="28"/>
        <v>453.5111057</v>
      </c>
      <c r="R41" s="40">
        <f t="shared" si="28"/>
        <v>326.0209377</v>
      </c>
      <c r="AM41" s="38"/>
      <c r="AN41" s="23"/>
      <c r="AO41" s="23"/>
    </row>
    <row r="42" ht="15.75" customHeight="1">
      <c r="A42" s="22" t="str">
        <f t="shared" si="3"/>
        <v>sábado</v>
      </c>
      <c r="B42" s="24" t="str">
        <f t="shared" si="4"/>
        <v>junio</v>
      </c>
      <c r="C42" s="25">
        <v>46179.0</v>
      </c>
      <c r="D42" s="26" t="s">
        <v>40</v>
      </c>
      <c r="E42" s="27">
        <v>133.0</v>
      </c>
      <c r="F42" s="27">
        <v>75.0</v>
      </c>
      <c r="G42" s="27">
        <v>4.0</v>
      </c>
      <c r="H42" s="27">
        <v>5.0</v>
      </c>
      <c r="AM42" s="38"/>
      <c r="AN42" s="23"/>
      <c r="AO42" s="23"/>
    </row>
    <row r="43" ht="15.75" customHeight="1">
      <c r="A43" s="22" t="str">
        <f t="shared" si="3"/>
        <v>sábado</v>
      </c>
      <c r="B43" s="24" t="str">
        <f t="shared" si="4"/>
        <v>junio</v>
      </c>
      <c r="C43" s="25">
        <v>46179.0</v>
      </c>
      <c r="D43" s="22" t="s">
        <v>43</v>
      </c>
      <c r="E43" s="27">
        <v>95.0</v>
      </c>
      <c r="F43" s="27">
        <v>70.0</v>
      </c>
      <c r="G43" s="27">
        <v>4.0</v>
      </c>
      <c r="H43" s="27">
        <v>2.0</v>
      </c>
      <c r="AM43" s="30"/>
      <c r="AN43" s="23"/>
      <c r="AO43" s="23"/>
    </row>
    <row r="44" ht="15.75" customHeight="1">
      <c r="A44" s="22" t="str">
        <f t="shared" si="3"/>
        <v>sábado</v>
      </c>
      <c r="B44" s="24" t="str">
        <f t="shared" si="4"/>
        <v>junio</v>
      </c>
      <c r="C44" s="25">
        <v>46179.0</v>
      </c>
      <c r="D44" s="26" t="s">
        <v>51</v>
      </c>
      <c r="E44" s="27">
        <v>127.0</v>
      </c>
      <c r="F44" s="27">
        <v>105.0</v>
      </c>
      <c r="G44" s="27">
        <v>6.0</v>
      </c>
      <c r="H44" s="27">
        <v>9.0</v>
      </c>
      <c r="AM44" s="30"/>
      <c r="AN44" s="23"/>
      <c r="AO44" s="23"/>
    </row>
    <row r="45" ht="15.75" customHeight="1">
      <c r="A45" s="22" t="str">
        <f t="shared" si="3"/>
        <v>sábado</v>
      </c>
      <c r="B45" s="24" t="str">
        <f t="shared" si="4"/>
        <v>junio</v>
      </c>
      <c r="C45" s="25">
        <v>46179.0</v>
      </c>
      <c r="D45" s="26" t="s">
        <v>52</v>
      </c>
      <c r="E45" s="27">
        <v>110.0</v>
      </c>
      <c r="F45" s="27">
        <v>75.0</v>
      </c>
      <c r="G45" s="27">
        <v>4.0</v>
      </c>
      <c r="H45" s="27">
        <v>6.0</v>
      </c>
      <c r="AM45" s="30"/>
      <c r="AN45" s="23"/>
      <c r="AO45" s="23"/>
    </row>
    <row r="46" ht="15.75" customHeight="1">
      <c r="A46" s="22" t="str">
        <f t="shared" si="3"/>
        <v>sábado</v>
      </c>
      <c r="B46" s="24" t="str">
        <f t="shared" si="4"/>
        <v>junio</v>
      </c>
      <c r="C46" s="25">
        <v>46179.0</v>
      </c>
      <c r="D46" s="26" t="s">
        <v>60</v>
      </c>
      <c r="E46" s="27">
        <v>195.0</v>
      </c>
      <c r="F46" s="27">
        <v>155.0</v>
      </c>
      <c r="G46" s="27">
        <v>7.0</v>
      </c>
      <c r="H46" s="27">
        <v>0.0</v>
      </c>
      <c r="AM46" s="51"/>
      <c r="AN46" s="23"/>
      <c r="AO46" s="23"/>
    </row>
    <row r="47" ht="15.75" customHeight="1">
      <c r="A47" s="22" t="str">
        <f t="shared" si="3"/>
        <v>domingo</v>
      </c>
      <c r="B47" s="24" t="str">
        <f t="shared" si="4"/>
        <v>junio</v>
      </c>
      <c r="C47" s="25">
        <v>46180.0</v>
      </c>
      <c r="D47" s="26" t="s">
        <v>39</v>
      </c>
      <c r="E47" s="27">
        <v>190.0</v>
      </c>
      <c r="F47" s="27">
        <v>129.0</v>
      </c>
      <c r="G47" s="27">
        <v>0.0</v>
      </c>
      <c r="H47" s="27">
        <v>0.0</v>
      </c>
      <c r="AM47" s="51"/>
      <c r="AN47" s="23"/>
      <c r="AO47" s="23"/>
    </row>
    <row r="48" ht="15.75" customHeight="1">
      <c r="A48" s="22" t="str">
        <f t="shared" si="3"/>
        <v>domingo</v>
      </c>
      <c r="B48" s="24" t="str">
        <f t="shared" si="4"/>
        <v>junio</v>
      </c>
      <c r="C48" s="25">
        <v>46180.0</v>
      </c>
      <c r="D48" s="26" t="s">
        <v>40</v>
      </c>
      <c r="E48" s="27">
        <v>149.0</v>
      </c>
      <c r="F48" s="27">
        <v>93.0</v>
      </c>
      <c r="G48" s="27">
        <v>5.0</v>
      </c>
      <c r="H48" s="27">
        <v>6.0</v>
      </c>
      <c r="AM48" s="51"/>
      <c r="AN48" s="23"/>
      <c r="AO48" s="23"/>
    </row>
    <row r="49" ht="15.75" customHeight="1">
      <c r="A49" s="22" t="str">
        <f t="shared" si="3"/>
        <v>domingo</v>
      </c>
      <c r="B49" s="24" t="str">
        <f t="shared" si="4"/>
        <v>junio</v>
      </c>
      <c r="C49" s="25">
        <v>46180.0</v>
      </c>
      <c r="D49" s="22" t="s">
        <v>43</v>
      </c>
      <c r="E49" s="27">
        <v>137.0</v>
      </c>
      <c r="F49" s="27">
        <v>86.0</v>
      </c>
      <c r="G49" s="27">
        <v>10.0</v>
      </c>
      <c r="H49" s="27">
        <v>7.0</v>
      </c>
      <c r="J49" s="12" t="s">
        <v>92</v>
      </c>
      <c r="O49" s="13" t="s">
        <v>18</v>
      </c>
      <c r="Q49" s="13" t="s">
        <v>19</v>
      </c>
      <c r="AA49" s="45" t="s">
        <v>76</v>
      </c>
    </row>
    <row r="50" ht="15.75" customHeight="1">
      <c r="A50" s="22" t="str">
        <f t="shared" si="3"/>
        <v>domingo</v>
      </c>
      <c r="B50" s="24" t="str">
        <f t="shared" si="4"/>
        <v>junio</v>
      </c>
      <c r="C50" s="25">
        <v>46180.0</v>
      </c>
      <c r="D50" s="26" t="s">
        <v>52</v>
      </c>
      <c r="E50" s="27">
        <v>145.0</v>
      </c>
      <c r="F50" s="27">
        <v>98.0</v>
      </c>
      <c r="G50" s="27">
        <v>7.0</v>
      </c>
      <c r="H50" s="27">
        <v>5.0</v>
      </c>
      <c r="J50" s="17" t="s">
        <v>29</v>
      </c>
      <c r="K50" s="17" t="s">
        <v>25</v>
      </c>
      <c r="L50" s="17" t="s">
        <v>26</v>
      </c>
      <c r="M50" s="17" t="s">
        <v>30</v>
      </c>
      <c r="N50" s="17" t="s">
        <v>31</v>
      </c>
      <c r="O50" s="18" t="s">
        <v>25</v>
      </c>
      <c r="P50" s="18" t="s">
        <v>26</v>
      </c>
      <c r="Q50" s="17" t="s">
        <v>25</v>
      </c>
      <c r="R50" s="17" t="s">
        <v>26</v>
      </c>
      <c r="U50" s="47" t="s">
        <v>24</v>
      </c>
      <c r="V50" s="47" t="s">
        <v>25</v>
      </c>
      <c r="W50" s="47" t="s">
        <v>26</v>
      </c>
      <c r="X50" s="48" t="s">
        <v>79</v>
      </c>
      <c r="Y50" s="47" t="s">
        <v>31</v>
      </c>
      <c r="Z50" s="47"/>
      <c r="AA50" s="47" t="s">
        <v>25</v>
      </c>
      <c r="AB50" s="47" t="s">
        <v>26</v>
      </c>
    </row>
    <row r="51" ht="15.75" customHeight="1">
      <c r="A51" s="22" t="str">
        <f t="shared" si="3"/>
        <v>domingo</v>
      </c>
      <c r="B51" s="24" t="str">
        <f t="shared" si="4"/>
        <v>junio</v>
      </c>
      <c r="C51" s="25">
        <v>46180.0</v>
      </c>
      <c r="D51" s="26" t="s">
        <v>60</v>
      </c>
      <c r="E51" s="27">
        <v>397.0</v>
      </c>
      <c r="F51" s="27">
        <v>290.0</v>
      </c>
      <c r="G51" s="27">
        <v>6.0</v>
      </c>
      <c r="H51" s="27">
        <v>1.0</v>
      </c>
      <c r="J51" s="28" t="s">
        <v>39</v>
      </c>
      <c r="K51" s="23">
        <v>97.0</v>
      </c>
      <c r="L51" s="23">
        <v>60.55555555555556</v>
      </c>
      <c r="M51" s="23">
        <v>0.3888888888888889</v>
      </c>
      <c r="N51" s="23">
        <v>5.666666666666667</v>
      </c>
      <c r="O51" s="23">
        <v>12.125</v>
      </c>
      <c r="P51" s="23">
        <v>7.569444444444445</v>
      </c>
      <c r="Q51" s="23">
        <v>485.0</v>
      </c>
      <c r="R51" s="23">
        <v>302.77777777777777</v>
      </c>
      <c r="U51" s="28" t="s">
        <v>39</v>
      </c>
      <c r="V51" s="5">
        <v>1746.0</v>
      </c>
      <c r="W51" s="5">
        <v>1090.0</v>
      </c>
      <c r="X51" s="5">
        <v>7.0</v>
      </c>
      <c r="Y51" s="5">
        <v>102.0</v>
      </c>
      <c r="AA51" s="23">
        <v>436.5</v>
      </c>
      <c r="AB51" s="23">
        <v>272.5</v>
      </c>
    </row>
    <row r="52" ht="15.75" customHeight="1">
      <c r="A52" s="22" t="str">
        <f t="shared" si="3"/>
        <v>lunes</v>
      </c>
      <c r="B52" s="24" t="str">
        <f t="shared" si="4"/>
        <v>junio</v>
      </c>
      <c r="C52" s="25">
        <v>46181.0</v>
      </c>
      <c r="D52" s="26" t="s">
        <v>39</v>
      </c>
      <c r="E52" s="27">
        <v>61.0</v>
      </c>
      <c r="F52" s="27">
        <v>35.0</v>
      </c>
      <c r="G52" s="27">
        <v>0.0</v>
      </c>
      <c r="H52" s="27">
        <v>3.0</v>
      </c>
      <c r="J52" s="28" t="s">
        <v>40</v>
      </c>
      <c r="K52" s="23">
        <v>82.75</v>
      </c>
      <c r="L52" s="23">
        <v>41.0625</v>
      </c>
      <c r="M52" s="23">
        <v>4.0625</v>
      </c>
      <c r="N52" s="23">
        <v>9.5</v>
      </c>
      <c r="O52" s="23">
        <v>8.275</v>
      </c>
      <c r="P52" s="23">
        <v>4.10625</v>
      </c>
      <c r="Q52" s="23">
        <v>331.0</v>
      </c>
      <c r="R52" s="23">
        <v>164.25</v>
      </c>
      <c r="U52" s="28" t="s">
        <v>40</v>
      </c>
      <c r="V52" s="5">
        <v>1324.0</v>
      </c>
      <c r="W52" s="5">
        <v>657.0</v>
      </c>
      <c r="X52" s="5">
        <v>65.0</v>
      </c>
      <c r="Y52" s="5">
        <v>152.0</v>
      </c>
      <c r="Z52" s="53"/>
      <c r="AA52" s="23">
        <v>331.0</v>
      </c>
      <c r="AB52" s="23">
        <v>164.25</v>
      </c>
    </row>
    <row r="53" ht="15.75" customHeight="1">
      <c r="A53" s="22" t="str">
        <f t="shared" si="3"/>
        <v>lunes</v>
      </c>
      <c r="B53" s="24" t="str">
        <f t="shared" si="4"/>
        <v>junio</v>
      </c>
      <c r="C53" s="25">
        <v>46181.0</v>
      </c>
      <c r="D53" s="26" t="s">
        <v>42</v>
      </c>
      <c r="E53" s="27">
        <v>133.0</v>
      </c>
      <c r="F53" s="27">
        <v>95.0</v>
      </c>
      <c r="G53" s="27">
        <v>3.0</v>
      </c>
      <c r="H53" s="27">
        <v>12.0</v>
      </c>
      <c r="J53" s="28" t="s">
        <v>44</v>
      </c>
      <c r="K53" s="23">
        <v>81.6</v>
      </c>
      <c r="L53" s="23">
        <v>62.0</v>
      </c>
      <c r="M53" s="23">
        <v>0.0</v>
      </c>
      <c r="N53" s="23">
        <v>0.0</v>
      </c>
      <c r="O53" s="23">
        <v>7.418181818181818</v>
      </c>
      <c r="P53" s="23">
        <v>5.636363636363637</v>
      </c>
      <c r="Q53" s="23">
        <v>326.4</v>
      </c>
      <c r="R53" s="23">
        <v>248.0</v>
      </c>
      <c r="U53" s="28" t="s">
        <v>41</v>
      </c>
      <c r="V53" s="5">
        <v>831.0</v>
      </c>
      <c r="W53" s="5">
        <v>628.0</v>
      </c>
      <c r="X53" s="5">
        <v>21.0</v>
      </c>
      <c r="Y53" s="5">
        <v>42.0</v>
      </c>
      <c r="AA53" s="23">
        <v>207.75</v>
      </c>
      <c r="AB53" s="23">
        <v>157.0</v>
      </c>
    </row>
    <row r="54" ht="15.75" customHeight="1">
      <c r="A54" s="22" t="str">
        <f t="shared" si="3"/>
        <v>lunes</v>
      </c>
      <c r="B54" s="24" t="str">
        <f t="shared" si="4"/>
        <v>junio</v>
      </c>
      <c r="C54" s="25">
        <v>46181.0</v>
      </c>
      <c r="D54" s="26" t="s">
        <v>94</v>
      </c>
      <c r="E54" s="27">
        <v>45.0</v>
      </c>
      <c r="F54" s="27">
        <v>43.0</v>
      </c>
      <c r="G54" s="27">
        <v>0.0</v>
      </c>
      <c r="H54" s="27">
        <v>0.0</v>
      </c>
      <c r="J54" s="28" t="s">
        <v>59</v>
      </c>
      <c r="K54" s="23">
        <v>96.0</v>
      </c>
      <c r="L54" s="23">
        <v>82.0</v>
      </c>
      <c r="M54" s="23">
        <v>2.0</v>
      </c>
      <c r="N54" s="23">
        <v>2.0</v>
      </c>
      <c r="O54" s="23">
        <v>8.727272727272727</v>
      </c>
      <c r="P54" s="23">
        <v>7.454545454545454</v>
      </c>
      <c r="Q54" s="23">
        <v>384.0</v>
      </c>
      <c r="R54" s="23">
        <v>328.0</v>
      </c>
      <c r="U54" s="28" t="s">
        <v>42</v>
      </c>
      <c r="V54" s="5">
        <v>2544.0</v>
      </c>
      <c r="W54" s="5">
        <v>1411.0</v>
      </c>
      <c r="X54" s="5">
        <v>62.0</v>
      </c>
      <c r="Y54" s="5">
        <v>137.0</v>
      </c>
      <c r="Z54" s="53"/>
      <c r="AA54" s="23">
        <v>636.0</v>
      </c>
      <c r="AB54" s="23">
        <v>352.75</v>
      </c>
    </row>
    <row r="55" ht="15.75" customHeight="1">
      <c r="A55" s="22" t="str">
        <f t="shared" si="3"/>
        <v>lunes</v>
      </c>
      <c r="B55" s="24" t="str">
        <f t="shared" si="4"/>
        <v>junio</v>
      </c>
      <c r="C55" s="25">
        <v>46181.0</v>
      </c>
      <c r="D55" s="26" t="s">
        <v>67</v>
      </c>
      <c r="E55" s="27">
        <v>76.0</v>
      </c>
      <c r="F55" s="27">
        <v>50.0</v>
      </c>
      <c r="G55" s="27">
        <v>4.0</v>
      </c>
      <c r="H55" s="27">
        <v>6.0</v>
      </c>
      <c r="J55" s="28" t="s">
        <v>52</v>
      </c>
      <c r="K55" s="23">
        <v>69.86666666666666</v>
      </c>
      <c r="L55" s="23">
        <v>52.0</v>
      </c>
      <c r="M55" s="23">
        <v>4.333333333333333</v>
      </c>
      <c r="N55" s="23">
        <v>5.066666666666666</v>
      </c>
      <c r="O55" s="23">
        <v>6.986666666666666</v>
      </c>
      <c r="P55" s="23">
        <v>5.2</v>
      </c>
      <c r="Q55" s="23">
        <v>279.46666666666664</v>
      </c>
      <c r="R55" s="23">
        <v>208.0</v>
      </c>
      <c r="U55" s="28" t="s">
        <v>44</v>
      </c>
      <c r="V55" s="5">
        <v>408.0</v>
      </c>
      <c r="W55" s="5">
        <v>310.0</v>
      </c>
      <c r="X55" s="5">
        <v>0.0</v>
      </c>
      <c r="Y55" s="5">
        <v>0.0</v>
      </c>
      <c r="Z55" s="53"/>
      <c r="AA55" s="23">
        <v>102.0</v>
      </c>
      <c r="AB55" s="23">
        <v>77.5</v>
      </c>
    </row>
    <row r="56" ht="15.75" customHeight="1">
      <c r="A56" s="22" t="str">
        <f t="shared" si="3"/>
        <v>lunes</v>
      </c>
      <c r="B56" s="24" t="str">
        <f t="shared" si="4"/>
        <v>junio</v>
      </c>
      <c r="C56" s="25">
        <v>46181.0</v>
      </c>
      <c r="D56" s="26" t="s">
        <v>58</v>
      </c>
      <c r="E56" s="27">
        <v>41.0</v>
      </c>
      <c r="F56" s="27">
        <v>19.0</v>
      </c>
      <c r="G56" s="27">
        <v>5.0</v>
      </c>
      <c r="H56" s="27">
        <v>3.0</v>
      </c>
      <c r="J56" s="28" t="s">
        <v>53</v>
      </c>
      <c r="K56" s="23">
        <v>73.0</v>
      </c>
      <c r="L56" s="23">
        <v>50.5</v>
      </c>
      <c r="M56" s="23">
        <v>1.8333333333333333</v>
      </c>
      <c r="N56" s="23">
        <v>2.8333333333333335</v>
      </c>
      <c r="O56" s="23">
        <v>7.3</v>
      </c>
      <c r="P56" s="23">
        <v>5.05</v>
      </c>
      <c r="Q56" s="23">
        <v>292.0</v>
      </c>
      <c r="R56" s="23">
        <v>202.0</v>
      </c>
      <c r="U56" s="28" t="s">
        <v>51</v>
      </c>
      <c r="V56" s="5">
        <v>2065.0</v>
      </c>
      <c r="W56" s="5">
        <v>1837.0</v>
      </c>
      <c r="X56" s="5">
        <v>51.0</v>
      </c>
      <c r="Y56" s="5">
        <v>228.0</v>
      </c>
      <c r="AA56" s="23">
        <v>516.25</v>
      </c>
      <c r="AB56" s="23">
        <v>459.25</v>
      </c>
    </row>
    <row r="57" ht="15.75" customHeight="1">
      <c r="A57" s="22" t="str">
        <f t="shared" si="3"/>
        <v>lunes</v>
      </c>
      <c r="B57" s="24" t="str">
        <f t="shared" si="4"/>
        <v>junio</v>
      </c>
      <c r="C57" s="25">
        <v>46181.0</v>
      </c>
      <c r="D57" s="26" t="s">
        <v>65</v>
      </c>
      <c r="E57" s="27">
        <v>70.0</v>
      </c>
      <c r="F57" s="27">
        <v>60.0</v>
      </c>
      <c r="G57" s="27">
        <v>6.0</v>
      </c>
      <c r="H57" s="27">
        <v>9.0</v>
      </c>
      <c r="J57" s="28" t="s">
        <v>60</v>
      </c>
      <c r="K57" s="23">
        <v>191.30769230769232</v>
      </c>
      <c r="L57" s="23">
        <v>124.23076923076923</v>
      </c>
      <c r="M57" s="23">
        <v>4.076923076923077</v>
      </c>
      <c r="N57" s="23">
        <v>7.461538461538462</v>
      </c>
      <c r="O57" s="23">
        <v>19.130769230769232</v>
      </c>
      <c r="P57" s="23">
        <v>12.423076923076923</v>
      </c>
      <c r="Q57" s="23">
        <v>765.2307692307693</v>
      </c>
      <c r="R57" s="23">
        <v>496.9230769230769</v>
      </c>
      <c r="U57" s="28" t="s">
        <v>67</v>
      </c>
      <c r="V57" s="5">
        <v>953.0</v>
      </c>
      <c r="W57" s="5">
        <v>725.0</v>
      </c>
      <c r="X57" s="5">
        <v>78.0</v>
      </c>
      <c r="Y57" s="5">
        <v>63.0</v>
      </c>
      <c r="AA57" s="23">
        <v>238.25</v>
      </c>
      <c r="AB57" s="23">
        <v>181.25</v>
      </c>
    </row>
    <row r="58" ht="15.75" customHeight="1">
      <c r="A58" s="22" t="str">
        <f t="shared" si="3"/>
        <v>lunes</v>
      </c>
      <c r="B58" s="24" t="str">
        <f t="shared" si="4"/>
        <v>junio</v>
      </c>
      <c r="C58" s="25">
        <v>46181.0</v>
      </c>
      <c r="D58" s="26" t="s">
        <v>60</v>
      </c>
      <c r="E58" s="27">
        <v>126.0</v>
      </c>
      <c r="F58" s="27">
        <v>52.0</v>
      </c>
      <c r="G58" s="27">
        <v>2.0</v>
      </c>
      <c r="H58" s="27">
        <v>20.0</v>
      </c>
      <c r="J58" s="28" t="s">
        <v>41</v>
      </c>
      <c r="K58" s="23">
        <v>69.25</v>
      </c>
      <c r="L58" s="23">
        <v>52.333333333333336</v>
      </c>
      <c r="M58" s="23">
        <v>1.75</v>
      </c>
      <c r="N58" s="23">
        <v>3.5</v>
      </c>
      <c r="O58" s="23">
        <v>6.295454545454546</v>
      </c>
      <c r="P58" s="23">
        <v>4.757575757575758</v>
      </c>
      <c r="Q58" s="23">
        <v>277.0</v>
      </c>
      <c r="R58" s="23">
        <v>209.33333333333334</v>
      </c>
      <c r="U58" s="28" t="s">
        <v>58</v>
      </c>
      <c r="V58" s="5">
        <v>1125.0</v>
      </c>
      <c r="W58" s="5">
        <v>636.0</v>
      </c>
      <c r="X58" s="5">
        <v>96.0</v>
      </c>
      <c r="Y58" s="5">
        <v>34.0</v>
      </c>
      <c r="AA58" s="23">
        <v>281.25</v>
      </c>
      <c r="AB58" s="23">
        <v>159.0</v>
      </c>
    </row>
    <row r="59" ht="15.75" customHeight="1">
      <c r="A59" s="22" t="str">
        <f t="shared" si="3"/>
        <v>lunes</v>
      </c>
      <c r="B59" s="24" t="str">
        <f t="shared" si="4"/>
        <v>junio</v>
      </c>
      <c r="C59" s="25">
        <v>46181.0</v>
      </c>
      <c r="D59" s="26" t="s">
        <v>66</v>
      </c>
      <c r="E59" s="27">
        <v>123.0</v>
      </c>
      <c r="F59" s="27">
        <v>101.0</v>
      </c>
      <c r="G59" s="27">
        <v>0.0</v>
      </c>
      <c r="H59" s="27">
        <v>12.0</v>
      </c>
      <c r="J59" s="28" t="s">
        <v>42</v>
      </c>
      <c r="K59" s="23">
        <v>141.33333333333334</v>
      </c>
      <c r="L59" s="23">
        <v>78.38888888888889</v>
      </c>
      <c r="M59" s="23">
        <v>3.4444444444444446</v>
      </c>
      <c r="N59" s="23">
        <v>7.611111111111111</v>
      </c>
      <c r="O59" s="23">
        <v>14.133333333333335</v>
      </c>
      <c r="P59" s="23">
        <v>7.838888888888889</v>
      </c>
      <c r="Q59" s="23">
        <v>565.3333333333334</v>
      </c>
      <c r="R59" s="23">
        <v>313.55555555555554</v>
      </c>
      <c r="U59" s="28" t="s">
        <v>52</v>
      </c>
      <c r="V59" s="5">
        <v>1048.0</v>
      </c>
      <c r="W59" s="5">
        <v>780.0</v>
      </c>
      <c r="X59" s="5">
        <v>65.0</v>
      </c>
      <c r="Y59" s="5">
        <v>76.0</v>
      </c>
      <c r="AA59" s="23">
        <v>262.0</v>
      </c>
      <c r="AB59" s="23">
        <v>195.0</v>
      </c>
    </row>
    <row r="60" ht="15.75" customHeight="1">
      <c r="A60" s="22" t="str">
        <f t="shared" si="3"/>
        <v>martes</v>
      </c>
      <c r="B60" s="24" t="str">
        <f t="shared" si="4"/>
        <v>junio</v>
      </c>
      <c r="C60" s="25">
        <v>46182.0</v>
      </c>
      <c r="D60" s="26" t="s">
        <v>39</v>
      </c>
      <c r="E60" s="27">
        <v>61.0</v>
      </c>
      <c r="F60" s="27">
        <v>33.0</v>
      </c>
      <c r="G60" s="27">
        <v>1.0</v>
      </c>
      <c r="H60" s="27">
        <v>3.0</v>
      </c>
      <c r="J60" s="28" t="s">
        <v>67</v>
      </c>
      <c r="K60" s="23">
        <v>68.07142857142857</v>
      </c>
      <c r="L60" s="23">
        <v>51.785714285714285</v>
      </c>
      <c r="M60" s="23">
        <v>5.571428571428571</v>
      </c>
      <c r="N60" s="23">
        <v>4.5</v>
      </c>
      <c r="O60" s="23">
        <v>6.807142857142857</v>
      </c>
      <c r="P60" s="23">
        <v>5.178571428571429</v>
      </c>
      <c r="Q60" s="23">
        <v>272.2857142857143</v>
      </c>
      <c r="R60" s="23">
        <v>207.14285714285714</v>
      </c>
      <c r="U60" s="28" t="s">
        <v>53</v>
      </c>
      <c r="V60" s="5">
        <v>438.0</v>
      </c>
      <c r="W60" s="5">
        <v>303.0</v>
      </c>
      <c r="X60" s="5">
        <v>11.0</v>
      </c>
      <c r="Y60" s="5">
        <v>17.0</v>
      </c>
      <c r="Z60" s="55"/>
      <c r="AA60" s="23">
        <v>109.5</v>
      </c>
      <c r="AB60" s="23">
        <v>75.75</v>
      </c>
      <c r="AC60" s="30"/>
      <c r="AF60" s="53"/>
      <c r="AG60" s="53"/>
      <c r="AH60" s="53"/>
      <c r="AI60" s="53"/>
      <c r="AJ60" s="53"/>
      <c r="AK60" s="53"/>
      <c r="AL60" s="53"/>
      <c r="AM60" s="30"/>
    </row>
    <row r="61" ht="15.75" customHeight="1">
      <c r="A61" s="22" t="str">
        <f t="shared" si="3"/>
        <v>martes</v>
      </c>
      <c r="B61" s="24" t="str">
        <f t="shared" si="4"/>
        <v>junio</v>
      </c>
      <c r="C61" s="25">
        <v>46182.0</v>
      </c>
      <c r="D61" s="26" t="s">
        <v>41</v>
      </c>
      <c r="E61" s="27">
        <v>57.0</v>
      </c>
      <c r="F61" s="27">
        <v>45.0</v>
      </c>
      <c r="G61" s="27">
        <v>4.0</v>
      </c>
      <c r="H61" s="27">
        <v>4.0</v>
      </c>
      <c r="J61" s="28" t="s">
        <v>58</v>
      </c>
      <c r="K61" s="23">
        <v>59.21052631578947</v>
      </c>
      <c r="L61" s="23">
        <v>33.473684210526315</v>
      </c>
      <c r="M61" s="23">
        <v>5.052631578947368</v>
      </c>
      <c r="N61" s="23">
        <v>1.7894736842105263</v>
      </c>
      <c r="O61" s="23">
        <v>7.401315789473684</v>
      </c>
      <c r="P61" s="23">
        <v>4.184210526315789</v>
      </c>
      <c r="Q61" s="23">
        <v>296.05263157894734</v>
      </c>
      <c r="R61" s="23">
        <v>167.36842105263156</v>
      </c>
      <c r="U61" s="28" t="s">
        <v>64</v>
      </c>
      <c r="V61" s="5">
        <v>3779.0</v>
      </c>
      <c r="W61" s="5">
        <v>2532.0</v>
      </c>
      <c r="X61" s="5">
        <v>137.0</v>
      </c>
      <c r="Y61" s="5">
        <v>289.0</v>
      </c>
      <c r="AA61" s="23">
        <v>944.75</v>
      </c>
      <c r="AB61" s="23">
        <v>633.0</v>
      </c>
      <c r="AC61" s="30"/>
      <c r="AF61" s="53"/>
      <c r="AG61" s="53"/>
      <c r="AH61" s="53"/>
      <c r="AI61" s="53"/>
      <c r="AJ61" s="53"/>
      <c r="AK61" s="53"/>
      <c r="AL61" s="53"/>
      <c r="AM61" s="30"/>
    </row>
    <row r="62" ht="15.75" customHeight="1">
      <c r="A62" s="22" t="str">
        <f t="shared" si="3"/>
        <v>martes</v>
      </c>
      <c r="B62" s="24" t="str">
        <f t="shared" si="4"/>
        <v>junio</v>
      </c>
      <c r="C62" s="25">
        <v>46182.0</v>
      </c>
      <c r="D62" s="26" t="s">
        <v>42</v>
      </c>
      <c r="E62" s="27">
        <v>90.0</v>
      </c>
      <c r="F62" s="27">
        <v>53.0</v>
      </c>
      <c r="G62" s="27">
        <v>4.0</v>
      </c>
      <c r="H62" s="27">
        <v>5.0</v>
      </c>
      <c r="J62" s="28" t="s">
        <v>64</v>
      </c>
      <c r="K62" s="23">
        <v>179.95238095238096</v>
      </c>
      <c r="L62" s="23">
        <v>120.57142857142857</v>
      </c>
      <c r="M62" s="23">
        <v>6.523809523809524</v>
      </c>
      <c r="N62" s="23">
        <v>13.761904761904763</v>
      </c>
      <c r="O62" s="23">
        <v>22.49404761904762</v>
      </c>
      <c r="P62" s="23">
        <v>15.071428571428571</v>
      </c>
      <c r="Q62" s="23">
        <v>899.7619047619048</v>
      </c>
      <c r="R62" s="23">
        <v>602.8571428571429</v>
      </c>
      <c r="U62" s="28" t="s">
        <v>65</v>
      </c>
      <c r="V62" s="5">
        <v>2118.0</v>
      </c>
      <c r="W62" s="5">
        <v>1768.0</v>
      </c>
      <c r="X62" s="5">
        <v>100.0</v>
      </c>
      <c r="Y62" s="5">
        <v>85.0</v>
      </c>
      <c r="AA62" s="23">
        <v>529.5</v>
      </c>
      <c r="AB62" s="23">
        <v>442.0</v>
      </c>
      <c r="AC62" s="30"/>
      <c r="AF62" s="55"/>
      <c r="AG62" s="55"/>
      <c r="AH62" s="55"/>
      <c r="AI62" s="55"/>
      <c r="AJ62" s="55"/>
      <c r="AK62" s="55"/>
      <c r="AL62" s="55"/>
      <c r="AM62" s="51"/>
    </row>
    <row r="63" ht="15.75" customHeight="1">
      <c r="A63" s="22" t="str">
        <f t="shared" si="3"/>
        <v>martes</v>
      </c>
      <c r="B63" s="24" t="str">
        <f t="shared" si="4"/>
        <v>junio</v>
      </c>
      <c r="C63" s="25">
        <v>46182.0</v>
      </c>
      <c r="D63" s="22" t="s">
        <v>46</v>
      </c>
      <c r="E63" s="27">
        <v>72.0</v>
      </c>
      <c r="F63" s="27">
        <v>43.0</v>
      </c>
      <c r="G63" s="27">
        <v>2.0</v>
      </c>
      <c r="H63" s="27">
        <v>3.0</v>
      </c>
      <c r="J63" s="28" t="s">
        <v>65</v>
      </c>
      <c r="K63" s="23">
        <v>96.27272727272727</v>
      </c>
      <c r="L63" s="23">
        <v>80.36363636363636</v>
      </c>
      <c r="M63" s="23">
        <v>4.545454545454546</v>
      </c>
      <c r="N63" s="23">
        <v>3.8636363636363638</v>
      </c>
      <c r="O63" s="23">
        <v>12.034090909090908</v>
      </c>
      <c r="P63" s="23">
        <v>10.045454545454545</v>
      </c>
      <c r="Q63" s="23">
        <v>481.3636363636363</v>
      </c>
      <c r="R63" s="23">
        <v>401.8181818181818</v>
      </c>
      <c r="U63" s="28" t="s">
        <v>60</v>
      </c>
      <c r="V63" s="5">
        <v>2487.0</v>
      </c>
      <c r="W63" s="5">
        <v>1615.0</v>
      </c>
      <c r="X63" s="5">
        <v>53.0</v>
      </c>
      <c r="Y63" s="5">
        <v>97.0</v>
      </c>
      <c r="AA63" s="23">
        <v>621.75</v>
      </c>
      <c r="AB63" s="23">
        <v>403.75</v>
      </c>
      <c r="AC63" s="51"/>
      <c r="AF63" s="55"/>
      <c r="AG63" s="55"/>
      <c r="AH63" s="55"/>
      <c r="AI63" s="55"/>
      <c r="AJ63" s="55"/>
      <c r="AK63" s="55"/>
      <c r="AL63" s="55"/>
      <c r="AM63" s="51"/>
    </row>
    <row r="64" ht="15.75" customHeight="1">
      <c r="A64" s="22" t="str">
        <f t="shared" si="3"/>
        <v>martes</v>
      </c>
      <c r="B64" s="24" t="str">
        <f t="shared" si="4"/>
        <v>junio</v>
      </c>
      <c r="C64" s="25">
        <v>46182.0</v>
      </c>
      <c r="D64" s="26" t="s">
        <v>67</v>
      </c>
      <c r="E64" s="27">
        <v>75.0</v>
      </c>
      <c r="F64" s="27">
        <v>58.0</v>
      </c>
      <c r="G64" s="27">
        <v>4.0</v>
      </c>
      <c r="H64" s="27">
        <v>5.0</v>
      </c>
      <c r="J64" s="28" t="s">
        <v>51</v>
      </c>
      <c r="K64" s="23">
        <v>137.66666666666666</v>
      </c>
      <c r="L64" s="23">
        <v>122.46666666666667</v>
      </c>
      <c r="M64" s="23">
        <v>3.4</v>
      </c>
      <c r="N64" s="23">
        <v>15.2</v>
      </c>
      <c r="O64" s="23">
        <v>12.515151515151514</v>
      </c>
      <c r="P64" s="23">
        <v>11.133333333333333</v>
      </c>
      <c r="Q64" s="23">
        <v>550.6666666666666</v>
      </c>
      <c r="R64" s="23">
        <v>489.8666666666667</v>
      </c>
      <c r="U64" s="28" t="s">
        <v>66</v>
      </c>
      <c r="V64" s="5">
        <v>2269.0</v>
      </c>
      <c r="W64" s="5">
        <v>2084.0</v>
      </c>
      <c r="X64" s="5">
        <v>19.0</v>
      </c>
      <c r="Y64" s="5">
        <v>88.0</v>
      </c>
      <c r="AA64" s="23">
        <v>567.25</v>
      </c>
      <c r="AB64" s="23">
        <v>521.0</v>
      </c>
    </row>
    <row r="65" ht="15.75" customHeight="1">
      <c r="A65" s="22" t="str">
        <f t="shared" si="3"/>
        <v>martes</v>
      </c>
      <c r="B65" s="24" t="str">
        <f t="shared" si="4"/>
        <v>junio</v>
      </c>
      <c r="C65" s="25">
        <v>46182.0</v>
      </c>
      <c r="D65" s="26" t="s">
        <v>58</v>
      </c>
      <c r="E65" s="27">
        <v>68.0</v>
      </c>
      <c r="F65" s="27">
        <v>54.0</v>
      </c>
      <c r="G65" s="27">
        <v>3.0</v>
      </c>
      <c r="H65" s="27">
        <v>2.0</v>
      </c>
      <c r="J65" s="28" t="s">
        <v>66</v>
      </c>
      <c r="K65" s="23">
        <v>119.42105263157895</v>
      </c>
      <c r="L65" s="23">
        <v>109.6842105263158</v>
      </c>
      <c r="M65" s="23">
        <v>1.0</v>
      </c>
      <c r="N65" s="23">
        <v>4.631578947368421</v>
      </c>
      <c r="O65" s="23">
        <v>14.927631578947368</v>
      </c>
      <c r="P65" s="23">
        <v>13.710526315789474</v>
      </c>
      <c r="Q65" s="23">
        <v>597.1052631578947</v>
      </c>
      <c r="R65" s="23">
        <v>548.421052631579</v>
      </c>
      <c r="V65" s="55"/>
      <c r="W65" s="55"/>
      <c r="X65" s="55"/>
      <c r="Y65" s="55"/>
      <c r="AA65" s="23"/>
      <c r="AB65" s="23"/>
    </row>
    <row r="66" ht="15.75" customHeight="1">
      <c r="A66" s="22" t="str">
        <f t="shared" si="3"/>
        <v>martes</v>
      </c>
      <c r="B66" s="24" t="str">
        <f t="shared" si="4"/>
        <v>junio</v>
      </c>
      <c r="C66" s="25">
        <v>46182.0</v>
      </c>
      <c r="D66" s="26" t="s">
        <v>64</v>
      </c>
      <c r="E66" s="27">
        <v>161.0</v>
      </c>
      <c r="F66" s="27">
        <v>104.0</v>
      </c>
      <c r="G66" s="27">
        <v>6.0</v>
      </c>
      <c r="H66" s="27">
        <v>8.0</v>
      </c>
      <c r="V66" s="57"/>
      <c r="W66" s="57"/>
      <c r="X66" s="57"/>
      <c r="Y66" s="57"/>
    </row>
    <row r="67" ht="15.75" customHeight="1">
      <c r="A67" s="22" t="str">
        <f t="shared" si="3"/>
        <v>martes</v>
      </c>
      <c r="B67" s="24" t="str">
        <f t="shared" si="4"/>
        <v>junio</v>
      </c>
      <c r="C67" s="25">
        <v>46182.0</v>
      </c>
      <c r="D67" s="26" t="s">
        <v>65</v>
      </c>
      <c r="E67" s="27">
        <v>94.0</v>
      </c>
      <c r="F67" s="27">
        <v>79.0</v>
      </c>
      <c r="G67" s="27">
        <v>6.0</v>
      </c>
      <c r="H67" s="27">
        <v>4.0</v>
      </c>
      <c r="J67" s="5" t="s">
        <v>97</v>
      </c>
    </row>
    <row r="68" ht="15.75" customHeight="1">
      <c r="A68" s="22" t="str">
        <f t="shared" si="3"/>
        <v>martes</v>
      </c>
      <c r="B68" s="24" t="str">
        <f t="shared" si="4"/>
        <v>junio</v>
      </c>
      <c r="C68" s="25">
        <v>46182.0</v>
      </c>
      <c r="D68" s="26" t="s">
        <v>66</v>
      </c>
      <c r="E68" s="27">
        <v>90.0</v>
      </c>
      <c r="F68" s="27">
        <v>78.0</v>
      </c>
      <c r="G68" s="27">
        <v>0.0</v>
      </c>
      <c r="H68" s="27">
        <v>4.0</v>
      </c>
      <c r="V68" s="44"/>
    </row>
    <row r="69" ht="15.75" customHeight="1">
      <c r="A69" s="22" t="str">
        <f t="shared" si="3"/>
        <v>miércoles</v>
      </c>
      <c r="B69" s="24" t="str">
        <f t="shared" si="4"/>
        <v>junio</v>
      </c>
      <c r="C69" s="25">
        <v>46183.0</v>
      </c>
      <c r="D69" s="26" t="s">
        <v>39</v>
      </c>
      <c r="E69" s="27">
        <v>59.0</v>
      </c>
      <c r="F69" s="27">
        <v>36.0</v>
      </c>
      <c r="G69" s="27">
        <v>0.0</v>
      </c>
      <c r="H69" s="27">
        <v>7.0</v>
      </c>
      <c r="V69" s="47"/>
      <c r="W69" s="47"/>
      <c r="X69" s="48"/>
      <c r="Y69" s="47"/>
    </row>
    <row r="70" ht="15.75" customHeight="1">
      <c r="A70" s="22" t="str">
        <f t="shared" si="3"/>
        <v>miércoles</v>
      </c>
      <c r="B70" s="24" t="str">
        <f t="shared" si="4"/>
        <v>junio</v>
      </c>
      <c r="C70" s="25">
        <v>46183.0</v>
      </c>
      <c r="D70" s="26" t="s">
        <v>41</v>
      </c>
      <c r="E70" s="27">
        <v>75.0</v>
      </c>
      <c r="F70" s="27">
        <v>57.0</v>
      </c>
      <c r="G70" s="27">
        <v>1.0</v>
      </c>
      <c r="H70" s="27">
        <v>3.0</v>
      </c>
      <c r="V70" s="23"/>
      <c r="W70" s="23"/>
      <c r="X70" s="23"/>
      <c r="Y70" s="23"/>
    </row>
    <row r="71" ht="15.75" customHeight="1">
      <c r="A71" s="22" t="str">
        <f t="shared" si="3"/>
        <v>miércoles</v>
      </c>
      <c r="B71" s="24" t="str">
        <f t="shared" si="4"/>
        <v>junio</v>
      </c>
      <c r="C71" s="25">
        <v>46183.0</v>
      </c>
      <c r="D71" s="26" t="s">
        <v>42</v>
      </c>
      <c r="E71" s="27">
        <v>104.0</v>
      </c>
      <c r="F71" s="27">
        <v>63.0</v>
      </c>
      <c r="G71" s="27">
        <v>5.0</v>
      </c>
      <c r="H71" s="27">
        <v>9.0</v>
      </c>
      <c r="V71" s="23"/>
      <c r="W71" s="23"/>
      <c r="X71" s="23"/>
      <c r="Y71" s="23"/>
    </row>
    <row r="72" ht="15.75" customHeight="1">
      <c r="A72" s="22" t="str">
        <f t="shared" si="3"/>
        <v>miércoles</v>
      </c>
      <c r="B72" s="24" t="str">
        <f t="shared" si="4"/>
        <v>junio</v>
      </c>
      <c r="C72" s="25">
        <v>46183.0</v>
      </c>
      <c r="D72" s="26" t="s">
        <v>51</v>
      </c>
      <c r="E72" s="27">
        <v>156.0</v>
      </c>
      <c r="F72" s="27">
        <v>128.0</v>
      </c>
      <c r="G72" s="27">
        <v>3.0</v>
      </c>
      <c r="H72" s="27">
        <v>27.0</v>
      </c>
      <c r="V72" s="23"/>
      <c r="W72" s="23"/>
      <c r="X72" s="23"/>
      <c r="Y72" s="23"/>
    </row>
    <row r="73" ht="15.75" customHeight="1">
      <c r="A73" s="22" t="str">
        <f t="shared" si="3"/>
        <v>miércoles</v>
      </c>
      <c r="B73" s="24" t="str">
        <f t="shared" si="4"/>
        <v>junio</v>
      </c>
      <c r="C73" s="25">
        <v>46183.0</v>
      </c>
      <c r="D73" s="22" t="s">
        <v>46</v>
      </c>
      <c r="E73" s="27">
        <v>85.0</v>
      </c>
      <c r="F73" s="27">
        <v>40.0</v>
      </c>
      <c r="G73" s="27">
        <v>4.0</v>
      </c>
      <c r="H73" s="27">
        <v>11.0</v>
      </c>
      <c r="V73" s="23"/>
      <c r="W73" s="23"/>
      <c r="X73" s="23"/>
      <c r="Y73" s="23"/>
    </row>
    <row r="74" ht="15.75" customHeight="1">
      <c r="A74" s="22" t="str">
        <f t="shared" si="3"/>
        <v>miércoles</v>
      </c>
      <c r="B74" s="24" t="str">
        <f t="shared" si="4"/>
        <v>junio</v>
      </c>
      <c r="C74" s="25">
        <v>46183.0</v>
      </c>
      <c r="D74" s="26" t="s">
        <v>67</v>
      </c>
      <c r="E74" s="27">
        <v>67.0</v>
      </c>
      <c r="F74" s="27">
        <v>54.0</v>
      </c>
      <c r="G74" s="27">
        <v>5.0</v>
      </c>
      <c r="H74" s="27">
        <v>5.0</v>
      </c>
      <c r="V74" s="23"/>
      <c r="W74" s="23"/>
      <c r="X74" s="23"/>
      <c r="Y74" s="23"/>
    </row>
    <row r="75" ht="15.75" customHeight="1">
      <c r="A75" s="22" t="str">
        <f t="shared" si="3"/>
        <v>miércoles</v>
      </c>
      <c r="B75" s="24" t="str">
        <f t="shared" si="4"/>
        <v>junio</v>
      </c>
      <c r="C75" s="25">
        <v>46183.0</v>
      </c>
      <c r="D75" s="26" t="s">
        <v>58</v>
      </c>
      <c r="E75" s="27">
        <v>66.0</v>
      </c>
      <c r="F75" s="27">
        <v>37.0</v>
      </c>
      <c r="G75" s="27">
        <v>3.0</v>
      </c>
      <c r="H75" s="27">
        <v>2.0</v>
      </c>
      <c r="V75" s="23"/>
      <c r="W75" s="23"/>
      <c r="X75" s="23"/>
      <c r="Y75" s="23"/>
    </row>
    <row r="76" ht="15.75" customHeight="1">
      <c r="A76" s="22" t="str">
        <f t="shared" si="3"/>
        <v>miércoles</v>
      </c>
      <c r="B76" s="24" t="str">
        <f t="shared" si="4"/>
        <v>junio</v>
      </c>
      <c r="C76" s="25">
        <v>46183.0</v>
      </c>
      <c r="D76" s="26" t="s">
        <v>64</v>
      </c>
      <c r="E76" s="27">
        <v>185.0</v>
      </c>
      <c r="F76" s="27">
        <v>134.0</v>
      </c>
      <c r="G76" s="27">
        <v>4.0</v>
      </c>
      <c r="H76" s="27">
        <v>21.0</v>
      </c>
      <c r="V76" s="23"/>
      <c r="W76" s="23"/>
      <c r="X76" s="23"/>
      <c r="Y76" s="23"/>
    </row>
    <row r="77" ht="15.75" customHeight="1">
      <c r="A77" s="22" t="str">
        <f t="shared" si="3"/>
        <v>miércoles</v>
      </c>
      <c r="B77" s="24" t="str">
        <f t="shared" si="4"/>
        <v>junio</v>
      </c>
      <c r="C77" s="25">
        <v>46183.0</v>
      </c>
      <c r="D77" s="26" t="s">
        <v>65</v>
      </c>
      <c r="E77" s="27">
        <v>106.0</v>
      </c>
      <c r="F77" s="27">
        <v>89.0</v>
      </c>
      <c r="G77" s="27">
        <v>6.0</v>
      </c>
      <c r="H77" s="27">
        <v>0.0</v>
      </c>
      <c r="V77" s="23"/>
      <c r="W77" s="23"/>
      <c r="X77" s="23"/>
      <c r="Y77" s="23"/>
    </row>
    <row r="78" ht="15.75" customHeight="1">
      <c r="A78" s="22" t="str">
        <f t="shared" si="3"/>
        <v>miércoles</v>
      </c>
      <c r="B78" s="24" t="str">
        <f t="shared" si="4"/>
        <v>junio</v>
      </c>
      <c r="C78" s="25">
        <v>46183.0</v>
      </c>
      <c r="D78" s="26" t="s">
        <v>66</v>
      </c>
      <c r="E78" s="27">
        <v>93.0</v>
      </c>
      <c r="F78" s="27">
        <v>92.0</v>
      </c>
      <c r="G78" s="27">
        <v>0.0</v>
      </c>
      <c r="H78" s="27">
        <v>9.0</v>
      </c>
      <c r="V78" s="23"/>
      <c r="W78" s="23"/>
      <c r="X78" s="23"/>
      <c r="Y78" s="23"/>
    </row>
    <row r="79" ht="15.75" customHeight="1">
      <c r="A79" s="22" t="str">
        <f t="shared" si="3"/>
        <v>jueves</v>
      </c>
      <c r="B79" s="24" t="str">
        <f t="shared" si="4"/>
        <v>junio</v>
      </c>
      <c r="C79" s="25">
        <v>46184.0</v>
      </c>
      <c r="D79" s="26" t="s">
        <v>40</v>
      </c>
      <c r="E79" s="27">
        <v>77.0</v>
      </c>
      <c r="F79" s="27">
        <v>28.0</v>
      </c>
      <c r="G79" s="27">
        <v>4.0</v>
      </c>
      <c r="H79" s="27">
        <v>18.0</v>
      </c>
    </row>
    <row r="80" ht="15.75" customHeight="1">
      <c r="A80" s="22" t="str">
        <f t="shared" si="3"/>
        <v>jueves</v>
      </c>
      <c r="B80" s="24" t="str">
        <f t="shared" si="4"/>
        <v>junio</v>
      </c>
      <c r="C80" s="25">
        <v>46184.0</v>
      </c>
      <c r="D80" s="26" t="s">
        <v>41</v>
      </c>
      <c r="E80" s="27">
        <v>64.0</v>
      </c>
      <c r="F80" s="27">
        <v>50.0</v>
      </c>
      <c r="G80" s="27">
        <v>1.0</v>
      </c>
      <c r="H80" s="27">
        <v>5.0</v>
      </c>
    </row>
    <row r="81" ht="15.75" customHeight="1">
      <c r="A81" s="22" t="str">
        <f t="shared" si="3"/>
        <v>jueves</v>
      </c>
      <c r="B81" s="24" t="str">
        <f t="shared" si="4"/>
        <v>junio</v>
      </c>
      <c r="C81" s="25">
        <v>46184.0</v>
      </c>
      <c r="D81" s="26" t="s">
        <v>42</v>
      </c>
      <c r="E81" s="27">
        <v>86.0</v>
      </c>
      <c r="F81" s="27">
        <v>55.0</v>
      </c>
      <c r="G81" s="27">
        <v>3.0</v>
      </c>
      <c r="H81" s="27">
        <v>5.0</v>
      </c>
    </row>
    <row r="82" ht="15.75" customHeight="1">
      <c r="A82" s="22" t="str">
        <f t="shared" si="3"/>
        <v>jueves</v>
      </c>
      <c r="B82" s="24" t="str">
        <f t="shared" si="4"/>
        <v>junio</v>
      </c>
      <c r="C82" s="25">
        <v>46184.0</v>
      </c>
      <c r="D82" s="26" t="s">
        <v>51</v>
      </c>
      <c r="E82" s="27">
        <v>96.0</v>
      </c>
      <c r="F82" s="27">
        <v>90.0</v>
      </c>
      <c r="G82" s="27">
        <v>3.0</v>
      </c>
      <c r="H82" s="27">
        <v>12.0</v>
      </c>
    </row>
    <row r="83" ht="15.75" customHeight="1">
      <c r="A83" s="22" t="str">
        <f t="shared" si="3"/>
        <v>jueves</v>
      </c>
      <c r="B83" s="24" t="str">
        <f t="shared" si="4"/>
        <v>junio</v>
      </c>
      <c r="C83" s="25">
        <v>46184.0</v>
      </c>
      <c r="D83" s="26" t="s">
        <v>67</v>
      </c>
      <c r="E83" s="27">
        <v>60.0</v>
      </c>
      <c r="F83" s="27">
        <v>48.0</v>
      </c>
      <c r="G83" s="27">
        <v>8.0</v>
      </c>
      <c r="H83" s="27">
        <v>6.0</v>
      </c>
    </row>
    <row r="84" ht="15.75" customHeight="1">
      <c r="A84" s="22" t="str">
        <f t="shared" si="3"/>
        <v>jueves</v>
      </c>
      <c r="B84" s="24" t="str">
        <f t="shared" si="4"/>
        <v>junio</v>
      </c>
      <c r="C84" s="25">
        <v>46184.0</v>
      </c>
      <c r="D84" s="26" t="s">
        <v>58</v>
      </c>
      <c r="E84" s="27">
        <v>56.0</v>
      </c>
      <c r="F84" s="27">
        <v>24.0</v>
      </c>
      <c r="G84" s="27">
        <v>5.0</v>
      </c>
      <c r="H84" s="27">
        <v>3.0</v>
      </c>
    </row>
    <row r="85" ht="15.75" customHeight="1">
      <c r="A85" s="22" t="str">
        <f t="shared" si="3"/>
        <v>jueves</v>
      </c>
      <c r="B85" s="24" t="str">
        <f t="shared" si="4"/>
        <v>junio</v>
      </c>
      <c r="C85" s="25">
        <v>46184.0</v>
      </c>
      <c r="D85" s="26" t="s">
        <v>52</v>
      </c>
      <c r="E85" s="27">
        <v>42.0</v>
      </c>
      <c r="F85" s="27">
        <v>40.0</v>
      </c>
      <c r="G85" s="27">
        <v>5.0</v>
      </c>
      <c r="H85" s="27">
        <v>4.0</v>
      </c>
    </row>
    <row r="86" ht="15.75" customHeight="1">
      <c r="A86" s="22" t="str">
        <f t="shared" si="3"/>
        <v>jueves</v>
      </c>
      <c r="B86" s="24" t="str">
        <f t="shared" si="4"/>
        <v>junio</v>
      </c>
      <c r="C86" s="25">
        <v>46184.0</v>
      </c>
      <c r="D86" s="26" t="s">
        <v>64</v>
      </c>
      <c r="E86" s="27">
        <v>139.0</v>
      </c>
      <c r="F86" s="27">
        <v>102.0</v>
      </c>
      <c r="G86" s="27">
        <v>7.0</v>
      </c>
      <c r="H86" s="27">
        <v>23.0</v>
      </c>
    </row>
    <row r="87" ht="15.75" customHeight="1">
      <c r="A87" s="22" t="str">
        <f t="shared" si="3"/>
        <v>jueves</v>
      </c>
      <c r="B87" s="24" t="str">
        <f t="shared" si="4"/>
        <v>junio</v>
      </c>
      <c r="C87" s="25">
        <v>46184.0</v>
      </c>
      <c r="D87" s="26" t="s">
        <v>65</v>
      </c>
      <c r="E87" s="27">
        <v>115.0</v>
      </c>
      <c r="F87" s="27">
        <v>98.0</v>
      </c>
      <c r="G87" s="27">
        <v>5.0</v>
      </c>
      <c r="H87" s="27">
        <v>4.0</v>
      </c>
    </row>
    <row r="88" ht="15.75" customHeight="1">
      <c r="A88" s="22" t="str">
        <f t="shared" si="3"/>
        <v>jueves</v>
      </c>
      <c r="B88" s="24" t="str">
        <f t="shared" si="4"/>
        <v>junio</v>
      </c>
      <c r="C88" s="25">
        <v>46184.0</v>
      </c>
      <c r="D88" s="26" t="s">
        <v>66</v>
      </c>
      <c r="E88" s="27">
        <v>96.0</v>
      </c>
      <c r="F88" s="27">
        <v>88.0</v>
      </c>
      <c r="G88" s="27">
        <v>3.0</v>
      </c>
      <c r="H88" s="27">
        <v>4.0</v>
      </c>
    </row>
    <row r="89" ht="15.75" customHeight="1">
      <c r="A89" s="22" t="str">
        <f t="shared" si="3"/>
        <v>viernes</v>
      </c>
      <c r="B89" s="24" t="str">
        <f t="shared" si="4"/>
        <v>junio</v>
      </c>
      <c r="C89" s="25">
        <v>46185.0</v>
      </c>
      <c r="D89" s="26" t="s">
        <v>40</v>
      </c>
      <c r="E89" s="27">
        <v>63.0</v>
      </c>
      <c r="F89" s="27">
        <v>28.0</v>
      </c>
      <c r="G89" s="27">
        <v>5.0</v>
      </c>
      <c r="H89" s="27">
        <v>6.0</v>
      </c>
    </row>
    <row r="90" ht="15.75" customHeight="1">
      <c r="A90" s="22" t="str">
        <f t="shared" si="3"/>
        <v>viernes</v>
      </c>
      <c r="B90" s="24" t="str">
        <f t="shared" si="4"/>
        <v>junio</v>
      </c>
      <c r="C90" s="25">
        <v>46185.0</v>
      </c>
      <c r="D90" s="26" t="s">
        <v>51</v>
      </c>
      <c r="E90" s="27">
        <v>71.0</v>
      </c>
      <c r="F90" s="27">
        <v>62.0</v>
      </c>
      <c r="G90" s="27">
        <v>4.0</v>
      </c>
      <c r="H90" s="27">
        <v>10.0</v>
      </c>
    </row>
    <row r="91" ht="15.75" customHeight="1">
      <c r="A91" s="22" t="str">
        <f t="shared" si="3"/>
        <v>viernes</v>
      </c>
      <c r="B91" s="24" t="str">
        <f t="shared" si="4"/>
        <v>junio</v>
      </c>
      <c r="C91" s="25">
        <v>46185.0</v>
      </c>
      <c r="D91" s="26" t="s">
        <v>58</v>
      </c>
      <c r="E91" s="27">
        <v>49.0</v>
      </c>
      <c r="F91" s="27">
        <v>21.0</v>
      </c>
      <c r="G91" s="27">
        <v>3.0</v>
      </c>
      <c r="H91" s="27">
        <v>0.0</v>
      </c>
    </row>
    <row r="92" ht="15.75" customHeight="1">
      <c r="A92" s="22" t="str">
        <f t="shared" si="3"/>
        <v>viernes</v>
      </c>
      <c r="B92" s="24" t="str">
        <f t="shared" si="4"/>
        <v>junio</v>
      </c>
      <c r="C92" s="25">
        <v>46185.0</v>
      </c>
      <c r="D92" s="26" t="s">
        <v>52</v>
      </c>
      <c r="E92" s="27">
        <v>33.0</v>
      </c>
      <c r="F92" s="27">
        <v>27.0</v>
      </c>
      <c r="G92" s="27">
        <v>4.0</v>
      </c>
      <c r="H92" s="27">
        <v>0.0</v>
      </c>
    </row>
    <row r="93" ht="15.75" customHeight="1">
      <c r="A93" s="22" t="str">
        <f t="shared" si="3"/>
        <v>viernes</v>
      </c>
      <c r="B93" s="24" t="str">
        <f t="shared" si="4"/>
        <v>junio</v>
      </c>
      <c r="C93" s="25">
        <v>46185.0</v>
      </c>
      <c r="D93" s="26" t="s">
        <v>64</v>
      </c>
      <c r="E93" s="27">
        <v>161.0</v>
      </c>
      <c r="F93" s="27">
        <v>109.0</v>
      </c>
      <c r="G93" s="27">
        <v>8.0</v>
      </c>
      <c r="H93" s="27">
        <v>20.0</v>
      </c>
    </row>
    <row r="94" ht="15.75" customHeight="1">
      <c r="A94" s="22" t="str">
        <f t="shared" si="3"/>
        <v>viernes</v>
      </c>
      <c r="B94" s="24" t="str">
        <f t="shared" si="4"/>
        <v>junio</v>
      </c>
      <c r="C94" s="25">
        <v>46185.0</v>
      </c>
      <c r="D94" s="26" t="s">
        <v>65</v>
      </c>
      <c r="E94" s="27">
        <v>65.0</v>
      </c>
      <c r="F94" s="27">
        <v>48.0</v>
      </c>
      <c r="G94" s="27">
        <v>6.0</v>
      </c>
      <c r="H94" s="27">
        <v>0.0</v>
      </c>
    </row>
    <row r="95" ht="15.75" customHeight="1">
      <c r="A95" s="22" t="str">
        <f t="shared" si="3"/>
        <v>viernes</v>
      </c>
      <c r="B95" s="24" t="str">
        <f t="shared" si="4"/>
        <v>junio</v>
      </c>
      <c r="C95" s="25">
        <v>46185.0</v>
      </c>
      <c r="D95" s="26" t="s">
        <v>87</v>
      </c>
      <c r="E95" s="27">
        <v>131.0</v>
      </c>
      <c r="F95" s="27">
        <v>98.0</v>
      </c>
      <c r="G95" s="27">
        <v>0.0</v>
      </c>
      <c r="H95" s="27">
        <v>13.0</v>
      </c>
    </row>
    <row r="96" ht="15.75" customHeight="1">
      <c r="A96" s="22" t="str">
        <f t="shared" si="3"/>
        <v>sábado</v>
      </c>
      <c r="B96" s="24" t="str">
        <f t="shared" si="4"/>
        <v>junio</v>
      </c>
      <c r="C96" s="25">
        <v>46186.0</v>
      </c>
      <c r="D96" s="26" t="s">
        <v>40</v>
      </c>
      <c r="E96" s="27">
        <v>75.0</v>
      </c>
      <c r="F96" s="27">
        <v>46.0</v>
      </c>
      <c r="G96" s="27">
        <v>3.0</v>
      </c>
      <c r="H96" s="27">
        <v>2.0</v>
      </c>
    </row>
    <row r="97" ht="15.75" customHeight="1">
      <c r="A97" s="22" t="str">
        <f t="shared" si="3"/>
        <v>sábado</v>
      </c>
      <c r="B97" s="24" t="str">
        <f t="shared" si="4"/>
        <v>junio</v>
      </c>
      <c r="C97" s="25">
        <v>46186.0</v>
      </c>
      <c r="D97" s="22" t="s">
        <v>43</v>
      </c>
      <c r="E97" s="27">
        <v>74.0</v>
      </c>
      <c r="F97" s="27">
        <v>41.0</v>
      </c>
      <c r="G97" s="27">
        <v>3.0</v>
      </c>
      <c r="H97" s="27">
        <v>3.0</v>
      </c>
    </row>
    <row r="98" ht="15.75" customHeight="1">
      <c r="A98" s="22" t="str">
        <f t="shared" si="3"/>
        <v>sábado</v>
      </c>
      <c r="B98" s="24" t="str">
        <f t="shared" si="4"/>
        <v>junio</v>
      </c>
      <c r="C98" s="25">
        <v>46186.0</v>
      </c>
      <c r="D98" s="26" t="s">
        <v>51</v>
      </c>
      <c r="E98" s="27">
        <v>84.0</v>
      </c>
      <c r="F98" s="27">
        <v>80.0</v>
      </c>
      <c r="G98" s="27">
        <v>2.0</v>
      </c>
      <c r="H98" s="27">
        <v>3.0</v>
      </c>
    </row>
    <row r="99" ht="15.75" customHeight="1">
      <c r="A99" s="22" t="str">
        <f t="shared" si="3"/>
        <v>sábado</v>
      </c>
      <c r="B99" s="24" t="str">
        <f t="shared" si="4"/>
        <v>junio</v>
      </c>
      <c r="C99" s="25">
        <v>46186.0</v>
      </c>
      <c r="D99" s="26" t="s">
        <v>52</v>
      </c>
      <c r="E99" s="27">
        <v>62.0</v>
      </c>
      <c r="F99" s="27">
        <v>38.0</v>
      </c>
      <c r="G99" s="27">
        <v>4.0</v>
      </c>
      <c r="H99" s="27">
        <v>4.0</v>
      </c>
    </row>
    <row r="100" ht="15.75" customHeight="1">
      <c r="A100" s="22" t="str">
        <f t="shared" si="3"/>
        <v>sábado</v>
      </c>
      <c r="B100" s="24" t="str">
        <f t="shared" si="4"/>
        <v>junio</v>
      </c>
      <c r="C100" s="25">
        <v>46186.0</v>
      </c>
      <c r="D100" s="26" t="s">
        <v>60</v>
      </c>
      <c r="E100" s="27">
        <v>208.0</v>
      </c>
      <c r="F100" s="27">
        <v>169.0</v>
      </c>
      <c r="G100" s="27">
        <v>5.0</v>
      </c>
      <c r="H100" s="27">
        <v>4.0</v>
      </c>
    </row>
    <row r="101" ht="15.75" customHeight="1">
      <c r="A101" s="22" t="str">
        <f t="shared" si="3"/>
        <v>domingo</v>
      </c>
      <c r="B101" s="24" t="str">
        <f t="shared" si="4"/>
        <v>junio</v>
      </c>
      <c r="C101" s="25">
        <v>46187.0</v>
      </c>
      <c r="D101" s="26" t="s">
        <v>39</v>
      </c>
      <c r="E101" s="27">
        <v>173.0</v>
      </c>
      <c r="F101" s="27">
        <v>110.0</v>
      </c>
      <c r="G101" s="27">
        <v>0.0</v>
      </c>
      <c r="H101" s="27">
        <v>0.0</v>
      </c>
    </row>
    <row r="102" ht="15.75" customHeight="1">
      <c r="A102" s="22" t="str">
        <f t="shared" si="3"/>
        <v>domingo</v>
      </c>
      <c r="B102" s="24" t="str">
        <f t="shared" si="4"/>
        <v>junio</v>
      </c>
      <c r="C102" s="25">
        <v>46187.0</v>
      </c>
      <c r="D102" s="26" t="s">
        <v>40</v>
      </c>
      <c r="E102" s="27">
        <v>88.0</v>
      </c>
      <c r="F102" s="27">
        <v>37.0</v>
      </c>
      <c r="G102" s="27">
        <v>5.0</v>
      </c>
      <c r="H102" s="27">
        <v>15.0</v>
      </c>
    </row>
    <row r="103" ht="15.75" customHeight="1">
      <c r="A103" s="22" t="str">
        <f t="shared" si="3"/>
        <v>domingo</v>
      </c>
      <c r="B103" s="24" t="str">
        <f t="shared" si="4"/>
        <v>junio</v>
      </c>
      <c r="C103" s="25">
        <v>46187.0</v>
      </c>
      <c r="D103" s="22" t="s">
        <v>43</v>
      </c>
      <c r="E103" s="27">
        <v>85.0</v>
      </c>
      <c r="F103" s="27">
        <v>49.0</v>
      </c>
      <c r="G103" s="27">
        <v>4.0</v>
      </c>
      <c r="H103" s="27">
        <v>9.0</v>
      </c>
    </row>
    <row r="104" ht="15.75" customHeight="1">
      <c r="A104" s="22" t="str">
        <f t="shared" si="3"/>
        <v>domingo</v>
      </c>
      <c r="B104" s="24" t="str">
        <f t="shared" si="4"/>
        <v>junio</v>
      </c>
      <c r="C104" s="25">
        <v>46187.0</v>
      </c>
      <c r="D104" s="26" t="s">
        <v>52</v>
      </c>
      <c r="E104" s="27">
        <v>79.0</v>
      </c>
      <c r="F104" s="27">
        <v>59.0</v>
      </c>
      <c r="G104" s="27">
        <v>4.0</v>
      </c>
      <c r="H104" s="27">
        <v>7.0</v>
      </c>
    </row>
    <row r="105" ht="15.75" customHeight="1">
      <c r="A105" s="22" t="str">
        <f t="shared" si="3"/>
        <v>domingo</v>
      </c>
      <c r="B105" s="24" t="str">
        <f t="shared" si="4"/>
        <v>junio</v>
      </c>
      <c r="C105" s="25">
        <v>46187.0</v>
      </c>
      <c r="D105" s="26" t="s">
        <v>60</v>
      </c>
      <c r="E105" s="27">
        <v>229.0</v>
      </c>
      <c r="F105" s="27">
        <v>167.0</v>
      </c>
      <c r="G105" s="27">
        <v>5.0</v>
      </c>
      <c r="H105" s="27">
        <v>4.0</v>
      </c>
    </row>
    <row r="106" ht="15.75" customHeight="1">
      <c r="A106" s="22" t="str">
        <f t="shared" si="3"/>
        <v>lunes</v>
      </c>
      <c r="B106" s="24" t="str">
        <f t="shared" si="4"/>
        <v>junio</v>
      </c>
      <c r="C106" s="25">
        <v>46188.0</v>
      </c>
      <c r="D106" s="26" t="s">
        <v>39</v>
      </c>
      <c r="E106" s="27">
        <v>70.0</v>
      </c>
      <c r="F106" s="27">
        <v>50.0</v>
      </c>
      <c r="G106" s="27">
        <v>0.0</v>
      </c>
      <c r="H106" s="27">
        <v>6.0</v>
      </c>
    </row>
    <row r="107" ht="15.75" customHeight="1">
      <c r="A107" s="22" t="str">
        <f t="shared" si="3"/>
        <v>lunes</v>
      </c>
      <c r="B107" s="24" t="str">
        <f t="shared" si="4"/>
        <v>junio</v>
      </c>
      <c r="C107" s="25">
        <v>46188.0</v>
      </c>
      <c r="D107" s="26" t="s">
        <v>41</v>
      </c>
      <c r="E107" s="27">
        <v>65.0</v>
      </c>
      <c r="F107" s="27">
        <v>43.0</v>
      </c>
      <c r="G107" s="27">
        <v>2.0</v>
      </c>
      <c r="H107" s="27">
        <v>2.0</v>
      </c>
    </row>
    <row r="108" ht="15.75" customHeight="1">
      <c r="A108" s="22" t="str">
        <f t="shared" si="3"/>
        <v>lunes</v>
      </c>
      <c r="B108" s="24" t="str">
        <f t="shared" si="4"/>
        <v>junio</v>
      </c>
      <c r="C108" s="25">
        <v>46188.0</v>
      </c>
      <c r="D108" s="26" t="s">
        <v>42</v>
      </c>
      <c r="E108" s="27">
        <v>101.0</v>
      </c>
      <c r="F108" s="27">
        <v>58.0</v>
      </c>
      <c r="G108" s="27">
        <v>3.0</v>
      </c>
      <c r="H108" s="27">
        <v>7.0</v>
      </c>
    </row>
    <row r="109" ht="15.75" customHeight="1">
      <c r="A109" s="22" t="str">
        <f t="shared" si="3"/>
        <v>lunes</v>
      </c>
      <c r="B109" s="24" t="str">
        <f t="shared" si="4"/>
        <v>junio</v>
      </c>
      <c r="C109" s="25">
        <v>46188.0</v>
      </c>
      <c r="D109" s="26" t="s">
        <v>44</v>
      </c>
      <c r="E109" s="27">
        <v>63.0</v>
      </c>
      <c r="F109" s="27">
        <v>66.0</v>
      </c>
      <c r="G109" s="27">
        <v>0.0</v>
      </c>
      <c r="H109" s="27">
        <v>0.0</v>
      </c>
    </row>
    <row r="110" ht="15.75" customHeight="1">
      <c r="A110" s="22" t="str">
        <f t="shared" si="3"/>
        <v>lunes</v>
      </c>
      <c r="B110" s="24" t="str">
        <f t="shared" si="4"/>
        <v>junio</v>
      </c>
      <c r="C110" s="25">
        <v>46188.0</v>
      </c>
      <c r="D110" s="26" t="s">
        <v>67</v>
      </c>
      <c r="E110" s="27">
        <v>68.0</v>
      </c>
      <c r="F110" s="27">
        <v>50.0</v>
      </c>
      <c r="G110" s="27">
        <v>3.0</v>
      </c>
      <c r="H110" s="27">
        <v>4.0</v>
      </c>
    </row>
    <row r="111" ht="15.75" customHeight="1">
      <c r="A111" s="22" t="str">
        <f t="shared" si="3"/>
        <v>lunes</v>
      </c>
      <c r="B111" s="24" t="str">
        <f t="shared" si="4"/>
        <v>junio</v>
      </c>
      <c r="C111" s="25">
        <v>46188.0</v>
      </c>
      <c r="D111" s="26" t="s">
        <v>58</v>
      </c>
      <c r="E111" s="27">
        <v>54.0</v>
      </c>
      <c r="F111" s="27">
        <v>28.0</v>
      </c>
      <c r="G111" s="27">
        <v>5.0</v>
      </c>
      <c r="H111" s="27">
        <v>0.0</v>
      </c>
    </row>
    <row r="112" ht="15.75" customHeight="1">
      <c r="A112" s="22" t="str">
        <f t="shared" si="3"/>
        <v>lunes</v>
      </c>
      <c r="B112" s="24" t="str">
        <f t="shared" si="4"/>
        <v>junio</v>
      </c>
      <c r="C112" s="25">
        <v>46188.0</v>
      </c>
      <c r="D112" s="26" t="s">
        <v>64</v>
      </c>
      <c r="E112" s="27">
        <v>155.0</v>
      </c>
      <c r="F112" s="27">
        <v>99.0</v>
      </c>
      <c r="G112" s="27">
        <v>4.0</v>
      </c>
      <c r="H112" s="27">
        <v>8.0</v>
      </c>
    </row>
    <row r="113" ht="15.75" customHeight="1">
      <c r="A113" s="22" t="str">
        <f t="shared" si="3"/>
        <v>lunes</v>
      </c>
      <c r="B113" s="24" t="str">
        <f t="shared" si="4"/>
        <v>junio</v>
      </c>
      <c r="C113" s="25">
        <v>46188.0</v>
      </c>
      <c r="D113" s="26" t="s">
        <v>65</v>
      </c>
      <c r="E113" s="27">
        <v>86.0</v>
      </c>
      <c r="F113" s="27">
        <v>80.0</v>
      </c>
      <c r="G113" s="27">
        <v>3.0</v>
      </c>
      <c r="H113" s="27">
        <v>4.0</v>
      </c>
    </row>
    <row r="114" ht="15.75" customHeight="1">
      <c r="A114" s="22" t="str">
        <f t="shared" si="3"/>
        <v>lunes</v>
      </c>
      <c r="B114" s="24" t="str">
        <f t="shared" si="4"/>
        <v>junio</v>
      </c>
      <c r="C114" s="25">
        <v>46188.0</v>
      </c>
      <c r="D114" s="26" t="s">
        <v>60</v>
      </c>
      <c r="E114" s="27">
        <v>114.0</v>
      </c>
      <c r="F114" s="27">
        <v>36.0</v>
      </c>
      <c r="G114" s="27">
        <v>2.0</v>
      </c>
      <c r="H114" s="27">
        <v>18.0</v>
      </c>
    </row>
    <row r="115" ht="15.75" customHeight="1">
      <c r="A115" s="22" t="str">
        <f t="shared" si="3"/>
        <v>lunes</v>
      </c>
      <c r="B115" s="24" t="str">
        <f t="shared" si="4"/>
        <v>junio</v>
      </c>
      <c r="C115" s="25">
        <v>46188.0</v>
      </c>
      <c r="D115" s="26" t="s">
        <v>66</v>
      </c>
      <c r="E115" s="27">
        <v>103.0</v>
      </c>
      <c r="F115" s="27">
        <v>95.0</v>
      </c>
      <c r="G115" s="27">
        <v>2.0</v>
      </c>
      <c r="H115" s="27">
        <v>10.0</v>
      </c>
    </row>
    <row r="116" ht="15.75" customHeight="1">
      <c r="A116" s="22" t="str">
        <f t="shared" si="3"/>
        <v>martes</v>
      </c>
      <c r="B116" s="24" t="str">
        <f t="shared" si="4"/>
        <v>junio</v>
      </c>
      <c r="C116" s="25">
        <v>46189.0</v>
      </c>
      <c r="D116" s="26" t="s">
        <v>39</v>
      </c>
      <c r="E116" s="27">
        <v>94.0</v>
      </c>
      <c r="F116" s="27">
        <v>65.0</v>
      </c>
      <c r="G116" s="27">
        <v>0.0</v>
      </c>
      <c r="H116" s="27">
        <v>10.0</v>
      </c>
    </row>
    <row r="117" ht="15.75" customHeight="1">
      <c r="A117" s="22" t="str">
        <f t="shared" si="3"/>
        <v>martes</v>
      </c>
      <c r="B117" s="24" t="str">
        <f t="shared" si="4"/>
        <v>junio</v>
      </c>
      <c r="C117" s="25">
        <v>46189.0</v>
      </c>
      <c r="D117" s="26" t="s">
        <v>41</v>
      </c>
      <c r="E117" s="27">
        <v>68.0</v>
      </c>
      <c r="F117" s="27">
        <v>48.0</v>
      </c>
      <c r="G117" s="27">
        <v>2.0</v>
      </c>
      <c r="H117" s="27">
        <v>7.0</v>
      </c>
    </row>
    <row r="118" ht="15.75" customHeight="1">
      <c r="A118" s="22" t="str">
        <f t="shared" si="3"/>
        <v>martes</v>
      </c>
      <c r="B118" s="24" t="str">
        <f t="shared" si="4"/>
        <v>junio</v>
      </c>
      <c r="C118" s="25">
        <v>46189.0</v>
      </c>
      <c r="D118" s="26" t="s">
        <v>42</v>
      </c>
      <c r="E118" s="27">
        <v>110.0</v>
      </c>
      <c r="F118" s="27">
        <v>68.0</v>
      </c>
      <c r="G118" s="27">
        <v>1.0</v>
      </c>
      <c r="H118" s="27">
        <v>2.0</v>
      </c>
    </row>
    <row r="119" ht="15.75" customHeight="1">
      <c r="A119" s="22" t="str">
        <f t="shared" si="3"/>
        <v>martes</v>
      </c>
      <c r="B119" s="24" t="str">
        <f t="shared" si="4"/>
        <v>junio</v>
      </c>
      <c r="C119" s="25">
        <v>46189.0</v>
      </c>
      <c r="D119" s="22" t="s">
        <v>46</v>
      </c>
      <c r="E119" s="27">
        <v>34.0</v>
      </c>
      <c r="F119" s="27">
        <v>14.0</v>
      </c>
      <c r="G119" s="27">
        <v>2.0</v>
      </c>
      <c r="H119" s="27">
        <v>2.0</v>
      </c>
    </row>
    <row r="120" ht="15.75" customHeight="1">
      <c r="A120" s="22" t="str">
        <f t="shared" si="3"/>
        <v>martes</v>
      </c>
      <c r="B120" s="24" t="str">
        <f t="shared" si="4"/>
        <v>junio</v>
      </c>
      <c r="C120" s="25">
        <v>46189.0</v>
      </c>
      <c r="D120" s="26" t="s">
        <v>67</v>
      </c>
      <c r="E120" s="27">
        <v>62.0</v>
      </c>
      <c r="F120" s="27">
        <v>39.0</v>
      </c>
      <c r="G120" s="27">
        <v>5.0</v>
      </c>
      <c r="H120" s="27">
        <v>1.0</v>
      </c>
    </row>
    <row r="121" ht="15.75" customHeight="1">
      <c r="A121" s="22" t="str">
        <f t="shared" si="3"/>
        <v>martes</v>
      </c>
      <c r="B121" s="24" t="str">
        <f t="shared" si="4"/>
        <v>junio</v>
      </c>
      <c r="C121" s="25">
        <v>46189.0</v>
      </c>
      <c r="D121" s="26" t="s">
        <v>58</v>
      </c>
      <c r="E121" s="27">
        <v>66.0</v>
      </c>
      <c r="F121" s="27">
        <v>38.0</v>
      </c>
      <c r="G121" s="27">
        <v>5.0</v>
      </c>
      <c r="H121" s="27">
        <v>2.0</v>
      </c>
      <c r="J121" s="22"/>
      <c r="K121" s="24"/>
      <c r="L121" s="37"/>
    </row>
    <row r="122" ht="15.75" customHeight="1">
      <c r="A122" s="22" t="str">
        <f t="shared" si="3"/>
        <v>martes</v>
      </c>
      <c r="B122" s="24" t="str">
        <f t="shared" si="4"/>
        <v>junio</v>
      </c>
      <c r="C122" s="25">
        <v>46189.0</v>
      </c>
      <c r="D122" s="26" t="s">
        <v>64</v>
      </c>
      <c r="E122" s="27">
        <v>131.0</v>
      </c>
      <c r="F122" s="27">
        <v>86.0</v>
      </c>
      <c r="G122" s="27">
        <v>7.0</v>
      </c>
      <c r="H122" s="27">
        <v>7.0</v>
      </c>
      <c r="J122" s="22"/>
      <c r="K122" s="24"/>
      <c r="L122" s="37"/>
    </row>
    <row r="123" ht="15.75" customHeight="1">
      <c r="A123" s="22" t="str">
        <f t="shared" si="3"/>
        <v>martes</v>
      </c>
      <c r="B123" s="24" t="str">
        <f t="shared" si="4"/>
        <v>junio</v>
      </c>
      <c r="C123" s="25">
        <v>46189.0</v>
      </c>
      <c r="D123" s="26" t="s">
        <v>65</v>
      </c>
      <c r="E123" s="27">
        <v>86.0</v>
      </c>
      <c r="F123" s="27">
        <v>76.0</v>
      </c>
      <c r="G123" s="27">
        <v>4.0</v>
      </c>
      <c r="H123" s="27">
        <v>4.0</v>
      </c>
      <c r="J123" s="22"/>
      <c r="K123" s="24"/>
      <c r="L123" s="37"/>
    </row>
    <row r="124" ht="15.75" customHeight="1">
      <c r="A124" s="22" t="str">
        <f t="shared" si="3"/>
        <v>martes</v>
      </c>
      <c r="B124" s="24" t="str">
        <f t="shared" si="4"/>
        <v>junio</v>
      </c>
      <c r="C124" s="25">
        <v>46189.0</v>
      </c>
      <c r="D124" s="26" t="s">
        <v>66</v>
      </c>
      <c r="E124" s="27">
        <v>111.0</v>
      </c>
      <c r="F124" s="27">
        <v>106.0</v>
      </c>
      <c r="G124" s="27">
        <v>0.0</v>
      </c>
      <c r="H124" s="27">
        <v>4.0</v>
      </c>
      <c r="J124" s="22"/>
      <c r="K124" s="24"/>
      <c r="L124" s="37"/>
    </row>
    <row r="125" ht="15.75" customHeight="1">
      <c r="A125" s="22" t="str">
        <f t="shared" si="3"/>
        <v>miércoles</v>
      </c>
      <c r="B125" s="24" t="str">
        <f t="shared" si="4"/>
        <v>junio</v>
      </c>
      <c r="C125" s="25">
        <v>46190.0</v>
      </c>
      <c r="D125" s="26" t="s">
        <v>39</v>
      </c>
      <c r="E125" s="27">
        <v>88.0</v>
      </c>
      <c r="F125" s="27">
        <v>64.0</v>
      </c>
      <c r="G125" s="27">
        <v>0.0</v>
      </c>
      <c r="H125" s="27">
        <v>7.0</v>
      </c>
      <c r="J125" s="22"/>
      <c r="K125" s="24"/>
      <c r="L125" s="37"/>
    </row>
    <row r="126" ht="15.75" customHeight="1">
      <c r="A126" s="22" t="str">
        <f t="shared" si="3"/>
        <v>miércoles</v>
      </c>
      <c r="B126" s="24" t="str">
        <f t="shared" si="4"/>
        <v>junio</v>
      </c>
      <c r="C126" s="25">
        <v>46190.0</v>
      </c>
      <c r="D126" s="26" t="s">
        <v>41</v>
      </c>
      <c r="E126" s="27">
        <v>75.0</v>
      </c>
      <c r="F126" s="27">
        <v>60.0</v>
      </c>
      <c r="G126" s="27">
        <v>0.0</v>
      </c>
      <c r="H126" s="27">
        <v>2.0</v>
      </c>
      <c r="J126" s="22"/>
      <c r="K126" s="24"/>
      <c r="L126" s="37"/>
    </row>
    <row r="127" ht="15.75" customHeight="1">
      <c r="A127" s="22" t="str">
        <f t="shared" si="3"/>
        <v>miércoles</v>
      </c>
      <c r="B127" s="24" t="str">
        <f t="shared" si="4"/>
        <v>junio</v>
      </c>
      <c r="C127" s="25">
        <v>46190.0</v>
      </c>
      <c r="D127" s="26" t="s">
        <v>42</v>
      </c>
      <c r="E127" s="27">
        <v>123.0</v>
      </c>
      <c r="F127" s="27">
        <v>66.0</v>
      </c>
      <c r="G127" s="27">
        <v>1.0</v>
      </c>
      <c r="H127" s="27">
        <v>11.0</v>
      </c>
      <c r="J127" s="22"/>
      <c r="K127" s="24"/>
      <c r="L127" s="37"/>
    </row>
    <row r="128" ht="15.75" customHeight="1">
      <c r="A128" s="22" t="str">
        <f t="shared" si="3"/>
        <v>miércoles</v>
      </c>
      <c r="B128" s="24" t="str">
        <f t="shared" si="4"/>
        <v>junio</v>
      </c>
      <c r="C128" s="25">
        <v>46190.0</v>
      </c>
      <c r="D128" s="22" t="s">
        <v>46</v>
      </c>
      <c r="E128" s="27">
        <v>54.0</v>
      </c>
      <c r="F128" s="27">
        <v>21.0</v>
      </c>
      <c r="G128" s="27">
        <v>0.0</v>
      </c>
      <c r="H128" s="27">
        <v>11.0</v>
      </c>
      <c r="J128" s="22"/>
      <c r="K128" s="24"/>
      <c r="L128" s="37"/>
    </row>
    <row r="129" ht="15.75" customHeight="1">
      <c r="A129" s="22" t="str">
        <f t="shared" si="3"/>
        <v>miércoles</v>
      </c>
      <c r="B129" s="24" t="str">
        <f t="shared" si="4"/>
        <v>junio</v>
      </c>
      <c r="C129" s="25">
        <v>46190.0</v>
      </c>
      <c r="D129" s="26" t="s">
        <v>67</v>
      </c>
      <c r="E129" s="27">
        <v>97.0</v>
      </c>
      <c r="F129" s="27">
        <v>74.0</v>
      </c>
      <c r="G129" s="27">
        <v>4.0</v>
      </c>
      <c r="H129" s="27">
        <v>6.0</v>
      </c>
      <c r="J129" s="22"/>
      <c r="K129" s="24"/>
      <c r="L129" s="37"/>
    </row>
    <row r="130" ht="15.75" customHeight="1">
      <c r="A130" s="22" t="str">
        <f t="shared" si="3"/>
        <v>miércoles</v>
      </c>
      <c r="B130" s="24" t="str">
        <f t="shared" si="4"/>
        <v>junio</v>
      </c>
      <c r="C130" s="25">
        <v>46190.0</v>
      </c>
      <c r="D130" s="26" t="s">
        <v>58</v>
      </c>
      <c r="E130" s="27">
        <v>54.0</v>
      </c>
      <c r="F130" s="27">
        <v>30.0</v>
      </c>
      <c r="G130" s="27">
        <v>5.0</v>
      </c>
      <c r="H130" s="27">
        <v>1.0</v>
      </c>
      <c r="J130" s="22"/>
      <c r="K130" s="24"/>
      <c r="L130" s="37"/>
    </row>
    <row r="131" ht="15.75" customHeight="1">
      <c r="A131" s="22" t="str">
        <f t="shared" si="3"/>
        <v>miércoles</v>
      </c>
      <c r="B131" s="24" t="str">
        <f t="shared" si="4"/>
        <v>junio</v>
      </c>
      <c r="C131" s="25">
        <v>46190.0</v>
      </c>
      <c r="D131" s="26" t="s">
        <v>64</v>
      </c>
      <c r="E131" s="27">
        <v>177.0</v>
      </c>
      <c r="F131" s="27">
        <v>140.0</v>
      </c>
      <c r="G131" s="27">
        <v>4.0</v>
      </c>
      <c r="H131" s="27">
        <v>15.0</v>
      </c>
      <c r="J131" s="22"/>
      <c r="K131" s="24"/>
      <c r="L131" s="37"/>
    </row>
    <row r="132" ht="15.75" customHeight="1">
      <c r="A132" s="22" t="str">
        <f t="shared" si="3"/>
        <v>miércoles</v>
      </c>
      <c r="B132" s="24" t="str">
        <f t="shared" si="4"/>
        <v>junio</v>
      </c>
      <c r="C132" s="25">
        <v>46190.0</v>
      </c>
      <c r="D132" s="26" t="s">
        <v>65</v>
      </c>
      <c r="E132" s="27">
        <v>81.0</v>
      </c>
      <c r="F132" s="27">
        <v>66.0</v>
      </c>
      <c r="G132" s="27">
        <v>4.0</v>
      </c>
      <c r="H132" s="27">
        <v>3.0</v>
      </c>
      <c r="J132" s="22"/>
      <c r="K132" s="24"/>
      <c r="L132" s="37"/>
    </row>
    <row r="133" ht="15.75" customHeight="1">
      <c r="A133" s="22" t="str">
        <f t="shared" si="3"/>
        <v>miércoles</v>
      </c>
      <c r="B133" s="24" t="str">
        <f t="shared" si="4"/>
        <v>junio</v>
      </c>
      <c r="C133" s="25">
        <v>46190.0</v>
      </c>
      <c r="D133" s="26" t="s">
        <v>66</v>
      </c>
      <c r="E133" s="27">
        <v>105.0</v>
      </c>
      <c r="F133" s="27">
        <v>105.0</v>
      </c>
      <c r="G133" s="27">
        <v>0.0</v>
      </c>
      <c r="H133" s="27">
        <v>3.0</v>
      </c>
      <c r="J133" s="22"/>
      <c r="K133" s="24"/>
      <c r="L133" s="37"/>
    </row>
    <row r="134" ht="15.75" customHeight="1">
      <c r="A134" s="22" t="str">
        <f t="shared" si="3"/>
        <v>jueves</v>
      </c>
      <c r="B134" s="24" t="str">
        <f t="shared" si="4"/>
        <v>junio</v>
      </c>
      <c r="C134" s="25">
        <v>46191.0</v>
      </c>
      <c r="D134" s="26" t="s">
        <v>40</v>
      </c>
      <c r="E134" s="27">
        <v>88.0</v>
      </c>
      <c r="F134" s="27">
        <v>36.0</v>
      </c>
      <c r="G134" s="27">
        <v>5.0</v>
      </c>
      <c r="H134" s="27">
        <v>13.0</v>
      </c>
      <c r="J134" s="22"/>
      <c r="K134" s="24"/>
      <c r="L134" s="37"/>
    </row>
    <row r="135" ht="15.75" customHeight="1">
      <c r="A135" s="22" t="str">
        <f t="shared" si="3"/>
        <v>jueves</v>
      </c>
      <c r="B135" s="24" t="str">
        <f t="shared" si="4"/>
        <v>junio</v>
      </c>
      <c r="C135" s="25">
        <v>46191.0</v>
      </c>
      <c r="D135" s="26" t="s">
        <v>41</v>
      </c>
      <c r="E135" s="27">
        <v>90.0</v>
      </c>
      <c r="F135" s="27">
        <v>58.0</v>
      </c>
      <c r="G135" s="27">
        <v>1.0</v>
      </c>
      <c r="H135" s="27">
        <v>2.0</v>
      </c>
      <c r="J135" s="22"/>
      <c r="K135" s="24"/>
      <c r="L135" s="37"/>
    </row>
    <row r="136" ht="15.75" customHeight="1">
      <c r="A136" s="22" t="str">
        <f t="shared" si="3"/>
        <v>jueves</v>
      </c>
      <c r="B136" s="24" t="str">
        <f t="shared" si="4"/>
        <v>junio</v>
      </c>
      <c r="C136" s="25">
        <v>46191.0</v>
      </c>
      <c r="D136" s="26" t="s">
        <v>42</v>
      </c>
      <c r="E136" s="27">
        <v>424.0</v>
      </c>
      <c r="F136" s="27">
        <v>163.0</v>
      </c>
      <c r="G136" s="27">
        <v>3.0</v>
      </c>
      <c r="H136" s="27">
        <v>9.0</v>
      </c>
      <c r="J136" s="22"/>
      <c r="K136" s="24"/>
      <c r="L136" s="37"/>
    </row>
    <row r="137" ht="15.75" customHeight="1">
      <c r="A137" s="22" t="str">
        <f t="shared" si="3"/>
        <v>jueves</v>
      </c>
      <c r="B137" s="24" t="str">
        <f t="shared" si="4"/>
        <v>junio</v>
      </c>
      <c r="C137" s="25">
        <v>46191.0</v>
      </c>
      <c r="D137" s="26" t="s">
        <v>51</v>
      </c>
      <c r="E137" s="27">
        <v>115.0</v>
      </c>
      <c r="F137" s="27">
        <v>97.0</v>
      </c>
      <c r="G137" s="27">
        <v>5.0</v>
      </c>
      <c r="H137" s="27">
        <v>24.0</v>
      </c>
      <c r="J137" s="22"/>
      <c r="K137" s="24"/>
      <c r="L137" s="37"/>
    </row>
    <row r="138" ht="15.75" customHeight="1">
      <c r="A138" s="22" t="str">
        <f t="shared" si="3"/>
        <v>jueves</v>
      </c>
      <c r="B138" s="24" t="str">
        <f t="shared" si="4"/>
        <v>junio</v>
      </c>
      <c r="C138" s="25">
        <v>46191.0</v>
      </c>
      <c r="D138" s="26" t="s">
        <v>67</v>
      </c>
      <c r="E138" s="27">
        <v>47.0</v>
      </c>
      <c r="F138" s="27">
        <v>36.0</v>
      </c>
      <c r="G138" s="27">
        <v>8.0</v>
      </c>
      <c r="H138" s="27">
        <v>4.0</v>
      </c>
      <c r="J138" s="22"/>
      <c r="K138" s="24"/>
      <c r="L138" s="37"/>
    </row>
    <row r="139" ht="15.75" customHeight="1">
      <c r="A139" s="22" t="str">
        <f t="shared" si="3"/>
        <v>jueves</v>
      </c>
      <c r="B139" s="24" t="str">
        <f t="shared" si="4"/>
        <v>junio</v>
      </c>
      <c r="C139" s="25">
        <v>46191.0</v>
      </c>
      <c r="D139" s="26" t="s">
        <v>58</v>
      </c>
      <c r="E139" s="27">
        <v>42.0</v>
      </c>
      <c r="F139" s="27">
        <v>25.0</v>
      </c>
      <c r="G139" s="27">
        <v>7.0</v>
      </c>
      <c r="H139" s="27">
        <v>2.0</v>
      </c>
      <c r="J139" s="22"/>
      <c r="K139" s="24"/>
      <c r="L139" s="37"/>
    </row>
    <row r="140" ht="15.75" customHeight="1">
      <c r="A140" s="22" t="str">
        <f t="shared" si="3"/>
        <v>jueves</v>
      </c>
      <c r="B140" s="24" t="str">
        <f t="shared" si="4"/>
        <v>junio</v>
      </c>
      <c r="C140" s="25">
        <v>46191.0</v>
      </c>
      <c r="D140" s="26" t="s">
        <v>52</v>
      </c>
      <c r="E140" s="27">
        <v>44.0</v>
      </c>
      <c r="F140" s="27">
        <v>38.0</v>
      </c>
      <c r="G140" s="27">
        <v>2.0</v>
      </c>
      <c r="H140" s="27">
        <v>5.0</v>
      </c>
      <c r="J140" s="22"/>
      <c r="K140" s="24"/>
      <c r="L140" s="37"/>
    </row>
    <row r="141" ht="15.75" customHeight="1">
      <c r="A141" s="22" t="str">
        <f t="shared" si="3"/>
        <v>jueves</v>
      </c>
      <c r="B141" s="24" t="str">
        <f t="shared" si="4"/>
        <v>junio</v>
      </c>
      <c r="C141" s="25">
        <v>46191.0</v>
      </c>
      <c r="D141" s="26" t="s">
        <v>64</v>
      </c>
      <c r="E141" s="27">
        <v>145.0</v>
      </c>
      <c r="F141" s="27">
        <v>103.0</v>
      </c>
      <c r="G141" s="27">
        <v>11.0</v>
      </c>
      <c r="H141" s="27">
        <v>17.0</v>
      </c>
      <c r="J141" s="22"/>
      <c r="K141" s="24"/>
      <c r="L141" s="37"/>
    </row>
    <row r="142" ht="15.75" customHeight="1">
      <c r="A142" s="22" t="str">
        <f t="shared" si="3"/>
        <v>jueves</v>
      </c>
      <c r="B142" s="24" t="str">
        <f t="shared" si="4"/>
        <v>junio</v>
      </c>
      <c r="C142" s="25">
        <v>46191.0</v>
      </c>
      <c r="D142" s="26" t="s">
        <v>65</v>
      </c>
      <c r="E142" s="27">
        <v>86.0</v>
      </c>
      <c r="F142" s="27">
        <v>79.0</v>
      </c>
      <c r="G142" s="27">
        <v>5.0</v>
      </c>
      <c r="H142" s="27">
        <v>0.0</v>
      </c>
      <c r="J142" s="22"/>
      <c r="K142" s="24"/>
      <c r="L142" s="37"/>
    </row>
    <row r="143" ht="15.75" customHeight="1">
      <c r="A143" s="22" t="str">
        <f t="shared" si="3"/>
        <v>jueves</v>
      </c>
      <c r="B143" s="24" t="str">
        <f t="shared" si="4"/>
        <v>junio</v>
      </c>
      <c r="C143" s="25">
        <v>46191.0</v>
      </c>
      <c r="D143" s="26" t="s">
        <v>66</v>
      </c>
      <c r="E143" s="27">
        <v>79.0</v>
      </c>
      <c r="F143" s="27">
        <v>72.0</v>
      </c>
      <c r="G143" s="27">
        <v>2.0</v>
      </c>
      <c r="H143" s="27">
        <v>4.0</v>
      </c>
      <c r="J143" s="22"/>
      <c r="K143" s="24"/>
      <c r="L143" s="37"/>
    </row>
    <row r="144" ht="15.75" customHeight="1">
      <c r="A144" s="22" t="str">
        <f t="shared" si="3"/>
        <v>viernes</v>
      </c>
      <c r="B144" s="24" t="str">
        <f t="shared" si="4"/>
        <v>junio</v>
      </c>
      <c r="C144" s="25">
        <v>46192.0</v>
      </c>
      <c r="D144" s="26" t="s">
        <v>40</v>
      </c>
      <c r="E144" s="27">
        <v>51.0</v>
      </c>
      <c r="F144" s="27">
        <v>23.0</v>
      </c>
      <c r="G144" s="27">
        <v>5.0</v>
      </c>
      <c r="H144" s="27">
        <v>8.0</v>
      </c>
      <c r="J144" s="22"/>
      <c r="K144" s="24"/>
      <c r="L144" s="37"/>
    </row>
    <row r="145" ht="15.75" customHeight="1">
      <c r="A145" s="22" t="str">
        <f t="shared" si="3"/>
        <v>viernes</v>
      </c>
      <c r="B145" s="24" t="str">
        <f t="shared" si="4"/>
        <v>junio</v>
      </c>
      <c r="C145" s="25">
        <v>46192.0</v>
      </c>
      <c r="D145" s="26" t="s">
        <v>51</v>
      </c>
      <c r="E145" s="27">
        <v>154.0</v>
      </c>
      <c r="F145" s="27">
        <v>137.0</v>
      </c>
      <c r="G145" s="27">
        <v>6.0</v>
      </c>
      <c r="H145" s="27">
        <v>16.0</v>
      </c>
      <c r="J145" s="22"/>
      <c r="K145" s="24"/>
      <c r="L145" s="37"/>
    </row>
    <row r="146" ht="15.75" customHeight="1">
      <c r="A146" s="22" t="str">
        <f t="shared" si="3"/>
        <v>viernes</v>
      </c>
      <c r="B146" s="24" t="str">
        <f t="shared" si="4"/>
        <v>junio</v>
      </c>
      <c r="C146" s="25">
        <v>46192.0</v>
      </c>
      <c r="D146" s="26" t="s">
        <v>58</v>
      </c>
      <c r="E146" s="27">
        <v>56.0</v>
      </c>
      <c r="F146" s="27">
        <v>32.0</v>
      </c>
      <c r="G146" s="27">
        <v>7.0</v>
      </c>
      <c r="H146" s="27">
        <v>0.0</v>
      </c>
      <c r="J146" s="22"/>
      <c r="K146" s="24"/>
      <c r="L146" s="37"/>
    </row>
    <row r="147" ht="15.75" customHeight="1">
      <c r="A147" s="22" t="str">
        <f t="shared" si="3"/>
        <v>viernes</v>
      </c>
      <c r="B147" s="24" t="str">
        <f t="shared" si="4"/>
        <v>junio</v>
      </c>
      <c r="C147" s="25">
        <v>46192.0</v>
      </c>
      <c r="D147" s="26" t="s">
        <v>52</v>
      </c>
      <c r="E147" s="27">
        <v>39.0</v>
      </c>
      <c r="F147" s="27">
        <v>29.0</v>
      </c>
      <c r="G147" s="27">
        <v>6.0</v>
      </c>
      <c r="H147" s="27">
        <v>5.0</v>
      </c>
      <c r="J147" s="22"/>
      <c r="K147" s="24"/>
      <c r="L147" s="37"/>
    </row>
    <row r="148" ht="15.75" customHeight="1">
      <c r="A148" s="22" t="str">
        <f t="shared" si="3"/>
        <v>viernes</v>
      </c>
      <c r="B148" s="24" t="str">
        <f t="shared" si="4"/>
        <v>junio</v>
      </c>
      <c r="C148" s="25">
        <v>46192.0</v>
      </c>
      <c r="D148" s="26" t="s">
        <v>64</v>
      </c>
      <c r="E148" s="27">
        <v>153.0</v>
      </c>
      <c r="F148" s="27">
        <v>99.0</v>
      </c>
      <c r="G148" s="27">
        <v>9.0</v>
      </c>
      <c r="H148" s="27">
        <v>8.0</v>
      </c>
      <c r="J148" s="22"/>
      <c r="K148" s="24"/>
      <c r="L148" s="37"/>
    </row>
    <row r="149" ht="15.75" customHeight="1">
      <c r="A149" s="22" t="str">
        <f t="shared" si="3"/>
        <v>viernes</v>
      </c>
      <c r="B149" s="24" t="str">
        <f t="shared" si="4"/>
        <v>junio</v>
      </c>
      <c r="C149" s="25">
        <v>46192.0</v>
      </c>
      <c r="D149" s="26" t="s">
        <v>65</v>
      </c>
      <c r="E149" s="27">
        <v>75.0</v>
      </c>
      <c r="F149" s="27">
        <v>55.0</v>
      </c>
      <c r="G149" s="27">
        <v>6.0</v>
      </c>
      <c r="H149" s="27">
        <v>2.0</v>
      </c>
      <c r="J149" s="22"/>
      <c r="K149" s="24"/>
      <c r="L149" s="37"/>
    </row>
    <row r="150" ht="15.75" customHeight="1">
      <c r="A150" s="22" t="str">
        <f t="shared" si="3"/>
        <v>viernes</v>
      </c>
      <c r="B150" s="24" t="str">
        <f t="shared" si="4"/>
        <v>junio</v>
      </c>
      <c r="C150" s="25">
        <v>46192.0</v>
      </c>
      <c r="D150" s="26" t="s">
        <v>87</v>
      </c>
      <c r="E150" s="27">
        <v>121.0</v>
      </c>
      <c r="F150" s="27">
        <v>90.0</v>
      </c>
      <c r="G150" s="27">
        <v>1.0</v>
      </c>
      <c r="H150" s="27">
        <v>13.0</v>
      </c>
      <c r="J150" s="22"/>
      <c r="K150" s="24"/>
      <c r="L150" s="37"/>
    </row>
    <row r="151" ht="15.75" customHeight="1">
      <c r="A151" s="22" t="str">
        <f t="shared" si="3"/>
        <v>sábado</v>
      </c>
      <c r="B151" s="24" t="str">
        <f t="shared" si="4"/>
        <v>junio</v>
      </c>
      <c r="C151" s="25">
        <v>46193.0</v>
      </c>
      <c r="D151" s="26" t="s">
        <v>40</v>
      </c>
      <c r="E151" s="27">
        <v>55.0</v>
      </c>
      <c r="F151" s="27">
        <v>30.0</v>
      </c>
      <c r="G151" s="27">
        <v>7.0</v>
      </c>
      <c r="H151" s="27">
        <v>5.0</v>
      </c>
      <c r="J151" s="22"/>
      <c r="K151" s="24"/>
      <c r="L151" s="37"/>
    </row>
    <row r="152" ht="15.75" customHeight="1">
      <c r="A152" s="22" t="str">
        <f t="shared" si="3"/>
        <v>sábado</v>
      </c>
      <c r="B152" s="24" t="str">
        <f t="shared" si="4"/>
        <v>junio</v>
      </c>
      <c r="C152" s="25">
        <v>46193.0</v>
      </c>
      <c r="D152" s="22" t="s">
        <v>43</v>
      </c>
      <c r="E152" s="27">
        <v>100.0</v>
      </c>
      <c r="F152" s="27">
        <v>70.0</v>
      </c>
      <c r="G152" s="27">
        <v>3.0</v>
      </c>
      <c r="H152" s="27">
        <v>3.0</v>
      </c>
      <c r="J152" s="22"/>
      <c r="K152" s="24"/>
      <c r="L152" s="37"/>
    </row>
    <row r="153" ht="15.75" customHeight="1">
      <c r="A153" s="22" t="str">
        <f t="shared" si="3"/>
        <v>sábado</v>
      </c>
      <c r="B153" s="24" t="str">
        <f t="shared" si="4"/>
        <v>junio</v>
      </c>
      <c r="C153" s="25">
        <v>46193.0</v>
      </c>
      <c r="D153" s="26" t="s">
        <v>51</v>
      </c>
      <c r="E153" s="27">
        <v>124.0</v>
      </c>
      <c r="F153" s="27">
        <v>113.0</v>
      </c>
      <c r="G153" s="27">
        <v>5.0</v>
      </c>
      <c r="H153" s="27">
        <v>14.0</v>
      </c>
      <c r="J153" s="22"/>
      <c r="K153" s="24"/>
      <c r="L153" s="37"/>
    </row>
    <row r="154" ht="15.75" customHeight="1">
      <c r="A154" s="22" t="str">
        <f t="shared" si="3"/>
        <v>sábado</v>
      </c>
      <c r="B154" s="24" t="str">
        <f t="shared" si="4"/>
        <v>junio</v>
      </c>
      <c r="C154" s="25">
        <v>46193.0</v>
      </c>
      <c r="D154" s="26" t="s">
        <v>52</v>
      </c>
      <c r="E154" s="27">
        <v>56.0</v>
      </c>
      <c r="F154" s="27">
        <v>31.0</v>
      </c>
      <c r="G154" s="27">
        <v>3.0</v>
      </c>
      <c r="H154" s="27">
        <v>8.0</v>
      </c>
      <c r="J154" s="22"/>
      <c r="K154" s="24"/>
      <c r="L154" s="37"/>
    </row>
    <row r="155" ht="15.75" customHeight="1">
      <c r="A155" s="22" t="str">
        <f t="shared" si="3"/>
        <v>sábado</v>
      </c>
      <c r="B155" s="24" t="str">
        <f t="shared" si="4"/>
        <v>junio</v>
      </c>
      <c r="C155" s="25">
        <v>46193.0</v>
      </c>
      <c r="D155" s="26" t="s">
        <v>60</v>
      </c>
      <c r="E155" s="27">
        <v>160.0</v>
      </c>
      <c r="F155" s="27">
        <v>141.0</v>
      </c>
      <c r="G155" s="27">
        <v>4.0</v>
      </c>
      <c r="H155" s="27">
        <v>4.0</v>
      </c>
      <c r="J155" s="22"/>
      <c r="K155" s="24"/>
      <c r="L155" s="37"/>
    </row>
    <row r="156" ht="15.75" customHeight="1">
      <c r="A156" s="22" t="str">
        <f t="shared" si="3"/>
        <v>domingo</v>
      </c>
      <c r="B156" s="24" t="str">
        <f t="shared" si="4"/>
        <v>junio</v>
      </c>
      <c r="C156" s="25">
        <v>46194.0</v>
      </c>
      <c r="D156" s="26" t="s">
        <v>39</v>
      </c>
      <c r="E156" s="27">
        <v>83.0</v>
      </c>
      <c r="F156" s="27">
        <v>58.0</v>
      </c>
      <c r="G156" s="27">
        <v>4.0</v>
      </c>
      <c r="H156" s="27">
        <v>0.0</v>
      </c>
      <c r="J156" s="22"/>
      <c r="K156" s="24"/>
      <c r="L156" s="37"/>
    </row>
    <row r="157" ht="15.75" customHeight="1">
      <c r="A157" s="22" t="str">
        <f t="shared" si="3"/>
        <v>domingo</v>
      </c>
      <c r="B157" s="24" t="str">
        <f t="shared" si="4"/>
        <v>junio</v>
      </c>
      <c r="C157" s="25">
        <v>46194.0</v>
      </c>
      <c r="D157" s="26" t="s">
        <v>40</v>
      </c>
      <c r="E157" s="27">
        <v>96.0</v>
      </c>
      <c r="F157" s="27">
        <v>45.0</v>
      </c>
      <c r="G157" s="27">
        <v>2.0</v>
      </c>
      <c r="H157" s="27">
        <v>3.0</v>
      </c>
      <c r="J157" s="22"/>
      <c r="K157" s="24"/>
      <c r="L157" s="37"/>
    </row>
    <row r="158" ht="15.75" customHeight="1">
      <c r="A158" s="22" t="str">
        <f t="shared" si="3"/>
        <v>domingo</v>
      </c>
      <c r="B158" s="24" t="str">
        <f t="shared" si="4"/>
        <v>junio</v>
      </c>
      <c r="C158" s="25">
        <v>46194.0</v>
      </c>
      <c r="D158" s="22" t="s">
        <v>43</v>
      </c>
      <c r="E158" s="27">
        <v>69.0</v>
      </c>
      <c r="F158" s="27">
        <v>45.0</v>
      </c>
      <c r="G158" s="27">
        <v>5.0</v>
      </c>
      <c r="H158" s="27">
        <v>3.0</v>
      </c>
      <c r="J158" s="22"/>
      <c r="K158" s="24"/>
      <c r="L158" s="37"/>
    </row>
    <row r="159" ht="15.75" customHeight="1">
      <c r="A159" s="22" t="str">
        <f t="shared" si="3"/>
        <v>domingo</v>
      </c>
      <c r="B159" s="24" t="str">
        <f t="shared" si="4"/>
        <v>junio</v>
      </c>
      <c r="C159" s="25">
        <v>46194.0</v>
      </c>
      <c r="D159" s="26" t="s">
        <v>52</v>
      </c>
      <c r="E159" s="27">
        <v>90.0</v>
      </c>
      <c r="F159" s="27">
        <v>71.0</v>
      </c>
      <c r="G159" s="27">
        <v>4.0</v>
      </c>
      <c r="H159" s="27">
        <v>6.0</v>
      </c>
      <c r="J159" s="22"/>
      <c r="K159" s="24"/>
      <c r="L159" s="37"/>
    </row>
    <row r="160" ht="15.75" customHeight="1">
      <c r="A160" s="22" t="str">
        <f t="shared" si="3"/>
        <v>domingo</v>
      </c>
      <c r="B160" s="24" t="str">
        <f t="shared" si="4"/>
        <v>junio</v>
      </c>
      <c r="C160" s="25">
        <v>46194.0</v>
      </c>
      <c r="D160" s="26" t="s">
        <v>53</v>
      </c>
      <c r="E160" s="27">
        <v>66.0</v>
      </c>
      <c r="F160" s="27">
        <v>33.0</v>
      </c>
      <c r="G160" s="27">
        <v>2.0</v>
      </c>
      <c r="H160" s="27">
        <v>8.0</v>
      </c>
      <c r="J160" s="22"/>
      <c r="K160" s="24"/>
      <c r="L160" s="37"/>
    </row>
    <row r="161" ht="15.75" customHeight="1">
      <c r="A161" s="22" t="str">
        <f t="shared" si="3"/>
        <v>domingo</v>
      </c>
      <c r="B161" s="24" t="str">
        <f t="shared" si="4"/>
        <v>junio</v>
      </c>
      <c r="C161" s="25">
        <v>46194.0</v>
      </c>
      <c r="D161" s="26" t="s">
        <v>60</v>
      </c>
      <c r="E161" s="27">
        <v>183.0</v>
      </c>
      <c r="F161" s="27">
        <v>145.0</v>
      </c>
      <c r="G161" s="27">
        <v>7.0</v>
      </c>
      <c r="H161" s="27">
        <v>2.0</v>
      </c>
      <c r="J161" s="22"/>
      <c r="K161" s="24"/>
      <c r="L161" s="37"/>
    </row>
    <row r="162" ht="15.75" customHeight="1">
      <c r="A162" s="22" t="str">
        <f t="shared" si="3"/>
        <v>lunes</v>
      </c>
      <c r="B162" s="24" t="str">
        <f t="shared" si="4"/>
        <v>junio</v>
      </c>
      <c r="C162" s="25">
        <v>46195.0</v>
      </c>
      <c r="D162" s="26" t="s">
        <v>39</v>
      </c>
      <c r="E162" s="27">
        <v>50.0</v>
      </c>
      <c r="F162" s="27">
        <v>29.0</v>
      </c>
      <c r="G162" s="27">
        <v>0.0</v>
      </c>
      <c r="H162" s="27">
        <v>10.0</v>
      </c>
      <c r="J162" s="22"/>
      <c r="K162" s="24"/>
      <c r="L162" s="37"/>
    </row>
    <row r="163" ht="15.75" customHeight="1">
      <c r="A163" s="22" t="str">
        <f t="shared" si="3"/>
        <v>lunes</v>
      </c>
      <c r="B163" s="24" t="str">
        <f t="shared" si="4"/>
        <v>junio</v>
      </c>
      <c r="C163" s="25">
        <v>46195.0</v>
      </c>
      <c r="D163" s="26" t="s">
        <v>41</v>
      </c>
      <c r="E163" s="27">
        <v>54.0</v>
      </c>
      <c r="F163" s="27">
        <v>42.0</v>
      </c>
      <c r="G163" s="27">
        <v>2.0</v>
      </c>
      <c r="H163" s="27">
        <v>4.0</v>
      </c>
      <c r="J163" s="22"/>
      <c r="K163" s="24"/>
      <c r="L163" s="37"/>
    </row>
    <row r="164" ht="15.75" customHeight="1">
      <c r="A164" s="22" t="str">
        <f t="shared" si="3"/>
        <v>lunes</v>
      </c>
      <c r="B164" s="24" t="str">
        <f t="shared" si="4"/>
        <v>junio</v>
      </c>
      <c r="C164" s="25">
        <v>46195.0</v>
      </c>
      <c r="D164" s="26" t="s">
        <v>42</v>
      </c>
      <c r="E164" s="27">
        <v>116.0</v>
      </c>
      <c r="F164" s="27">
        <v>64.0</v>
      </c>
      <c r="G164" s="27">
        <v>5.0</v>
      </c>
      <c r="H164" s="27">
        <v>9.0</v>
      </c>
      <c r="J164" s="22"/>
      <c r="K164" s="24"/>
      <c r="L164" s="37"/>
    </row>
    <row r="165" ht="15.75" customHeight="1">
      <c r="A165" s="22" t="str">
        <f t="shared" si="3"/>
        <v>lunes</v>
      </c>
      <c r="B165" s="24" t="str">
        <f t="shared" si="4"/>
        <v>junio</v>
      </c>
      <c r="C165" s="25">
        <v>46195.0</v>
      </c>
      <c r="D165" s="26" t="s">
        <v>44</v>
      </c>
      <c r="E165" s="27">
        <v>69.0</v>
      </c>
      <c r="F165" s="27">
        <v>70.0</v>
      </c>
      <c r="G165" s="27">
        <v>0.0</v>
      </c>
      <c r="H165" s="27">
        <v>0.0</v>
      </c>
      <c r="J165" s="22"/>
      <c r="K165" s="24"/>
      <c r="L165" s="37"/>
    </row>
    <row r="166" ht="15.75" customHeight="1">
      <c r="A166" s="22" t="str">
        <f t="shared" si="3"/>
        <v>lunes</v>
      </c>
      <c r="B166" s="24" t="str">
        <f t="shared" si="4"/>
        <v>junio</v>
      </c>
      <c r="C166" s="25">
        <v>46195.0</v>
      </c>
      <c r="D166" s="26" t="s">
        <v>67</v>
      </c>
      <c r="E166" s="27">
        <v>60.0</v>
      </c>
      <c r="F166" s="27">
        <v>43.0</v>
      </c>
      <c r="G166" s="27">
        <v>9.0</v>
      </c>
      <c r="H166" s="27">
        <v>3.0</v>
      </c>
      <c r="J166" s="22"/>
      <c r="K166" s="24"/>
      <c r="L166" s="37"/>
    </row>
    <row r="167" ht="15.75" customHeight="1">
      <c r="A167" s="22" t="str">
        <f t="shared" si="3"/>
        <v>lunes</v>
      </c>
      <c r="B167" s="24" t="str">
        <f t="shared" si="4"/>
        <v>junio</v>
      </c>
      <c r="C167" s="25">
        <v>46195.0</v>
      </c>
      <c r="D167" s="26" t="s">
        <v>64</v>
      </c>
      <c r="E167" s="27">
        <v>181.0</v>
      </c>
      <c r="F167" s="27">
        <v>114.0</v>
      </c>
      <c r="G167" s="27">
        <v>9.0</v>
      </c>
      <c r="H167" s="27">
        <v>15.0</v>
      </c>
      <c r="J167" s="22"/>
      <c r="K167" s="24"/>
      <c r="L167" s="37"/>
    </row>
    <row r="168" ht="15.75" customHeight="1">
      <c r="A168" s="22" t="str">
        <f t="shared" si="3"/>
        <v>lunes</v>
      </c>
      <c r="B168" s="24" t="str">
        <f t="shared" si="4"/>
        <v>junio</v>
      </c>
      <c r="C168" s="25">
        <v>46195.0</v>
      </c>
      <c r="D168" s="26" t="s">
        <v>65</v>
      </c>
      <c r="E168" s="27">
        <v>92.0</v>
      </c>
      <c r="F168" s="27">
        <v>75.0</v>
      </c>
      <c r="G168" s="27">
        <v>4.0</v>
      </c>
      <c r="H168" s="27">
        <v>9.0</v>
      </c>
      <c r="J168" s="22"/>
      <c r="K168" s="24"/>
      <c r="L168" s="37"/>
    </row>
    <row r="169" ht="15.75" customHeight="1">
      <c r="A169" s="22" t="str">
        <f t="shared" si="3"/>
        <v>lunes</v>
      </c>
      <c r="B169" s="24" t="str">
        <f t="shared" si="4"/>
        <v>junio</v>
      </c>
      <c r="C169" s="25">
        <v>46195.0</v>
      </c>
      <c r="D169" s="26" t="s">
        <v>60</v>
      </c>
      <c r="E169" s="27">
        <v>148.0</v>
      </c>
      <c r="F169" s="27">
        <v>61.0</v>
      </c>
      <c r="G169" s="27">
        <v>3.0</v>
      </c>
      <c r="H169" s="27">
        <v>23.0</v>
      </c>
      <c r="J169" s="22"/>
      <c r="K169" s="24"/>
      <c r="L169" s="37"/>
    </row>
    <row r="170" ht="15.75" customHeight="1">
      <c r="A170" s="22" t="str">
        <f t="shared" si="3"/>
        <v>lunes</v>
      </c>
      <c r="B170" s="24" t="str">
        <f t="shared" si="4"/>
        <v>junio</v>
      </c>
      <c r="C170" s="25">
        <v>46195.0</v>
      </c>
      <c r="D170" s="26" t="s">
        <v>66</v>
      </c>
      <c r="E170" s="27">
        <v>122.0</v>
      </c>
      <c r="F170" s="27">
        <v>106.0</v>
      </c>
      <c r="G170" s="27">
        <v>1.0</v>
      </c>
      <c r="H170" s="27">
        <v>5.0</v>
      </c>
      <c r="J170" s="22"/>
      <c r="K170" s="24"/>
      <c r="L170" s="37"/>
    </row>
    <row r="171" ht="15.75" customHeight="1">
      <c r="A171" s="22" t="str">
        <f t="shared" si="3"/>
        <v>martes</v>
      </c>
      <c r="B171" s="24" t="str">
        <f t="shared" si="4"/>
        <v>junio</v>
      </c>
      <c r="C171" s="25">
        <v>46196.0</v>
      </c>
      <c r="D171" s="26" t="s">
        <v>39</v>
      </c>
      <c r="E171" s="27">
        <v>52.0</v>
      </c>
      <c r="F171" s="27">
        <v>28.0</v>
      </c>
      <c r="G171" s="27">
        <v>0.0</v>
      </c>
      <c r="H171" s="27">
        <v>5.0</v>
      </c>
      <c r="J171" s="22"/>
      <c r="K171" s="24"/>
      <c r="L171" s="37"/>
    </row>
    <row r="172" ht="15.75" customHeight="1">
      <c r="A172" s="22" t="str">
        <f t="shared" si="3"/>
        <v>martes</v>
      </c>
      <c r="B172" s="24" t="str">
        <f t="shared" si="4"/>
        <v>junio</v>
      </c>
      <c r="C172" s="25">
        <v>46196.0</v>
      </c>
      <c r="D172" s="26" t="s">
        <v>42</v>
      </c>
      <c r="E172" s="27">
        <v>120.0</v>
      </c>
      <c r="F172" s="27">
        <v>73.0</v>
      </c>
      <c r="G172" s="27">
        <v>4.0</v>
      </c>
      <c r="H172" s="27">
        <v>7.0</v>
      </c>
      <c r="J172" s="22"/>
      <c r="K172" s="24"/>
      <c r="L172" s="37"/>
    </row>
    <row r="173" ht="15.75" customHeight="1">
      <c r="A173" s="22" t="str">
        <f t="shared" si="3"/>
        <v>martes</v>
      </c>
      <c r="B173" s="24" t="str">
        <f t="shared" si="4"/>
        <v>junio</v>
      </c>
      <c r="C173" s="25">
        <v>46196.0</v>
      </c>
      <c r="D173" s="22" t="s">
        <v>46</v>
      </c>
      <c r="E173" s="27">
        <v>116.0</v>
      </c>
      <c r="F173" s="27">
        <v>60.0</v>
      </c>
      <c r="G173" s="27">
        <v>1.0</v>
      </c>
      <c r="H173" s="27">
        <v>9.0</v>
      </c>
      <c r="J173" s="22"/>
      <c r="K173" s="24"/>
      <c r="L173" s="37"/>
    </row>
    <row r="174" ht="15.75" customHeight="1">
      <c r="A174" s="22" t="str">
        <f t="shared" si="3"/>
        <v>martes</v>
      </c>
      <c r="B174" s="24" t="str">
        <f t="shared" si="4"/>
        <v>junio</v>
      </c>
      <c r="C174" s="25">
        <v>46196.0</v>
      </c>
      <c r="D174" s="26" t="s">
        <v>67</v>
      </c>
      <c r="E174" s="27">
        <v>71.0</v>
      </c>
      <c r="F174" s="27">
        <v>60.0</v>
      </c>
      <c r="G174" s="27">
        <v>5.0</v>
      </c>
      <c r="H174" s="27">
        <v>1.0</v>
      </c>
      <c r="J174" s="22"/>
      <c r="K174" s="24"/>
      <c r="L174" s="37"/>
    </row>
    <row r="175" ht="15.75" customHeight="1">
      <c r="A175" s="22" t="str">
        <f t="shared" si="3"/>
        <v>martes</v>
      </c>
      <c r="B175" s="24" t="str">
        <f t="shared" si="4"/>
        <v>junio</v>
      </c>
      <c r="C175" s="25">
        <v>46196.0</v>
      </c>
      <c r="D175" s="26" t="s">
        <v>58</v>
      </c>
      <c r="E175" s="27">
        <v>61.0</v>
      </c>
      <c r="F175" s="27">
        <v>41.0</v>
      </c>
      <c r="G175" s="27">
        <v>4.0</v>
      </c>
      <c r="H175" s="27">
        <v>0.0</v>
      </c>
      <c r="J175" s="22"/>
      <c r="K175" s="24"/>
      <c r="L175" s="37"/>
    </row>
    <row r="176" ht="15.75" customHeight="1">
      <c r="A176" s="22" t="str">
        <f t="shared" si="3"/>
        <v>martes</v>
      </c>
      <c r="B176" s="24" t="str">
        <f t="shared" si="4"/>
        <v>junio</v>
      </c>
      <c r="C176" s="25">
        <v>46196.0</v>
      </c>
      <c r="D176" s="26" t="s">
        <v>64</v>
      </c>
      <c r="E176" s="27">
        <v>166.0</v>
      </c>
      <c r="F176" s="27">
        <v>108.0</v>
      </c>
      <c r="G176" s="27">
        <v>4.0</v>
      </c>
      <c r="H176" s="27">
        <v>21.0</v>
      </c>
      <c r="J176" s="22"/>
      <c r="K176" s="24"/>
      <c r="L176" s="37"/>
    </row>
    <row r="177" ht="15.75" customHeight="1">
      <c r="A177" s="22" t="str">
        <f t="shared" si="3"/>
        <v>martes</v>
      </c>
      <c r="B177" s="24" t="str">
        <f t="shared" si="4"/>
        <v>junio</v>
      </c>
      <c r="C177" s="25">
        <v>46196.0</v>
      </c>
      <c r="D177" s="26" t="s">
        <v>65</v>
      </c>
      <c r="E177" s="27">
        <v>90.0</v>
      </c>
      <c r="F177" s="27">
        <v>77.0</v>
      </c>
      <c r="G177" s="27">
        <v>5.0</v>
      </c>
      <c r="H177" s="27">
        <v>1.0</v>
      </c>
      <c r="J177" s="22"/>
      <c r="K177" s="24"/>
      <c r="L177" s="37"/>
    </row>
    <row r="178" ht="15.75" customHeight="1">
      <c r="A178" s="22" t="str">
        <f t="shared" si="3"/>
        <v>martes</v>
      </c>
      <c r="B178" s="24" t="str">
        <f t="shared" si="4"/>
        <v>junio</v>
      </c>
      <c r="C178" s="25">
        <v>46196.0</v>
      </c>
      <c r="D178" s="26" t="s">
        <v>66</v>
      </c>
      <c r="E178" s="27">
        <v>133.0</v>
      </c>
      <c r="F178" s="27">
        <v>130.0</v>
      </c>
      <c r="G178" s="27">
        <v>1.0</v>
      </c>
      <c r="H178" s="27">
        <v>4.0</v>
      </c>
      <c r="J178" s="22"/>
      <c r="K178" s="24"/>
      <c r="L178" s="37"/>
    </row>
    <row r="179" ht="15.75" customHeight="1">
      <c r="A179" s="22" t="str">
        <f t="shared" si="3"/>
        <v>martes</v>
      </c>
      <c r="B179" s="24" t="str">
        <f t="shared" si="4"/>
        <v>junio</v>
      </c>
      <c r="C179" s="25">
        <v>46196.0</v>
      </c>
      <c r="D179" s="26" t="s">
        <v>66</v>
      </c>
      <c r="E179" s="27">
        <v>133.0</v>
      </c>
      <c r="F179" s="27">
        <v>130.0</v>
      </c>
      <c r="G179" s="27">
        <v>1.0</v>
      </c>
      <c r="H179" s="27">
        <v>4.0</v>
      </c>
      <c r="J179" s="22"/>
      <c r="K179" s="24"/>
      <c r="L179" s="37"/>
    </row>
    <row r="180" ht="15.75" customHeight="1">
      <c r="A180" s="22" t="str">
        <f t="shared" si="3"/>
        <v>miércoles</v>
      </c>
      <c r="B180" s="24" t="str">
        <f t="shared" si="4"/>
        <v>junio</v>
      </c>
      <c r="C180" s="25">
        <v>46197.0</v>
      </c>
      <c r="D180" s="26" t="s">
        <v>39</v>
      </c>
      <c r="E180" s="27">
        <v>82.0</v>
      </c>
      <c r="F180" s="27">
        <v>55.0</v>
      </c>
      <c r="G180" s="27">
        <v>0.0</v>
      </c>
      <c r="H180" s="27">
        <v>3.0</v>
      </c>
      <c r="J180" s="22"/>
      <c r="K180" s="24"/>
      <c r="L180" s="37"/>
    </row>
    <row r="181" ht="15.75" customHeight="1">
      <c r="A181" s="22" t="str">
        <f t="shared" si="3"/>
        <v>miércoles</v>
      </c>
      <c r="B181" s="24" t="str">
        <f t="shared" si="4"/>
        <v>junio</v>
      </c>
      <c r="C181" s="25">
        <v>46197.0</v>
      </c>
      <c r="D181" s="26" t="s">
        <v>41</v>
      </c>
      <c r="E181" s="27">
        <v>73.0</v>
      </c>
      <c r="F181" s="27">
        <v>53.0</v>
      </c>
      <c r="G181" s="27">
        <v>1.0</v>
      </c>
      <c r="H181" s="27">
        <v>5.0</v>
      </c>
      <c r="J181" s="22"/>
      <c r="K181" s="24"/>
      <c r="L181" s="37"/>
    </row>
    <row r="182" ht="15.75" customHeight="1">
      <c r="A182" s="22" t="str">
        <f t="shared" si="3"/>
        <v>miércoles</v>
      </c>
      <c r="B182" s="24" t="str">
        <f t="shared" si="4"/>
        <v>junio</v>
      </c>
      <c r="C182" s="25">
        <v>46197.0</v>
      </c>
      <c r="D182" s="26" t="s">
        <v>42</v>
      </c>
      <c r="E182" s="27">
        <v>102.0</v>
      </c>
      <c r="F182" s="27">
        <v>62.0</v>
      </c>
      <c r="G182" s="27">
        <v>3.0</v>
      </c>
      <c r="H182" s="27">
        <v>7.0</v>
      </c>
    </row>
    <row r="183" ht="15.75" customHeight="1">
      <c r="A183" s="22" t="str">
        <f t="shared" si="3"/>
        <v>miércoles</v>
      </c>
      <c r="B183" s="24" t="str">
        <f t="shared" si="4"/>
        <v>junio</v>
      </c>
      <c r="C183" s="25">
        <v>46197.0</v>
      </c>
      <c r="D183" s="26" t="s">
        <v>51</v>
      </c>
      <c r="E183" s="27">
        <v>165.0</v>
      </c>
      <c r="F183" s="27">
        <v>142.0</v>
      </c>
      <c r="G183" s="27">
        <v>1.0</v>
      </c>
      <c r="H183" s="27">
        <v>27.0</v>
      </c>
    </row>
    <row r="184" ht="15.75" customHeight="1">
      <c r="A184" s="22" t="str">
        <f t="shared" si="3"/>
        <v>miércoles</v>
      </c>
      <c r="B184" s="24" t="str">
        <f t="shared" si="4"/>
        <v>junio</v>
      </c>
      <c r="C184" s="25">
        <v>46197.0</v>
      </c>
      <c r="D184" s="22" t="s">
        <v>46</v>
      </c>
      <c r="E184" s="27">
        <v>66.0</v>
      </c>
      <c r="F184" s="27">
        <v>31.0</v>
      </c>
      <c r="G184" s="27">
        <v>7.0</v>
      </c>
      <c r="H184" s="27">
        <v>10.0</v>
      </c>
    </row>
    <row r="185" ht="15.75" customHeight="1">
      <c r="A185" s="22" t="str">
        <f t="shared" si="3"/>
        <v>miércoles</v>
      </c>
      <c r="B185" s="24" t="str">
        <f t="shared" si="4"/>
        <v>junio</v>
      </c>
      <c r="C185" s="25">
        <v>46197.0</v>
      </c>
      <c r="D185" s="26" t="s">
        <v>67</v>
      </c>
      <c r="E185" s="27">
        <v>62.0</v>
      </c>
      <c r="F185" s="27">
        <v>46.0</v>
      </c>
      <c r="G185" s="27">
        <v>7.0</v>
      </c>
      <c r="H185" s="27">
        <v>8.0</v>
      </c>
    </row>
    <row r="186" ht="15.75" customHeight="1">
      <c r="A186" s="22" t="str">
        <f t="shared" si="3"/>
        <v>miércoles</v>
      </c>
      <c r="B186" s="24" t="str">
        <f t="shared" si="4"/>
        <v>junio</v>
      </c>
      <c r="C186" s="25">
        <v>46197.0</v>
      </c>
      <c r="D186" s="26" t="s">
        <v>58</v>
      </c>
      <c r="E186" s="27">
        <v>66.0</v>
      </c>
      <c r="F186" s="27">
        <v>41.0</v>
      </c>
      <c r="G186" s="27">
        <v>6.0</v>
      </c>
      <c r="H186" s="27">
        <v>1.0</v>
      </c>
    </row>
    <row r="187" ht="15.75" customHeight="1">
      <c r="A187" s="22" t="str">
        <f t="shared" si="3"/>
        <v>miércoles</v>
      </c>
      <c r="B187" s="24" t="str">
        <f t="shared" si="4"/>
        <v>junio</v>
      </c>
      <c r="C187" s="25">
        <v>46197.0</v>
      </c>
      <c r="D187" s="26" t="s">
        <v>64</v>
      </c>
      <c r="E187" s="27">
        <v>179.0</v>
      </c>
      <c r="F187" s="27">
        <v>124.0</v>
      </c>
      <c r="G187" s="27">
        <v>5.0</v>
      </c>
      <c r="H187" s="27">
        <v>36.0</v>
      </c>
    </row>
    <row r="188" ht="15.75" customHeight="1">
      <c r="A188" s="22" t="str">
        <f t="shared" si="3"/>
        <v>miércoles</v>
      </c>
      <c r="B188" s="24" t="str">
        <f t="shared" si="4"/>
        <v>junio</v>
      </c>
      <c r="C188" s="25">
        <v>46197.0</v>
      </c>
      <c r="D188" s="26" t="s">
        <v>65</v>
      </c>
      <c r="E188" s="27">
        <v>66.0</v>
      </c>
      <c r="F188" s="27">
        <v>45.0</v>
      </c>
      <c r="G188" s="27">
        <v>5.0</v>
      </c>
      <c r="H188" s="27">
        <v>1.0</v>
      </c>
    </row>
    <row r="189" ht="15.75" customHeight="1">
      <c r="A189" s="22" t="str">
        <f t="shared" si="3"/>
        <v>miércoles</v>
      </c>
      <c r="B189" s="24" t="str">
        <f t="shared" si="4"/>
        <v>junio</v>
      </c>
      <c r="C189" s="25">
        <v>46197.0</v>
      </c>
      <c r="D189" s="26" t="s">
        <v>66</v>
      </c>
      <c r="E189" s="27">
        <v>142.0</v>
      </c>
      <c r="F189" s="27">
        <v>126.0</v>
      </c>
      <c r="G189" s="27">
        <v>1.0</v>
      </c>
      <c r="H189" s="27">
        <v>1.0</v>
      </c>
    </row>
    <row r="190" ht="15.75" customHeight="1">
      <c r="A190" s="22" t="str">
        <f t="shared" si="3"/>
        <v>jueves</v>
      </c>
      <c r="B190" s="24" t="str">
        <f t="shared" si="4"/>
        <v>junio</v>
      </c>
      <c r="C190" s="25">
        <v>46198.0</v>
      </c>
      <c r="D190" s="26" t="s">
        <v>40</v>
      </c>
      <c r="E190" s="27">
        <v>62.0</v>
      </c>
      <c r="F190" s="27">
        <v>17.0</v>
      </c>
      <c r="G190" s="27">
        <v>1.0</v>
      </c>
      <c r="H190" s="27">
        <v>22.0</v>
      </c>
    </row>
    <row r="191" ht="15.75" customHeight="1">
      <c r="A191" s="22" t="str">
        <f t="shared" si="3"/>
        <v>jueves</v>
      </c>
      <c r="B191" s="24" t="str">
        <f t="shared" si="4"/>
        <v>junio</v>
      </c>
      <c r="C191" s="25">
        <v>46198.0</v>
      </c>
      <c r="D191" s="26" t="s">
        <v>41</v>
      </c>
      <c r="E191" s="27">
        <v>59.0</v>
      </c>
      <c r="F191" s="27">
        <v>50.0</v>
      </c>
      <c r="G191" s="27">
        <v>2.0</v>
      </c>
      <c r="H191" s="27">
        <v>0.0</v>
      </c>
    </row>
    <row r="192" ht="15.75" customHeight="1">
      <c r="A192" s="22" t="str">
        <f t="shared" si="3"/>
        <v>jueves</v>
      </c>
      <c r="B192" s="24" t="str">
        <f t="shared" si="4"/>
        <v>junio</v>
      </c>
      <c r="C192" s="25">
        <v>46198.0</v>
      </c>
      <c r="D192" s="26" t="s">
        <v>42</v>
      </c>
      <c r="E192" s="27">
        <v>84.0</v>
      </c>
      <c r="F192" s="27">
        <v>50.0</v>
      </c>
      <c r="G192" s="27">
        <v>2.0</v>
      </c>
      <c r="H192" s="27">
        <v>11.0</v>
      </c>
    </row>
    <row r="193" ht="15.75" customHeight="1">
      <c r="A193" s="22" t="str">
        <f t="shared" si="3"/>
        <v>jueves</v>
      </c>
      <c r="B193" s="24" t="str">
        <f t="shared" si="4"/>
        <v>junio</v>
      </c>
      <c r="C193" s="25">
        <v>46198.0</v>
      </c>
      <c r="D193" s="26" t="s">
        <v>51</v>
      </c>
      <c r="E193" s="27">
        <v>74.0</v>
      </c>
      <c r="F193" s="27">
        <v>65.0</v>
      </c>
      <c r="G193" s="27">
        <v>0.0</v>
      </c>
      <c r="H193" s="27">
        <v>9.0</v>
      </c>
    </row>
    <row r="194" ht="15.75" customHeight="1">
      <c r="A194" s="22" t="str">
        <f t="shared" si="3"/>
        <v>jueves</v>
      </c>
      <c r="B194" s="24" t="str">
        <f t="shared" si="4"/>
        <v>junio</v>
      </c>
      <c r="C194" s="25">
        <v>46198.0</v>
      </c>
      <c r="D194" s="26" t="s">
        <v>67</v>
      </c>
      <c r="E194" s="27">
        <v>70.0</v>
      </c>
      <c r="F194" s="27">
        <v>56.0</v>
      </c>
      <c r="G194" s="27">
        <v>7.0</v>
      </c>
      <c r="H194" s="27">
        <v>2.0</v>
      </c>
    </row>
    <row r="195" ht="15.75" customHeight="1">
      <c r="A195" s="22" t="str">
        <f t="shared" si="3"/>
        <v>jueves</v>
      </c>
      <c r="B195" s="24" t="str">
        <f t="shared" si="4"/>
        <v>junio</v>
      </c>
      <c r="C195" s="25">
        <v>46198.0</v>
      </c>
      <c r="D195" s="26" t="s">
        <v>58</v>
      </c>
      <c r="E195" s="27">
        <v>58.0</v>
      </c>
      <c r="F195" s="27">
        <v>33.0</v>
      </c>
      <c r="G195" s="27">
        <v>3.0</v>
      </c>
      <c r="H195" s="27">
        <v>2.0</v>
      </c>
    </row>
    <row r="196" ht="15.75" customHeight="1">
      <c r="A196" s="22" t="str">
        <f t="shared" si="3"/>
        <v>jueves</v>
      </c>
      <c r="B196" s="24" t="str">
        <f t="shared" si="4"/>
        <v>junio</v>
      </c>
      <c r="C196" s="25">
        <v>46198.0</v>
      </c>
      <c r="D196" s="26" t="s">
        <v>52</v>
      </c>
      <c r="E196" s="27">
        <v>46.0</v>
      </c>
      <c r="F196" s="27">
        <v>36.0</v>
      </c>
      <c r="G196" s="27">
        <v>3.0</v>
      </c>
      <c r="H196" s="27">
        <v>0.0</v>
      </c>
    </row>
    <row r="197" ht="15.75" customHeight="1">
      <c r="A197" s="22" t="str">
        <f t="shared" si="3"/>
        <v>jueves</v>
      </c>
      <c r="B197" s="24" t="str">
        <f t="shared" si="4"/>
        <v>junio</v>
      </c>
      <c r="C197" s="25">
        <v>46198.0</v>
      </c>
      <c r="D197" s="26" t="s">
        <v>53</v>
      </c>
      <c r="E197" s="27">
        <v>49.0</v>
      </c>
      <c r="F197" s="27">
        <v>45.0</v>
      </c>
      <c r="G197" s="27">
        <v>1.0</v>
      </c>
      <c r="H197" s="27">
        <v>3.0</v>
      </c>
    </row>
    <row r="198" ht="15.75" customHeight="1">
      <c r="A198" s="22" t="str">
        <f t="shared" si="3"/>
        <v>jueves</v>
      </c>
      <c r="B198" s="24" t="str">
        <f t="shared" si="4"/>
        <v>junio</v>
      </c>
      <c r="C198" s="25">
        <v>46198.0</v>
      </c>
      <c r="D198" s="26" t="s">
        <v>64</v>
      </c>
      <c r="E198" s="27">
        <v>154.0</v>
      </c>
      <c r="F198" s="27">
        <v>110.0</v>
      </c>
      <c r="G198" s="27">
        <v>2.0</v>
      </c>
      <c r="H198" s="27">
        <v>9.0</v>
      </c>
    </row>
    <row r="199" ht="15.75" customHeight="1">
      <c r="A199" s="22" t="str">
        <f t="shared" si="3"/>
        <v>jueves</v>
      </c>
      <c r="B199" s="24" t="str">
        <f t="shared" si="4"/>
        <v>junio</v>
      </c>
      <c r="C199" s="25">
        <v>46198.0</v>
      </c>
      <c r="D199" s="26" t="s">
        <v>65</v>
      </c>
      <c r="E199" s="27">
        <v>75.0</v>
      </c>
      <c r="F199" s="27">
        <v>50.0</v>
      </c>
      <c r="G199" s="27">
        <v>5.0</v>
      </c>
      <c r="H199" s="27">
        <v>5.0</v>
      </c>
    </row>
    <row r="200" ht="15.75" customHeight="1">
      <c r="A200" s="22" t="str">
        <f t="shared" si="3"/>
        <v>jueves</v>
      </c>
      <c r="B200" s="24" t="str">
        <f t="shared" si="4"/>
        <v>junio</v>
      </c>
      <c r="C200" s="25">
        <v>46198.0</v>
      </c>
      <c r="D200" s="26" t="s">
        <v>66</v>
      </c>
      <c r="E200" s="27">
        <v>125.0</v>
      </c>
      <c r="F200" s="27">
        <v>107.0</v>
      </c>
      <c r="G200" s="27">
        <v>1.0</v>
      </c>
      <c r="H200" s="27">
        <v>2.0</v>
      </c>
    </row>
    <row r="201" ht="15.75" customHeight="1">
      <c r="A201" s="22" t="str">
        <f t="shared" si="3"/>
        <v>viernes</v>
      </c>
      <c r="B201" s="24" t="str">
        <f t="shared" si="4"/>
        <v>junio</v>
      </c>
      <c r="C201" s="25">
        <v>46199.0</v>
      </c>
      <c r="D201" s="26" t="s">
        <v>40</v>
      </c>
      <c r="E201" s="27">
        <v>44.0</v>
      </c>
      <c r="F201" s="27">
        <v>26.0</v>
      </c>
      <c r="G201" s="27">
        <v>2.0</v>
      </c>
      <c r="H201" s="27">
        <v>6.0</v>
      </c>
    </row>
    <row r="202" ht="15.75" customHeight="1">
      <c r="A202" s="22" t="str">
        <f t="shared" si="3"/>
        <v>viernes</v>
      </c>
      <c r="B202" s="24" t="str">
        <f t="shared" si="4"/>
        <v>junio</v>
      </c>
      <c r="C202" s="25">
        <v>46199.0</v>
      </c>
      <c r="D202" s="22" t="s">
        <v>68</v>
      </c>
      <c r="E202" s="27">
        <v>57.0</v>
      </c>
      <c r="F202" s="27">
        <v>46.0</v>
      </c>
      <c r="G202" s="27">
        <v>1.0</v>
      </c>
      <c r="H202" s="27">
        <v>1.0</v>
      </c>
    </row>
    <row r="203" ht="15.75" customHeight="1">
      <c r="A203" s="22" t="str">
        <f t="shared" si="3"/>
        <v>viernes</v>
      </c>
      <c r="B203" s="24" t="str">
        <f t="shared" si="4"/>
        <v>junio</v>
      </c>
      <c r="C203" s="25">
        <v>46199.0</v>
      </c>
      <c r="D203" s="26" t="s">
        <v>51</v>
      </c>
      <c r="E203" s="27">
        <v>121.0</v>
      </c>
      <c r="F203" s="27">
        <v>113.0</v>
      </c>
      <c r="G203" s="27">
        <v>2.0</v>
      </c>
      <c r="H203" s="27">
        <v>9.0</v>
      </c>
    </row>
    <row r="204" ht="15.75" customHeight="1">
      <c r="A204" s="22" t="str">
        <f t="shared" si="3"/>
        <v>viernes</v>
      </c>
      <c r="B204" s="24" t="str">
        <f t="shared" si="4"/>
        <v>junio</v>
      </c>
      <c r="C204" s="25">
        <v>46199.0</v>
      </c>
      <c r="D204" s="26" t="s">
        <v>58</v>
      </c>
      <c r="E204" s="27">
        <v>48.0</v>
      </c>
      <c r="F204" s="27">
        <v>35.0</v>
      </c>
      <c r="G204" s="27">
        <v>3.0</v>
      </c>
      <c r="H204" s="27">
        <v>1.0</v>
      </c>
    </row>
    <row r="205" ht="15.75" customHeight="1">
      <c r="A205" s="22" t="str">
        <f t="shared" si="3"/>
        <v>viernes</v>
      </c>
      <c r="B205" s="24" t="str">
        <f t="shared" si="4"/>
        <v>junio</v>
      </c>
      <c r="C205" s="25">
        <v>46199.0</v>
      </c>
      <c r="D205" s="26" t="s">
        <v>52</v>
      </c>
      <c r="E205" s="27">
        <v>64.0</v>
      </c>
      <c r="F205" s="27">
        <v>56.0</v>
      </c>
      <c r="G205" s="27">
        <v>2.0</v>
      </c>
      <c r="H205" s="27">
        <v>1.0</v>
      </c>
    </row>
    <row r="206" ht="15.75" customHeight="1">
      <c r="A206" s="22" t="str">
        <f t="shared" si="3"/>
        <v>viernes</v>
      </c>
      <c r="B206" s="24" t="str">
        <f t="shared" si="4"/>
        <v>junio</v>
      </c>
      <c r="C206" s="25">
        <v>46199.0</v>
      </c>
      <c r="D206" s="26" t="s">
        <v>53</v>
      </c>
      <c r="E206" s="27">
        <v>55.0</v>
      </c>
      <c r="F206" s="27">
        <v>31.0</v>
      </c>
      <c r="G206" s="27">
        <v>3.0</v>
      </c>
      <c r="H206" s="27">
        <v>1.0</v>
      </c>
    </row>
    <row r="207" ht="15.75" customHeight="1">
      <c r="A207" s="22" t="str">
        <f t="shared" si="3"/>
        <v>viernes</v>
      </c>
      <c r="B207" s="24" t="str">
        <f t="shared" si="4"/>
        <v>junio</v>
      </c>
      <c r="C207" s="25">
        <v>46199.0</v>
      </c>
      <c r="D207" s="26" t="s">
        <v>64</v>
      </c>
      <c r="E207" s="27">
        <v>182.0</v>
      </c>
      <c r="F207" s="27">
        <v>116.0</v>
      </c>
      <c r="G207" s="27">
        <v>4.0</v>
      </c>
      <c r="H207" s="27">
        <v>19.0</v>
      </c>
    </row>
    <row r="208" ht="15.75" customHeight="1">
      <c r="A208" s="22" t="str">
        <f t="shared" si="3"/>
        <v>viernes</v>
      </c>
      <c r="B208" s="24" t="str">
        <f t="shared" si="4"/>
        <v>junio</v>
      </c>
      <c r="C208" s="25">
        <v>46199.0</v>
      </c>
      <c r="D208" s="26" t="s">
        <v>65</v>
      </c>
      <c r="E208" s="27">
        <v>67.0</v>
      </c>
      <c r="F208" s="27">
        <v>50.0</v>
      </c>
      <c r="G208" s="27">
        <v>3.0</v>
      </c>
      <c r="H208" s="27">
        <v>2.0</v>
      </c>
    </row>
    <row r="209" ht="15.75" customHeight="1">
      <c r="A209" s="22" t="str">
        <f t="shared" si="3"/>
        <v>viernes</v>
      </c>
      <c r="B209" s="24" t="str">
        <f t="shared" si="4"/>
        <v>junio</v>
      </c>
      <c r="C209" s="25">
        <v>46199.0</v>
      </c>
      <c r="D209" s="26" t="s">
        <v>87</v>
      </c>
      <c r="E209" s="27">
        <v>120.0</v>
      </c>
      <c r="F209" s="27">
        <v>73.0</v>
      </c>
      <c r="G209" s="27">
        <v>0.0</v>
      </c>
      <c r="H209" s="27">
        <v>9.0</v>
      </c>
    </row>
    <row r="210" ht="15.75" customHeight="1">
      <c r="A210" s="22" t="str">
        <f t="shared" si="3"/>
        <v>sábado</v>
      </c>
      <c r="B210" s="24" t="str">
        <f t="shared" si="4"/>
        <v>junio</v>
      </c>
      <c r="C210" s="25">
        <v>46200.0</v>
      </c>
      <c r="D210" s="26" t="s">
        <v>40</v>
      </c>
      <c r="E210" s="27">
        <v>66.0</v>
      </c>
      <c r="F210" s="27">
        <v>46.0</v>
      </c>
      <c r="G210" s="27">
        <v>7.0</v>
      </c>
      <c r="H210" s="27">
        <v>4.0</v>
      </c>
    </row>
    <row r="211" ht="15.75" customHeight="1">
      <c r="A211" s="22" t="str">
        <f t="shared" si="3"/>
        <v>sábado</v>
      </c>
      <c r="B211" s="24" t="str">
        <f t="shared" si="4"/>
        <v>junio</v>
      </c>
      <c r="C211" s="25">
        <v>46200.0</v>
      </c>
      <c r="D211" s="22" t="s">
        <v>43</v>
      </c>
      <c r="E211" s="27">
        <v>55.0</v>
      </c>
      <c r="F211" s="27">
        <v>30.0</v>
      </c>
      <c r="G211" s="27">
        <v>5.0</v>
      </c>
      <c r="H211" s="27">
        <v>9.0</v>
      </c>
    </row>
    <row r="212" ht="15.75" customHeight="1">
      <c r="A212" s="22" t="str">
        <f t="shared" si="3"/>
        <v>sábado</v>
      </c>
      <c r="B212" s="24" t="str">
        <f t="shared" si="4"/>
        <v>junio</v>
      </c>
      <c r="C212" s="25">
        <v>46200.0</v>
      </c>
      <c r="D212" s="26" t="s">
        <v>51</v>
      </c>
      <c r="E212" s="27">
        <v>228.0</v>
      </c>
      <c r="F212" s="27">
        <v>218.0</v>
      </c>
      <c r="G212" s="27">
        <v>6.0</v>
      </c>
      <c r="H212" s="27">
        <v>1.0</v>
      </c>
    </row>
    <row r="213" ht="15.75" customHeight="1">
      <c r="A213" s="22" t="str">
        <f t="shared" si="3"/>
        <v>sábado</v>
      </c>
      <c r="B213" s="24" t="str">
        <f t="shared" si="4"/>
        <v>junio</v>
      </c>
      <c r="C213" s="25">
        <v>46200.0</v>
      </c>
      <c r="D213" s="26" t="s">
        <v>53</v>
      </c>
      <c r="E213" s="27">
        <v>94.0</v>
      </c>
      <c r="F213" s="27">
        <v>63.0</v>
      </c>
      <c r="G213" s="27">
        <v>4.0</v>
      </c>
      <c r="H213" s="27">
        <v>0.0</v>
      </c>
    </row>
    <row r="214" ht="15.75" customHeight="1">
      <c r="A214" s="22" t="str">
        <f t="shared" si="3"/>
        <v>sábado</v>
      </c>
      <c r="B214" s="24" t="str">
        <f t="shared" si="4"/>
        <v>junio</v>
      </c>
      <c r="C214" s="25">
        <v>46200.0</v>
      </c>
      <c r="D214" s="26" t="s">
        <v>60</v>
      </c>
      <c r="E214" s="27">
        <v>163.0</v>
      </c>
      <c r="F214" s="27">
        <v>117.0</v>
      </c>
      <c r="G214" s="27">
        <v>5.0</v>
      </c>
      <c r="H214" s="27">
        <v>0.0</v>
      </c>
    </row>
    <row r="215" ht="15.75" customHeight="1">
      <c r="A215" s="22" t="str">
        <f t="shared" si="3"/>
        <v>domingo</v>
      </c>
      <c r="B215" s="24" t="str">
        <f t="shared" si="4"/>
        <v>junio</v>
      </c>
      <c r="C215" s="25">
        <v>46201.0</v>
      </c>
      <c r="D215" s="26" t="s">
        <v>39</v>
      </c>
      <c r="E215" s="27">
        <v>125.0</v>
      </c>
      <c r="F215" s="27">
        <v>81.0</v>
      </c>
      <c r="G215" s="27">
        <v>0.0</v>
      </c>
      <c r="H215" s="27">
        <v>0.0</v>
      </c>
    </row>
    <row r="216" ht="15.75" customHeight="1">
      <c r="A216" s="22" t="str">
        <f t="shared" si="3"/>
        <v>domingo</v>
      </c>
      <c r="B216" s="24" t="str">
        <f t="shared" si="4"/>
        <v>junio</v>
      </c>
      <c r="C216" s="25">
        <v>46201.0</v>
      </c>
      <c r="D216" s="26" t="s">
        <v>40</v>
      </c>
      <c r="E216" s="27">
        <v>106.0</v>
      </c>
      <c r="F216" s="27">
        <v>59.0</v>
      </c>
      <c r="G216" s="27">
        <v>1.0</v>
      </c>
      <c r="H216" s="27">
        <v>14.0</v>
      </c>
    </row>
    <row r="217" ht="15.75" customHeight="1">
      <c r="A217" s="22" t="str">
        <f t="shared" si="3"/>
        <v>domingo</v>
      </c>
      <c r="B217" s="24" t="str">
        <f t="shared" si="4"/>
        <v>junio</v>
      </c>
      <c r="C217" s="25">
        <v>46201.0</v>
      </c>
      <c r="D217" s="22" t="s">
        <v>43</v>
      </c>
      <c r="E217" s="27">
        <v>87.0</v>
      </c>
      <c r="F217" s="27">
        <v>39.0</v>
      </c>
      <c r="G217" s="27">
        <v>7.0</v>
      </c>
      <c r="H217" s="27">
        <v>12.0</v>
      </c>
    </row>
    <row r="218" ht="15.75" customHeight="1">
      <c r="A218" s="22" t="str">
        <f t="shared" si="3"/>
        <v>domingo</v>
      </c>
      <c r="B218" s="24" t="str">
        <f t="shared" si="4"/>
        <v>junio</v>
      </c>
      <c r="C218" s="25">
        <v>46201.0</v>
      </c>
      <c r="D218" s="26" t="s">
        <v>44</v>
      </c>
      <c r="E218" s="27">
        <v>115.0</v>
      </c>
      <c r="F218" s="27">
        <v>114.0</v>
      </c>
      <c r="G218" s="27">
        <v>0.0</v>
      </c>
      <c r="H218" s="27">
        <v>0.0</v>
      </c>
    </row>
    <row r="219" ht="15.75" customHeight="1">
      <c r="A219" s="22" t="str">
        <f t="shared" si="3"/>
        <v>domingo</v>
      </c>
      <c r="B219" s="24" t="str">
        <f t="shared" si="4"/>
        <v>junio</v>
      </c>
      <c r="C219" s="25">
        <v>46201.0</v>
      </c>
      <c r="D219" s="26" t="s">
        <v>52</v>
      </c>
      <c r="E219" s="27">
        <v>108.0</v>
      </c>
      <c r="F219" s="27">
        <v>84.0</v>
      </c>
      <c r="G219" s="27">
        <v>5.0</v>
      </c>
      <c r="H219" s="27">
        <v>10.0</v>
      </c>
    </row>
    <row r="220" ht="15.75" customHeight="1">
      <c r="A220" s="22" t="str">
        <f t="shared" si="3"/>
        <v>domingo</v>
      </c>
      <c r="B220" s="24" t="str">
        <f t="shared" si="4"/>
        <v>junio</v>
      </c>
      <c r="C220" s="25">
        <v>46201.0</v>
      </c>
      <c r="D220" s="26" t="s">
        <v>53</v>
      </c>
      <c r="E220" s="27">
        <v>102.0</v>
      </c>
      <c r="F220" s="27">
        <v>62.0</v>
      </c>
      <c r="G220" s="27">
        <v>1.0</v>
      </c>
      <c r="H220" s="27">
        <v>5.0</v>
      </c>
    </row>
    <row r="221" ht="15.75" customHeight="1">
      <c r="A221" s="22" t="str">
        <f t="shared" si="3"/>
        <v>domingo</v>
      </c>
      <c r="B221" s="24" t="str">
        <f t="shared" si="4"/>
        <v>junio</v>
      </c>
      <c r="C221" s="25">
        <v>46201.0</v>
      </c>
      <c r="D221" s="26" t="s">
        <v>60</v>
      </c>
      <c r="E221" s="27">
        <v>201.0</v>
      </c>
      <c r="F221" s="27">
        <v>122.0</v>
      </c>
      <c r="G221" s="27">
        <v>5.0</v>
      </c>
      <c r="H221" s="27">
        <v>2.0</v>
      </c>
    </row>
    <row r="222" ht="15.75" customHeight="1">
      <c r="A222" s="22" t="str">
        <f t="shared" si="3"/>
        <v>lunes</v>
      </c>
      <c r="B222" s="24" t="str">
        <f t="shared" si="4"/>
        <v>junio</v>
      </c>
      <c r="C222" s="25">
        <v>46202.0</v>
      </c>
      <c r="D222" s="26" t="s">
        <v>39</v>
      </c>
      <c r="E222" s="27">
        <v>39.0</v>
      </c>
      <c r="F222" s="27">
        <v>19.0</v>
      </c>
      <c r="G222" s="27">
        <v>0.0</v>
      </c>
      <c r="H222" s="27">
        <v>6.0</v>
      </c>
    </row>
    <row r="223" ht="15.75" customHeight="1">
      <c r="A223" s="22" t="str">
        <f t="shared" si="3"/>
        <v>lunes</v>
      </c>
      <c r="B223" s="24" t="str">
        <f t="shared" si="4"/>
        <v>junio</v>
      </c>
      <c r="C223" s="25">
        <v>46202.0</v>
      </c>
      <c r="D223" s="26" t="s">
        <v>41</v>
      </c>
      <c r="E223" s="27">
        <v>63.0</v>
      </c>
      <c r="F223" s="27">
        <v>53.0</v>
      </c>
      <c r="G223" s="27">
        <v>2.0</v>
      </c>
      <c r="H223" s="27">
        <v>5.0</v>
      </c>
    </row>
    <row r="224" ht="15.75" customHeight="1">
      <c r="A224" s="22" t="str">
        <f t="shared" si="3"/>
        <v>lunes</v>
      </c>
      <c r="B224" s="24" t="str">
        <f t="shared" si="4"/>
        <v>junio</v>
      </c>
      <c r="C224" s="25">
        <v>46202.0</v>
      </c>
      <c r="D224" s="26" t="s">
        <v>42</v>
      </c>
      <c r="E224" s="27">
        <v>93.0</v>
      </c>
      <c r="F224" s="27">
        <v>58.0</v>
      </c>
      <c r="G224" s="27">
        <v>2.0</v>
      </c>
      <c r="H224" s="27">
        <v>8.0</v>
      </c>
    </row>
    <row r="225" ht="15.75" customHeight="1">
      <c r="A225" s="22" t="str">
        <f t="shared" si="3"/>
        <v>lunes</v>
      </c>
      <c r="B225" s="24" t="str">
        <f t="shared" si="4"/>
        <v>junio</v>
      </c>
      <c r="C225" s="25">
        <v>46202.0</v>
      </c>
      <c r="D225" s="26" t="s">
        <v>44</v>
      </c>
      <c r="E225" s="27">
        <v>51.0</v>
      </c>
      <c r="F225" s="27">
        <v>47.0</v>
      </c>
      <c r="G225" s="27">
        <v>0.0</v>
      </c>
      <c r="H225" s="27">
        <v>0.0</v>
      </c>
    </row>
    <row r="226" ht="15.75" customHeight="1">
      <c r="A226" s="22" t="str">
        <f t="shared" si="3"/>
        <v>lunes</v>
      </c>
      <c r="B226" s="24" t="str">
        <f t="shared" si="4"/>
        <v>junio</v>
      </c>
      <c r="C226" s="25">
        <v>46202.0</v>
      </c>
      <c r="D226" s="26" t="s">
        <v>67</v>
      </c>
      <c r="E226" s="27">
        <v>62.0</v>
      </c>
      <c r="F226" s="27">
        <v>46.0</v>
      </c>
      <c r="G226" s="27">
        <v>4.0</v>
      </c>
      <c r="H226" s="27">
        <v>6.0</v>
      </c>
    </row>
    <row r="227" ht="15.75" customHeight="1">
      <c r="A227" s="22" t="str">
        <f t="shared" si="3"/>
        <v>lunes</v>
      </c>
      <c r="B227" s="24" t="str">
        <f t="shared" si="4"/>
        <v>junio</v>
      </c>
      <c r="C227" s="25">
        <v>46202.0</v>
      </c>
      <c r="D227" s="26" t="s">
        <v>58</v>
      </c>
      <c r="E227" s="27">
        <v>51.0</v>
      </c>
      <c r="F227" s="27">
        <v>27.0</v>
      </c>
      <c r="G227" s="27">
        <v>6.0</v>
      </c>
      <c r="H227" s="27">
        <v>3.0</v>
      </c>
    </row>
    <row r="228" ht="15.75" customHeight="1">
      <c r="A228" s="22" t="str">
        <f t="shared" si="3"/>
        <v>lunes</v>
      </c>
      <c r="B228" s="24" t="str">
        <f t="shared" si="4"/>
        <v>junio</v>
      </c>
      <c r="C228" s="25">
        <v>46202.0</v>
      </c>
      <c r="D228" s="26" t="s">
        <v>64</v>
      </c>
      <c r="E228" s="27">
        <v>124.0</v>
      </c>
      <c r="F228" s="27">
        <v>90.0</v>
      </c>
      <c r="G228" s="27">
        <v>8.0</v>
      </c>
      <c r="H228" s="27">
        <v>8.0</v>
      </c>
    </row>
    <row r="229" ht="15.75" customHeight="1">
      <c r="A229" s="22" t="str">
        <f t="shared" si="3"/>
        <v>lunes</v>
      </c>
      <c r="B229" s="24" t="str">
        <f t="shared" si="4"/>
        <v>junio</v>
      </c>
      <c r="C229" s="25">
        <v>46202.0</v>
      </c>
      <c r="D229" s="26" t="s">
        <v>65</v>
      </c>
      <c r="E229" s="27">
        <v>71.0</v>
      </c>
      <c r="F229" s="27">
        <v>63.0</v>
      </c>
      <c r="G229" s="27">
        <v>4.0</v>
      </c>
      <c r="H229" s="27">
        <v>2.0</v>
      </c>
    </row>
    <row r="230" ht="15.75" customHeight="1">
      <c r="A230" s="22" t="str">
        <f t="shared" si="3"/>
        <v>lunes</v>
      </c>
      <c r="B230" s="24" t="str">
        <f t="shared" si="4"/>
        <v>junio</v>
      </c>
      <c r="C230" s="25">
        <v>46202.0</v>
      </c>
      <c r="D230" s="26" t="s">
        <v>60</v>
      </c>
      <c r="E230" s="27">
        <v>120.0</v>
      </c>
      <c r="F230" s="27">
        <v>57.0</v>
      </c>
      <c r="G230" s="27">
        <v>1.0</v>
      </c>
      <c r="H230" s="27">
        <v>4.0</v>
      </c>
    </row>
    <row r="231" ht="15.75" customHeight="1">
      <c r="A231" s="22" t="str">
        <f t="shared" si="3"/>
        <v>lunes</v>
      </c>
      <c r="B231" s="24" t="str">
        <f t="shared" si="4"/>
        <v>junio</v>
      </c>
      <c r="C231" s="25">
        <v>46202.0</v>
      </c>
      <c r="D231" s="26" t="s">
        <v>66</v>
      </c>
      <c r="E231" s="27">
        <v>72.0</v>
      </c>
      <c r="F231" s="27">
        <v>56.0</v>
      </c>
      <c r="G231" s="27">
        <v>1.0</v>
      </c>
      <c r="H231" s="27">
        <v>2.0</v>
      </c>
    </row>
    <row r="232" ht="15.75" customHeight="1">
      <c r="A232" s="22" t="str">
        <f t="shared" si="3"/>
        <v>martes</v>
      </c>
      <c r="B232" s="24" t="str">
        <f t="shared" si="4"/>
        <v>junio</v>
      </c>
      <c r="C232" s="25">
        <v>46203.0</v>
      </c>
      <c r="D232" s="26" t="s">
        <v>39</v>
      </c>
      <c r="E232" s="27">
        <v>69.0</v>
      </c>
      <c r="F232" s="27">
        <v>40.0</v>
      </c>
      <c r="G232" s="27">
        <v>0.0</v>
      </c>
      <c r="H232" s="27">
        <v>8.0</v>
      </c>
    </row>
    <row r="233" ht="15.75" customHeight="1">
      <c r="A233" s="22" t="str">
        <f t="shared" si="3"/>
        <v>martes</v>
      </c>
      <c r="B233" s="24" t="str">
        <f t="shared" si="4"/>
        <v>junio</v>
      </c>
      <c r="C233" s="25">
        <v>46203.0</v>
      </c>
      <c r="D233" s="26" t="s">
        <v>41</v>
      </c>
      <c r="E233" s="27">
        <v>88.0</v>
      </c>
      <c r="F233" s="27">
        <v>69.0</v>
      </c>
      <c r="G233" s="27">
        <v>3.0</v>
      </c>
      <c r="H233" s="27">
        <v>3.0</v>
      </c>
    </row>
    <row r="234" ht="15.75" customHeight="1">
      <c r="A234" s="22" t="str">
        <f t="shared" si="3"/>
        <v>martes</v>
      </c>
      <c r="B234" s="24" t="str">
        <f t="shared" si="4"/>
        <v>junio</v>
      </c>
      <c r="C234" s="25">
        <v>46203.0</v>
      </c>
      <c r="D234" s="26" t="s">
        <v>42</v>
      </c>
      <c r="E234" s="27">
        <v>100.0</v>
      </c>
      <c r="F234" s="27">
        <v>64.0</v>
      </c>
      <c r="G234" s="27">
        <v>3.0</v>
      </c>
      <c r="H234" s="27">
        <v>9.0</v>
      </c>
    </row>
    <row r="235" ht="15.75" customHeight="1">
      <c r="A235" s="22" t="str">
        <f t="shared" si="3"/>
        <v>martes</v>
      </c>
      <c r="B235" s="24" t="str">
        <f t="shared" si="4"/>
        <v>junio</v>
      </c>
      <c r="C235" s="25">
        <v>46203.0</v>
      </c>
      <c r="D235" s="22" t="s">
        <v>46</v>
      </c>
      <c r="E235" s="27">
        <v>68.0</v>
      </c>
      <c r="F235" s="27">
        <v>35.0</v>
      </c>
      <c r="G235" s="27">
        <v>2.0</v>
      </c>
      <c r="H235" s="27">
        <v>3.0</v>
      </c>
    </row>
    <row r="236" ht="15.75" customHeight="1">
      <c r="A236" s="22" t="str">
        <f t="shared" si="3"/>
        <v>martes</v>
      </c>
      <c r="B236" s="24" t="str">
        <f t="shared" si="4"/>
        <v>junio</v>
      </c>
      <c r="C236" s="25">
        <v>46203.0</v>
      </c>
      <c r="D236" s="26" t="s">
        <v>67</v>
      </c>
      <c r="E236" s="27">
        <v>76.0</v>
      </c>
      <c r="F236" s="27">
        <v>65.0</v>
      </c>
      <c r="G236" s="27">
        <v>5.0</v>
      </c>
      <c r="H236" s="27">
        <v>6.0</v>
      </c>
    </row>
    <row r="237" ht="15.75" customHeight="1">
      <c r="A237" s="22" t="str">
        <f t="shared" si="3"/>
        <v>martes</v>
      </c>
      <c r="B237" s="24" t="str">
        <f t="shared" si="4"/>
        <v>junio</v>
      </c>
      <c r="C237" s="25">
        <v>46203.0</v>
      </c>
      <c r="D237" s="26" t="s">
        <v>58</v>
      </c>
      <c r="E237" s="27">
        <v>55.0</v>
      </c>
      <c r="F237" s="27">
        <v>24.0</v>
      </c>
      <c r="G237" s="27">
        <v>3.0</v>
      </c>
      <c r="H237" s="27">
        <v>0.0</v>
      </c>
    </row>
    <row r="238" ht="15.75" customHeight="1">
      <c r="A238" s="22" t="str">
        <f t="shared" si="3"/>
        <v>martes</v>
      </c>
      <c r="B238" s="24" t="str">
        <f t="shared" si="4"/>
        <v>junio</v>
      </c>
      <c r="C238" s="25">
        <v>46203.0</v>
      </c>
      <c r="D238" s="26" t="s">
        <v>64</v>
      </c>
      <c r="E238" s="27">
        <v>135.0</v>
      </c>
      <c r="F238" s="27">
        <v>87.0</v>
      </c>
      <c r="G238" s="27">
        <v>6.0</v>
      </c>
      <c r="H238" s="27">
        <v>16.0</v>
      </c>
    </row>
    <row r="239" ht="15.75" customHeight="1">
      <c r="A239" s="22" t="str">
        <f t="shared" si="3"/>
        <v>martes</v>
      </c>
      <c r="B239" s="24" t="str">
        <f t="shared" si="4"/>
        <v>junio</v>
      </c>
      <c r="C239" s="25">
        <v>46203.0</v>
      </c>
      <c r="D239" s="26" t="s">
        <v>65</v>
      </c>
      <c r="E239" s="27">
        <v>76.0</v>
      </c>
      <c r="F239" s="27">
        <v>66.0</v>
      </c>
      <c r="G239" s="27">
        <v>1.0</v>
      </c>
      <c r="H239" s="27">
        <v>4.0</v>
      </c>
    </row>
    <row r="240" ht="15.75" customHeight="1">
      <c r="A240" s="22" t="str">
        <f t="shared" si="3"/>
        <v>martes</v>
      </c>
      <c r="B240" s="24" t="str">
        <f t="shared" si="4"/>
        <v>junio</v>
      </c>
      <c r="C240" s="25">
        <v>46203.0</v>
      </c>
      <c r="D240" s="26" t="s">
        <v>66</v>
      </c>
      <c r="E240" s="27">
        <v>71.0</v>
      </c>
      <c r="F240" s="27">
        <v>55.0</v>
      </c>
      <c r="G240" s="27">
        <v>3.0</v>
      </c>
      <c r="H240" s="27">
        <v>1.0</v>
      </c>
    </row>
    <row r="241" ht="15.75" customHeight="1">
      <c r="A241" s="22"/>
      <c r="B241" s="24"/>
      <c r="C241" s="25"/>
    </row>
    <row r="242" ht="15.75" customHeight="1">
      <c r="A242" s="22"/>
      <c r="B242" s="24"/>
      <c r="C242" s="25"/>
    </row>
    <row r="243" ht="15.75" customHeight="1">
      <c r="A243" s="22"/>
      <c r="B243" s="24"/>
      <c r="C243" s="25"/>
    </row>
    <row r="244" ht="15.75" customHeight="1">
      <c r="A244" s="22"/>
      <c r="B244" s="24"/>
      <c r="C244" s="25"/>
    </row>
    <row r="245" ht="15.75" customHeight="1">
      <c r="A245" s="22"/>
      <c r="B245" s="24"/>
      <c r="C245" s="25"/>
    </row>
    <row r="246" ht="15.75" customHeight="1">
      <c r="A246" s="22"/>
      <c r="B246" s="24"/>
    </row>
    <row r="247" ht="15.75" customHeight="1">
      <c r="A247" s="22"/>
      <c r="B247" s="24"/>
      <c r="C247" s="37"/>
    </row>
    <row r="248" ht="15.75" customHeight="1">
      <c r="A248" s="22"/>
      <c r="B248" s="24"/>
      <c r="C248" s="37"/>
    </row>
    <row r="249" ht="15.75" customHeight="1">
      <c r="A249" s="22"/>
      <c r="B249" s="24"/>
      <c r="C249" s="37"/>
    </row>
    <row r="250" ht="15.75" customHeight="1">
      <c r="A250" s="22"/>
      <c r="B250" s="24"/>
      <c r="C250" s="37"/>
    </row>
    <row r="251" ht="15.75" customHeight="1">
      <c r="A251" s="22"/>
      <c r="B251" s="24"/>
      <c r="C251" s="37"/>
    </row>
    <row r="252" ht="15.75" customHeight="1">
      <c r="A252" s="22"/>
      <c r="B252" s="24"/>
      <c r="C252" s="37"/>
    </row>
    <row r="253" ht="15.75" customHeight="1">
      <c r="A253" s="22"/>
      <c r="B253" s="24"/>
      <c r="C253" s="37"/>
    </row>
    <row r="254" ht="15.75" customHeight="1">
      <c r="A254" s="22"/>
      <c r="B254" s="24"/>
      <c r="C254" s="37"/>
    </row>
    <row r="255" ht="15.75" customHeight="1">
      <c r="A255" s="22"/>
      <c r="B255" s="24"/>
      <c r="C255" s="37"/>
    </row>
    <row r="256" ht="15.75" customHeight="1">
      <c r="A256" s="22"/>
      <c r="B256" s="24"/>
      <c r="C256" s="37"/>
    </row>
    <row r="257" ht="15.75" customHeight="1">
      <c r="A257" s="22"/>
      <c r="B257" s="24"/>
      <c r="C257" s="37"/>
    </row>
    <row r="258" ht="15.75" customHeight="1">
      <c r="A258" s="22"/>
      <c r="B258" s="24"/>
      <c r="C258" s="37"/>
    </row>
    <row r="259" ht="15.75" customHeight="1">
      <c r="A259" s="22"/>
      <c r="B259" s="24"/>
      <c r="C259" s="37"/>
    </row>
    <row r="260" ht="15.75" customHeight="1">
      <c r="A260" s="22"/>
      <c r="B260" s="24"/>
      <c r="C260" s="37"/>
    </row>
    <row r="261" ht="15.75" customHeight="1">
      <c r="A261" s="22"/>
      <c r="B261" s="24"/>
      <c r="C261" s="37"/>
    </row>
    <row r="262" ht="15.75" customHeight="1">
      <c r="A262" s="22"/>
      <c r="B262" s="24"/>
      <c r="C262" s="37"/>
    </row>
    <row r="263" ht="15.75" customHeight="1">
      <c r="A263" s="22"/>
      <c r="B263" s="24"/>
      <c r="C263" s="37"/>
    </row>
    <row r="264" ht="15.75" customHeight="1">
      <c r="A264" s="22"/>
      <c r="B264" s="24"/>
      <c r="C264" s="37"/>
    </row>
    <row r="265" ht="15.75" customHeight="1">
      <c r="A265" s="22"/>
      <c r="B265" s="24"/>
      <c r="C265" s="37"/>
    </row>
    <row r="266" ht="15.75" customHeight="1">
      <c r="A266" s="22"/>
      <c r="B266" s="24"/>
      <c r="C266" s="37"/>
    </row>
    <row r="267" ht="15.75" customHeight="1">
      <c r="A267" s="22"/>
      <c r="B267" s="24"/>
      <c r="C267" s="37"/>
    </row>
    <row r="268" ht="15.75" customHeight="1">
      <c r="A268" s="22"/>
      <c r="B268" s="24"/>
      <c r="C268" s="37"/>
    </row>
    <row r="269" ht="15.75" customHeight="1">
      <c r="A269" s="22"/>
      <c r="B269" s="24"/>
      <c r="C269" s="37"/>
    </row>
    <row r="270" ht="15.75" customHeight="1">
      <c r="A270" s="22"/>
      <c r="B270" s="24"/>
      <c r="C270" s="37"/>
    </row>
    <row r="271" ht="15.75" customHeight="1">
      <c r="A271" s="22"/>
      <c r="B271" s="24"/>
      <c r="C271" s="37"/>
    </row>
    <row r="272" ht="15.75" customHeight="1">
      <c r="A272" s="22"/>
      <c r="B272" s="24"/>
      <c r="C272" s="37"/>
    </row>
    <row r="273" ht="15.75" customHeight="1">
      <c r="A273" s="22"/>
      <c r="B273" s="24"/>
      <c r="C273" s="37"/>
    </row>
    <row r="274" ht="15.75" customHeight="1">
      <c r="A274" s="22"/>
      <c r="B274" s="24"/>
      <c r="C274" s="37"/>
    </row>
    <row r="275" ht="15.75" customHeight="1">
      <c r="A275" s="22"/>
      <c r="B275" s="24"/>
      <c r="C275" s="37"/>
    </row>
    <row r="276" ht="15.75" customHeight="1">
      <c r="A276" s="22"/>
      <c r="B276" s="24"/>
      <c r="C276" s="37"/>
    </row>
    <row r="277" ht="15.75" customHeight="1">
      <c r="A277" s="22"/>
      <c r="B277" s="24"/>
      <c r="C277" s="37"/>
    </row>
    <row r="278" ht="15.75" customHeight="1">
      <c r="A278" s="22"/>
      <c r="B278" s="24"/>
      <c r="C278" s="37"/>
    </row>
    <row r="279" ht="15.75" customHeight="1">
      <c r="A279" s="22"/>
      <c r="B279" s="24"/>
      <c r="C279" s="37"/>
    </row>
    <row r="280" ht="15.75" customHeight="1">
      <c r="A280" s="22"/>
      <c r="B280" s="24"/>
      <c r="C280" s="37"/>
    </row>
    <row r="281" ht="15.75" customHeight="1">
      <c r="A281" s="22"/>
      <c r="B281" s="24"/>
      <c r="C281" s="37"/>
    </row>
    <row r="282" ht="15.75" customHeight="1">
      <c r="A282" s="22"/>
      <c r="B282" s="24"/>
      <c r="C282" s="37"/>
    </row>
    <row r="283" ht="15.75" customHeight="1">
      <c r="A283" s="22"/>
      <c r="B283" s="24"/>
      <c r="C283" s="37"/>
    </row>
    <row r="284" ht="15.75" customHeight="1">
      <c r="A284" s="22"/>
      <c r="B284" s="24"/>
      <c r="C284" s="37"/>
    </row>
    <row r="285" ht="15.75" customHeight="1">
      <c r="A285" s="22"/>
      <c r="B285" s="24"/>
      <c r="C285" s="37"/>
    </row>
    <row r="286" ht="15.75" customHeight="1">
      <c r="A286" s="22"/>
      <c r="B286" s="24"/>
      <c r="C286" s="37"/>
    </row>
    <row r="287" ht="15.75" customHeight="1">
      <c r="A287" s="22"/>
      <c r="B287" s="24"/>
      <c r="C287" s="37"/>
    </row>
    <row r="288" ht="15.75" customHeight="1">
      <c r="A288" s="22"/>
      <c r="B288" s="24"/>
      <c r="C288" s="37"/>
    </row>
    <row r="289" ht="15.75" customHeight="1">
      <c r="A289" s="22"/>
      <c r="B289" s="24"/>
      <c r="C289" s="37"/>
    </row>
    <row r="290" ht="15.75" customHeight="1">
      <c r="A290" s="22"/>
      <c r="B290" s="24"/>
      <c r="C290" s="37"/>
    </row>
    <row r="291" ht="15.75" customHeight="1">
      <c r="A291" s="22"/>
      <c r="B291" s="24"/>
      <c r="C291" s="37"/>
    </row>
    <row r="292" ht="15.75" customHeight="1">
      <c r="A292" s="22"/>
      <c r="B292" s="24"/>
      <c r="C292" s="37"/>
    </row>
    <row r="293" ht="15.75" customHeight="1">
      <c r="A293" s="22"/>
      <c r="B293" s="24"/>
      <c r="C293" s="37"/>
    </row>
    <row r="294" ht="15.75" customHeight="1">
      <c r="A294" s="22"/>
      <c r="B294" s="24"/>
      <c r="C294" s="37"/>
    </row>
    <row r="295" ht="15.75" customHeight="1">
      <c r="A295" s="22"/>
      <c r="B295" s="24"/>
      <c r="C295" s="37"/>
    </row>
    <row r="296" ht="15.75" customHeight="1">
      <c r="A296" s="22"/>
      <c r="B296" s="24"/>
      <c r="C296" s="37"/>
    </row>
    <row r="297" ht="15.75" customHeight="1">
      <c r="A297" s="22"/>
      <c r="B297" s="24"/>
      <c r="C297" s="37"/>
    </row>
    <row r="298" ht="15.75" customHeight="1">
      <c r="A298" s="22"/>
      <c r="B298" s="24"/>
      <c r="C298" s="37"/>
    </row>
    <row r="299" ht="15.75" customHeight="1">
      <c r="A299" s="22"/>
      <c r="B299" s="24"/>
      <c r="C299" s="37"/>
    </row>
    <row r="300" ht="15.75" customHeight="1">
      <c r="A300" s="22"/>
      <c r="B300" s="24"/>
      <c r="C300" s="37"/>
    </row>
    <row r="301" ht="15.75" customHeight="1">
      <c r="A301" s="22"/>
      <c r="B301" s="24"/>
      <c r="C301" s="37"/>
    </row>
    <row r="302" ht="15.75" customHeight="1">
      <c r="A302" s="22"/>
      <c r="B302" s="24"/>
      <c r="C302" s="37"/>
    </row>
    <row r="303" ht="15.75" customHeight="1">
      <c r="A303" s="22"/>
      <c r="B303" s="24"/>
      <c r="C303" s="37"/>
    </row>
    <row r="304" ht="15.75" customHeight="1">
      <c r="A304" s="22"/>
      <c r="B304" s="24"/>
      <c r="C304" s="37"/>
    </row>
    <row r="305" ht="15.75" customHeight="1">
      <c r="A305" s="22"/>
      <c r="B305" s="24"/>
      <c r="C305" s="37"/>
    </row>
    <row r="306" ht="15.75" customHeight="1">
      <c r="A306" s="22"/>
      <c r="B306" s="24"/>
      <c r="C306" s="37"/>
    </row>
    <row r="307" ht="15.75" customHeight="1">
      <c r="A307" s="22"/>
      <c r="B307" s="24"/>
      <c r="C307" s="37"/>
    </row>
    <row r="308" ht="15.75" customHeight="1">
      <c r="A308" s="22"/>
      <c r="B308" s="24"/>
      <c r="C308" s="37"/>
    </row>
    <row r="309" ht="15.75" customHeight="1">
      <c r="A309" s="22"/>
      <c r="B309" s="24"/>
      <c r="C309" s="37"/>
    </row>
    <row r="310" ht="15.75" customHeight="1">
      <c r="A310" s="22"/>
      <c r="B310" s="24"/>
      <c r="C310" s="37"/>
    </row>
    <row r="311" ht="15.75" customHeight="1">
      <c r="A311" s="22"/>
      <c r="B311" s="24"/>
      <c r="C311" s="37"/>
    </row>
    <row r="312" ht="15.75" customHeight="1">
      <c r="A312" s="22"/>
      <c r="B312" s="24"/>
      <c r="C312" s="37"/>
    </row>
    <row r="313" ht="15.75" customHeight="1">
      <c r="A313" s="22"/>
      <c r="B313" s="24"/>
      <c r="C313" s="37"/>
    </row>
    <row r="314" ht="15.75" customHeight="1">
      <c r="A314" s="22"/>
      <c r="B314" s="24"/>
      <c r="C314" s="37"/>
    </row>
    <row r="315" ht="15.75" customHeight="1">
      <c r="A315" s="22"/>
      <c r="B315" s="24"/>
      <c r="C315" s="37"/>
    </row>
    <row r="316" ht="15.75" customHeight="1">
      <c r="A316" s="22"/>
      <c r="B316" s="24"/>
      <c r="C316" s="37"/>
    </row>
    <row r="317" ht="15.75" customHeight="1">
      <c r="A317" s="22"/>
      <c r="B317" s="24"/>
      <c r="C317" s="37"/>
    </row>
    <row r="318" ht="15.75" customHeight="1">
      <c r="A318" s="22"/>
      <c r="B318" s="24"/>
      <c r="C318" s="37"/>
    </row>
    <row r="319" ht="15.75" customHeight="1">
      <c r="A319" s="22"/>
      <c r="B319" s="24"/>
      <c r="C319" s="37"/>
    </row>
    <row r="320" ht="15.75" customHeight="1">
      <c r="A320" s="22"/>
      <c r="B320" s="24"/>
      <c r="C320" s="37"/>
    </row>
    <row r="321" ht="15.75" customHeight="1">
      <c r="A321" s="22"/>
      <c r="B321" s="24"/>
      <c r="C321" s="37"/>
    </row>
    <row r="322" ht="15.75" customHeight="1">
      <c r="A322" s="22"/>
      <c r="B322" s="24"/>
      <c r="C322" s="37"/>
    </row>
    <row r="323" ht="15.75" customHeight="1">
      <c r="A323" s="22"/>
      <c r="B323" s="24"/>
      <c r="C323" s="37"/>
    </row>
    <row r="324" ht="15.75" customHeight="1">
      <c r="A324" s="22"/>
      <c r="B324" s="24"/>
      <c r="C324" s="37"/>
    </row>
    <row r="325" ht="15.75" customHeight="1">
      <c r="A325" s="22"/>
      <c r="B325" s="24"/>
      <c r="C325" s="37"/>
    </row>
    <row r="326" ht="15.75" customHeight="1">
      <c r="A326" s="22"/>
      <c r="B326" s="24"/>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U$50:$AB$65"/>
  <mergeCells count="18">
    <mergeCell ref="K23:N23"/>
    <mergeCell ref="O23:P23"/>
    <mergeCell ref="Q23:R23"/>
    <mergeCell ref="U23:X23"/>
    <mergeCell ref="Y23:Z23"/>
    <mergeCell ref="AA23:AB23"/>
    <mergeCell ref="J49:N49"/>
    <mergeCell ref="O49:P49"/>
    <mergeCell ref="Q49:R49"/>
    <mergeCell ref="AA49:AB49"/>
    <mergeCell ref="V68:Y68"/>
    <mergeCell ref="J1:K1"/>
    <mergeCell ref="J2:N2"/>
    <mergeCell ref="O2:P2"/>
    <mergeCell ref="Q2:R2"/>
    <mergeCell ref="S2:S3"/>
    <mergeCell ref="Z2:AA2"/>
    <mergeCell ref="J22:R22"/>
  </mergeCells>
  <conditionalFormatting sqref="P4:P18">
    <cfRule type="colorScale" priority="1">
      <colorScale>
        <cfvo type="min"/>
        <cfvo type="percentile" val="50"/>
        <cfvo type="max"/>
        <color rgb="FFEA9999"/>
        <color rgb="FFFFD666"/>
        <color rgb="FF93C47D"/>
      </colorScale>
    </cfRule>
  </conditionalFormatting>
  <conditionalFormatting sqref="Q4:Q18 Q21">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93C47D"/>
      </colorScale>
    </cfRule>
  </conditionalFormatting>
  <conditionalFormatting sqref="R4:R18">
    <cfRule type="colorScale" priority="4">
      <colorScale>
        <cfvo type="min"/>
        <cfvo type="percentile" val="50"/>
        <cfvo type="max"/>
        <color rgb="FFEA9999"/>
        <color rgb="FFFFD666"/>
        <color rgb="FF93C47D"/>
      </colorScale>
    </cfRule>
  </conditionalFormatting>
  <conditionalFormatting sqref="M4:M18">
    <cfRule type="colorScale" priority="5">
      <colorScale>
        <cfvo type="min"/>
        <cfvo type="percentile" val="50"/>
        <cfvo type="max"/>
        <color rgb="FFDD7E6B"/>
        <color rgb="FFFFD666"/>
        <color rgb="FF6AA84F"/>
      </colorScale>
    </cfRule>
  </conditionalFormatting>
  <conditionalFormatting sqref="N4:N18">
    <cfRule type="colorScale" priority="6">
      <colorScale>
        <cfvo type="min"/>
        <cfvo type="percentile" val="50"/>
        <cfvo type="max"/>
        <color rgb="FFEA9999"/>
        <color rgb="FFFFD666"/>
        <color rgb="FF6AA84F"/>
      </colorScale>
    </cfRule>
  </conditionalFormatting>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5" t="s">
        <v>49</v>
      </c>
      <c r="D1" s="6" t="s">
        <v>5</v>
      </c>
      <c r="F1" s="5"/>
      <c r="J1" s="9">
        <v>46143.0</v>
      </c>
    </row>
    <row r="2" ht="15.75" customHeight="1">
      <c r="D2" s="6" t="s">
        <v>50</v>
      </c>
      <c r="E2" s="5">
        <f t="shared" ref="E2:H2" si="1">SUM(E4:E267)</f>
        <v>25815</v>
      </c>
      <c r="F2" s="5">
        <f t="shared" si="1"/>
        <v>17689</v>
      </c>
      <c r="G2" s="5">
        <f t="shared" si="1"/>
        <v>880</v>
      </c>
      <c r="H2" s="5">
        <f t="shared" si="1"/>
        <v>1490</v>
      </c>
      <c r="J2" s="12" t="s">
        <v>54</v>
      </c>
      <c r="O2" s="13" t="s">
        <v>18</v>
      </c>
      <c r="Q2" s="13" t="s">
        <v>19</v>
      </c>
      <c r="S2" s="14" t="s">
        <v>20</v>
      </c>
      <c r="Z2" s="10" t="s">
        <v>9</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0" t="s">
        <v>25</v>
      </c>
      <c r="AA3" s="20" t="s">
        <v>37</v>
      </c>
    </row>
    <row r="4" ht="15.75" customHeight="1">
      <c r="A4" s="22" t="str">
        <f t="shared" ref="A4:A267" si="3">TEXT(C4,"dddd")</f>
        <v>viernes</v>
      </c>
      <c r="B4" s="24" t="str">
        <f t="shared" ref="B4:B267" si="4">TEXT(C4,"mmmm")</f>
        <v>mayo</v>
      </c>
      <c r="C4" s="37">
        <v>46143.0</v>
      </c>
      <c r="D4" s="26" t="s">
        <v>40</v>
      </c>
      <c r="E4" s="27">
        <v>75.0</v>
      </c>
      <c r="F4" s="27">
        <v>41.0</v>
      </c>
      <c r="G4" s="27">
        <v>7.0</v>
      </c>
      <c r="H4" s="27">
        <v>4.0</v>
      </c>
      <c r="J4" s="28" t="s">
        <v>39</v>
      </c>
      <c r="K4" s="23">
        <f t="shared" ref="K4:K18" si="5">AVERAGEIF($D$4:$D$350,J4,$E$4:$E$350)</f>
        <v>56.64705882</v>
      </c>
      <c r="L4" s="23">
        <f t="shared" ref="L4:L18" si="6">AVERAGEIF($D$4:$D$350,J4,$F$4:$F$350)</f>
        <v>34.94117647</v>
      </c>
      <c r="M4" s="23">
        <f t="shared" ref="M4:M18" si="7">AVERAGEIF($D$4:$D$350,J4,$G$4:$G$350)</f>
        <v>1.882352941</v>
      </c>
      <c r="N4" s="23">
        <f t="shared" ref="N4:N18" si="8">AVERAGEIF($D$4:$D$350,J4,$H$4:$H$350)</f>
        <v>5.058823529</v>
      </c>
      <c r="O4" s="29">
        <f t="shared" ref="O4:O18" si="9">K4/S4</f>
        <v>7.080882353</v>
      </c>
      <c r="P4" s="29">
        <f t="shared" ref="P4:P18" si="10">L4/S4</f>
        <v>4.367647059</v>
      </c>
      <c r="Q4" s="23">
        <f t="shared" ref="Q4:Q18" si="11">K4*T4</f>
        <v>283.2352941</v>
      </c>
      <c r="R4" s="23">
        <f t="shared" ref="R4:R18" si="12">L4*T4</f>
        <v>174.7058824</v>
      </c>
      <c r="S4" s="30">
        <v>8.0</v>
      </c>
      <c r="T4" s="30">
        <v>5.0</v>
      </c>
      <c r="Z4" s="23">
        <f t="shared" ref="Z4:AA4" si="2">V4/4</f>
        <v>0</v>
      </c>
      <c r="AA4" s="23">
        <f t="shared" si="2"/>
        <v>0</v>
      </c>
      <c r="AB4" s="23"/>
      <c r="AC4" s="23"/>
      <c r="AD4" s="23"/>
      <c r="AE4" s="23"/>
      <c r="AF4" s="23"/>
      <c r="AG4" s="23"/>
    </row>
    <row r="5" ht="15.75" customHeight="1">
      <c r="A5" s="22" t="str">
        <f t="shared" si="3"/>
        <v>viernes</v>
      </c>
      <c r="B5" s="24" t="str">
        <f t="shared" si="4"/>
        <v>mayo</v>
      </c>
      <c r="C5" s="37">
        <v>46143.0</v>
      </c>
      <c r="D5" s="5" t="s">
        <v>68</v>
      </c>
      <c r="E5" s="5">
        <v>63.0</v>
      </c>
      <c r="F5" s="5">
        <v>53.0</v>
      </c>
      <c r="G5" s="5">
        <v>2.0</v>
      </c>
      <c r="H5" s="5">
        <v>2.0</v>
      </c>
      <c r="J5" s="28" t="s">
        <v>40</v>
      </c>
      <c r="K5" s="23">
        <f t="shared" si="5"/>
        <v>81.625</v>
      </c>
      <c r="L5" s="23">
        <f t="shared" si="6"/>
        <v>41.0625</v>
      </c>
      <c r="M5" s="23">
        <f t="shared" si="7"/>
        <v>4.1875</v>
      </c>
      <c r="N5" s="23">
        <f t="shared" si="8"/>
        <v>8.0625</v>
      </c>
      <c r="O5" s="29">
        <f t="shared" si="9"/>
        <v>8.1625</v>
      </c>
      <c r="P5" s="29">
        <f t="shared" si="10"/>
        <v>4.10625</v>
      </c>
      <c r="Q5" s="23">
        <f t="shared" si="11"/>
        <v>326.5</v>
      </c>
      <c r="R5" s="23">
        <f t="shared" si="12"/>
        <v>164.25</v>
      </c>
      <c r="S5" s="30">
        <v>10.0</v>
      </c>
      <c r="T5" s="30">
        <v>4.0</v>
      </c>
      <c r="Z5" s="23">
        <f t="shared" ref="Z5:AA5" si="13">V5/4</f>
        <v>0</v>
      </c>
      <c r="AA5" s="23">
        <f t="shared" si="13"/>
        <v>0</v>
      </c>
      <c r="AB5" s="23"/>
      <c r="AC5" s="23"/>
      <c r="AD5" s="23"/>
      <c r="AE5" s="23"/>
      <c r="AF5" s="23"/>
      <c r="AG5" s="23"/>
    </row>
    <row r="6" ht="15.75" customHeight="1">
      <c r="A6" s="22" t="str">
        <f t="shared" si="3"/>
        <v>viernes</v>
      </c>
      <c r="B6" s="24" t="str">
        <f t="shared" si="4"/>
        <v>mayo</v>
      </c>
      <c r="C6" s="37">
        <v>46143.0</v>
      </c>
      <c r="D6" s="28" t="s">
        <v>51</v>
      </c>
      <c r="E6" s="5">
        <v>54.0</v>
      </c>
      <c r="F6" s="5">
        <v>45.0</v>
      </c>
      <c r="G6" s="5">
        <v>4.0</v>
      </c>
      <c r="H6" s="5">
        <v>4.0</v>
      </c>
      <c r="J6" s="28" t="s">
        <v>44</v>
      </c>
      <c r="K6" s="23">
        <f t="shared" si="5"/>
        <v>57.66666667</v>
      </c>
      <c r="L6" s="23">
        <f t="shared" si="6"/>
        <v>59.33333333</v>
      </c>
      <c r="M6" s="23">
        <f t="shared" si="7"/>
        <v>0</v>
      </c>
      <c r="N6" s="23">
        <f t="shared" si="8"/>
        <v>0</v>
      </c>
      <c r="O6" s="29">
        <f t="shared" si="9"/>
        <v>5.242424242</v>
      </c>
      <c r="P6" s="29">
        <f t="shared" si="10"/>
        <v>5.393939394</v>
      </c>
      <c r="Q6" s="23">
        <f t="shared" si="11"/>
        <v>230.6666667</v>
      </c>
      <c r="R6" s="23">
        <f t="shared" si="12"/>
        <v>237.3333333</v>
      </c>
      <c r="S6" s="30">
        <v>11.0</v>
      </c>
      <c r="T6" s="30">
        <v>4.0</v>
      </c>
      <c r="Z6" s="23">
        <f t="shared" ref="Z6:AA6" si="14">V6/4</f>
        <v>0</v>
      </c>
      <c r="AA6" s="23">
        <f t="shared" si="14"/>
        <v>0</v>
      </c>
      <c r="AB6" s="23"/>
      <c r="AC6" s="23"/>
      <c r="AD6" s="23"/>
      <c r="AE6" s="23"/>
      <c r="AF6" s="23"/>
      <c r="AG6" s="23"/>
    </row>
    <row r="7" ht="15.75" customHeight="1">
      <c r="A7" s="22" t="str">
        <f t="shared" si="3"/>
        <v>viernes</v>
      </c>
      <c r="B7" s="24" t="str">
        <f t="shared" si="4"/>
        <v>mayo</v>
      </c>
      <c r="C7" s="37">
        <v>46143.0</v>
      </c>
      <c r="D7" s="28" t="s">
        <v>52</v>
      </c>
      <c r="E7" s="5">
        <v>25.0</v>
      </c>
      <c r="F7" s="5">
        <v>27.0</v>
      </c>
      <c r="G7" s="5">
        <v>6.0</v>
      </c>
      <c r="H7" s="5">
        <v>3.0</v>
      </c>
      <c r="J7" s="28" t="s">
        <v>59</v>
      </c>
      <c r="K7" s="23">
        <f t="shared" si="5"/>
        <v>110.5625</v>
      </c>
      <c r="L7" s="23">
        <f t="shared" si="6"/>
        <v>98.9375</v>
      </c>
      <c r="M7" s="23">
        <f t="shared" si="7"/>
        <v>3.0625</v>
      </c>
      <c r="N7" s="23">
        <f t="shared" si="8"/>
        <v>1</v>
      </c>
      <c r="O7" s="29">
        <f t="shared" si="9"/>
        <v>10.05113636</v>
      </c>
      <c r="P7" s="29">
        <f t="shared" si="10"/>
        <v>8.994318182</v>
      </c>
      <c r="Q7" s="23">
        <f t="shared" si="11"/>
        <v>442.25</v>
      </c>
      <c r="R7" s="23">
        <f t="shared" si="12"/>
        <v>395.75</v>
      </c>
      <c r="S7" s="30">
        <v>11.0</v>
      </c>
      <c r="T7" s="30">
        <v>4.0</v>
      </c>
      <c r="Z7" s="23">
        <f t="shared" ref="Z7:AA7" si="15">V7/4</f>
        <v>0</v>
      </c>
      <c r="AA7" s="23">
        <f t="shared" si="15"/>
        <v>0</v>
      </c>
      <c r="AB7" s="23"/>
      <c r="AC7" s="23"/>
      <c r="AD7" s="23"/>
      <c r="AE7" s="23"/>
      <c r="AF7" s="23"/>
      <c r="AG7" s="23"/>
    </row>
    <row r="8" ht="15.75" customHeight="1">
      <c r="A8" s="22" t="str">
        <f t="shared" si="3"/>
        <v>viernes</v>
      </c>
      <c r="B8" s="24" t="str">
        <f t="shared" si="4"/>
        <v>mayo</v>
      </c>
      <c r="C8" s="37">
        <v>46143.0</v>
      </c>
      <c r="D8" s="28" t="s">
        <v>53</v>
      </c>
      <c r="E8" s="5">
        <v>66.0</v>
      </c>
      <c r="F8" s="5">
        <v>37.0</v>
      </c>
      <c r="G8" s="5">
        <v>2.0</v>
      </c>
      <c r="H8" s="5">
        <v>6.0</v>
      </c>
      <c r="J8" s="28" t="s">
        <v>52</v>
      </c>
      <c r="K8" s="23">
        <f t="shared" si="5"/>
        <v>69.36842105</v>
      </c>
      <c r="L8" s="23">
        <f t="shared" si="6"/>
        <v>52.68421053</v>
      </c>
      <c r="M8" s="23">
        <f t="shared" si="7"/>
        <v>3.789473684</v>
      </c>
      <c r="N8" s="23">
        <f t="shared" si="8"/>
        <v>5.315789474</v>
      </c>
      <c r="O8" s="29">
        <f t="shared" si="9"/>
        <v>6.936842105</v>
      </c>
      <c r="P8" s="29">
        <f t="shared" si="10"/>
        <v>5.268421053</v>
      </c>
      <c r="Q8" s="23">
        <f t="shared" si="11"/>
        <v>277.4736842</v>
      </c>
      <c r="R8" s="23">
        <f t="shared" si="12"/>
        <v>210.7368421</v>
      </c>
      <c r="S8" s="30">
        <v>10.0</v>
      </c>
      <c r="T8" s="30">
        <v>4.0</v>
      </c>
      <c r="Z8" s="23">
        <f t="shared" ref="Z8:AA8" si="16">V8/4</f>
        <v>0</v>
      </c>
      <c r="AA8" s="23">
        <f t="shared" si="16"/>
        <v>0</v>
      </c>
      <c r="AB8" s="23"/>
      <c r="AC8" s="23"/>
      <c r="AD8" s="23"/>
      <c r="AE8" s="23"/>
      <c r="AF8" s="23"/>
      <c r="AG8" s="23"/>
    </row>
    <row r="9" ht="15.75" customHeight="1">
      <c r="A9" s="22" t="str">
        <f t="shared" si="3"/>
        <v>viernes</v>
      </c>
      <c r="B9" s="24" t="str">
        <f t="shared" si="4"/>
        <v>mayo</v>
      </c>
      <c r="C9" s="37">
        <v>46143.0</v>
      </c>
      <c r="D9" s="28" t="s">
        <v>64</v>
      </c>
      <c r="E9" s="5">
        <v>134.0</v>
      </c>
      <c r="F9" s="5">
        <v>70.0</v>
      </c>
      <c r="G9" s="5">
        <v>9.0</v>
      </c>
      <c r="H9" s="5">
        <v>4.0</v>
      </c>
      <c r="J9" s="28" t="s">
        <v>53</v>
      </c>
      <c r="K9" s="23">
        <f t="shared" si="5"/>
        <v>98</v>
      </c>
      <c r="L9" s="23">
        <f t="shared" si="6"/>
        <v>54.73684211</v>
      </c>
      <c r="M9" s="23">
        <f t="shared" si="7"/>
        <v>3.368421053</v>
      </c>
      <c r="N9" s="23">
        <f t="shared" si="8"/>
        <v>3.105263158</v>
      </c>
      <c r="O9" s="29">
        <f t="shared" si="9"/>
        <v>9.8</v>
      </c>
      <c r="P9" s="29">
        <f t="shared" si="10"/>
        <v>5.473684211</v>
      </c>
      <c r="Q9" s="23">
        <f t="shared" si="11"/>
        <v>392</v>
      </c>
      <c r="R9" s="23">
        <f t="shared" si="12"/>
        <v>218.9473684</v>
      </c>
      <c r="S9" s="30">
        <v>10.0</v>
      </c>
      <c r="T9" s="30">
        <v>4.0</v>
      </c>
      <c r="Z9" s="23">
        <f t="shared" ref="Z9:AA9" si="17">V9/4</f>
        <v>0</v>
      </c>
      <c r="AA9" s="23">
        <f t="shared" si="17"/>
        <v>0</v>
      </c>
      <c r="AB9" s="23"/>
      <c r="AC9" s="23"/>
      <c r="AD9" s="23"/>
      <c r="AE9" s="23"/>
      <c r="AF9" s="23"/>
      <c r="AG9" s="23"/>
    </row>
    <row r="10" ht="15.75" customHeight="1">
      <c r="A10" s="22" t="str">
        <f t="shared" si="3"/>
        <v>viernes</v>
      </c>
      <c r="B10" s="24" t="str">
        <f t="shared" si="4"/>
        <v>mayo</v>
      </c>
      <c r="C10" s="37">
        <v>46143.0</v>
      </c>
      <c r="D10" s="28" t="s">
        <v>66</v>
      </c>
      <c r="E10" s="5">
        <v>139.0</v>
      </c>
      <c r="F10" s="5">
        <v>101.0</v>
      </c>
      <c r="G10" s="5">
        <v>1.0</v>
      </c>
      <c r="H10" s="5">
        <v>15.0</v>
      </c>
      <c r="J10" s="28" t="s">
        <v>60</v>
      </c>
      <c r="K10" s="23">
        <f t="shared" si="5"/>
        <v>142.75</v>
      </c>
      <c r="L10" s="23">
        <f t="shared" si="6"/>
        <v>74</v>
      </c>
      <c r="M10" s="23">
        <f t="shared" si="7"/>
        <v>5</v>
      </c>
      <c r="N10" s="23">
        <f t="shared" si="8"/>
        <v>8.083333333</v>
      </c>
      <c r="O10" s="29">
        <f t="shared" si="9"/>
        <v>14.275</v>
      </c>
      <c r="P10" s="29">
        <f t="shared" si="10"/>
        <v>7.4</v>
      </c>
      <c r="Q10" s="23">
        <f t="shared" si="11"/>
        <v>571</v>
      </c>
      <c r="R10" s="23">
        <f t="shared" si="12"/>
        <v>296</v>
      </c>
      <c r="S10" s="30">
        <v>10.0</v>
      </c>
      <c r="T10" s="30">
        <v>4.0</v>
      </c>
      <c r="Z10" s="23">
        <f t="shared" ref="Z10:AA10" si="18">V10/4</f>
        <v>0</v>
      </c>
      <c r="AA10" s="23">
        <f t="shared" si="18"/>
        <v>0</v>
      </c>
      <c r="AB10" s="23"/>
      <c r="AC10" s="23"/>
      <c r="AD10" s="23"/>
      <c r="AE10" s="23"/>
      <c r="AF10" s="23"/>
      <c r="AG10" s="23"/>
    </row>
    <row r="11" ht="15.75" customHeight="1">
      <c r="A11" s="22" t="str">
        <f t="shared" si="3"/>
        <v>sábado</v>
      </c>
      <c r="B11" s="24" t="str">
        <f t="shared" si="4"/>
        <v>mayo</v>
      </c>
      <c r="C11" s="37">
        <v>46144.0</v>
      </c>
      <c r="D11" s="28" t="s">
        <v>40</v>
      </c>
      <c r="E11" s="5">
        <v>78.0</v>
      </c>
      <c r="F11" s="5">
        <v>40.0</v>
      </c>
      <c r="G11" s="5">
        <v>3.0</v>
      </c>
      <c r="H11" s="5">
        <v>6.0</v>
      </c>
      <c r="J11" s="28" t="s">
        <v>41</v>
      </c>
      <c r="K11" s="23">
        <f t="shared" si="5"/>
        <v>82.66666667</v>
      </c>
      <c r="L11" s="23">
        <f t="shared" si="6"/>
        <v>60.8</v>
      </c>
      <c r="M11" s="23">
        <f t="shared" si="7"/>
        <v>1.466666667</v>
      </c>
      <c r="N11" s="23">
        <f t="shared" si="8"/>
        <v>3.266666667</v>
      </c>
      <c r="O11" s="29">
        <f t="shared" si="9"/>
        <v>7.515151515</v>
      </c>
      <c r="P11" s="29">
        <f t="shared" si="10"/>
        <v>5.527272727</v>
      </c>
      <c r="Q11" s="23">
        <f t="shared" si="11"/>
        <v>330.6666667</v>
      </c>
      <c r="R11" s="23">
        <f t="shared" si="12"/>
        <v>243.2</v>
      </c>
      <c r="S11" s="30">
        <v>11.0</v>
      </c>
      <c r="T11" s="30">
        <v>4.0</v>
      </c>
      <c r="Z11" s="23">
        <f t="shared" ref="Z11:AA11" si="19">V11/4</f>
        <v>0</v>
      </c>
      <c r="AA11" s="23">
        <f t="shared" si="19"/>
        <v>0</v>
      </c>
      <c r="AB11" s="23"/>
      <c r="AC11" s="23"/>
      <c r="AD11" s="23"/>
      <c r="AE11" s="23"/>
      <c r="AF11" s="23"/>
      <c r="AG11" s="23"/>
    </row>
    <row r="12" ht="15.75" customHeight="1">
      <c r="A12" s="22" t="str">
        <f t="shared" si="3"/>
        <v>sábado</v>
      </c>
      <c r="B12" s="24" t="str">
        <f t="shared" si="4"/>
        <v>mayo</v>
      </c>
      <c r="C12" s="37">
        <v>46144.0</v>
      </c>
      <c r="D12" s="5" t="s">
        <v>43</v>
      </c>
      <c r="E12" s="5">
        <v>66.0</v>
      </c>
      <c r="F12" s="5">
        <v>46.0</v>
      </c>
      <c r="G12" s="5">
        <v>2.0</v>
      </c>
      <c r="H12" s="5">
        <v>9.0</v>
      </c>
      <c r="J12" s="28" t="s">
        <v>42</v>
      </c>
      <c r="K12" s="23">
        <f t="shared" si="5"/>
        <v>101.6666667</v>
      </c>
      <c r="L12" s="23">
        <f t="shared" si="6"/>
        <v>62.26666667</v>
      </c>
      <c r="M12" s="23">
        <f t="shared" si="7"/>
        <v>2.733333333</v>
      </c>
      <c r="N12" s="23">
        <f t="shared" si="8"/>
        <v>5.266666667</v>
      </c>
      <c r="O12" s="29">
        <f t="shared" si="9"/>
        <v>10.16666667</v>
      </c>
      <c r="P12" s="29">
        <f t="shared" si="10"/>
        <v>6.226666667</v>
      </c>
      <c r="Q12" s="23">
        <f t="shared" si="11"/>
        <v>406.6666667</v>
      </c>
      <c r="R12" s="23">
        <f t="shared" si="12"/>
        <v>249.0666667</v>
      </c>
      <c r="S12" s="30">
        <v>10.0</v>
      </c>
      <c r="T12" s="30">
        <v>4.0</v>
      </c>
      <c r="Z12" s="23">
        <f t="shared" ref="Z12:AA12" si="20">V12/4</f>
        <v>0</v>
      </c>
      <c r="AA12" s="23">
        <f t="shared" si="20"/>
        <v>0</v>
      </c>
      <c r="AB12" s="23"/>
      <c r="AC12" s="23"/>
      <c r="AD12" s="23"/>
      <c r="AE12" s="23"/>
      <c r="AF12" s="23"/>
      <c r="AG12" s="23"/>
    </row>
    <row r="13" ht="15.75" customHeight="1">
      <c r="A13" s="22" t="str">
        <f t="shared" si="3"/>
        <v>sábado</v>
      </c>
      <c r="B13" s="24" t="str">
        <f t="shared" si="4"/>
        <v>mayo</v>
      </c>
      <c r="C13" s="37">
        <v>46144.0</v>
      </c>
      <c r="D13" s="28" t="s">
        <v>51</v>
      </c>
      <c r="E13" s="5">
        <v>61.0</v>
      </c>
      <c r="F13" s="5">
        <v>56.0</v>
      </c>
      <c r="G13" s="5">
        <v>2.0</v>
      </c>
      <c r="H13" s="5">
        <v>1.0</v>
      </c>
      <c r="J13" s="28" t="s">
        <v>67</v>
      </c>
      <c r="K13" s="23">
        <f t="shared" si="5"/>
        <v>85.07142857</v>
      </c>
      <c r="L13" s="23">
        <f t="shared" si="6"/>
        <v>65.64285714</v>
      </c>
      <c r="M13" s="23">
        <f t="shared" si="7"/>
        <v>4.285714286</v>
      </c>
      <c r="N13" s="23">
        <f t="shared" si="8"/>
        <v>3.928571429</v>
      </c>
      <c r="O13" s="29">
        <f t="shared" si="9"/>
        <v>8.507142857</v>
      </c>
      <c r="P13" s="29">
        <f t="shared" si="10"/>
        <v>6.564285714</v>
      </c>
      <c r="Q13" s="23">
        <f t="shared" si="11"/>
        <v>340.2857143</v>
      </c>
      <c r="R13" s="23">
        <f t="shared" si="12"/>
        <v>262.5714286</v>
      </c>
      <c r="S13" s="30">
        <v>10.0</v>
      </c>
      <c r="T13" s="30">
        <v>4.0</v>
      </c>
      <c r="Z13" s="23">
        <f t="shared" ref="Z13:AA13" si="21">V13/4</f>
        <v>0</v>
      </c>
      <c r="AA13" s="23">
        <f t="shared" si="21"/>
        <v>0</v>
      </c>
      <c r="AB13" s="23"/>
      <c r="AC13" s="23"/>
      <c r="AD13" s="23"/>
      <c r="AE13" s="23"/>
      <c r="AF13" s="23"/>
      <c r="AG13" s="23"/>
    </row>
    <row r="14" ht="15.75" customHeight="1">
      <c r="A14" s="22" t="str">
        <f t="shared" si="3"/>
        <v>sábado</v>
      </c>
      <c r="B14" s="24" t="str">
        <f t="shared" si="4"/>
        <v>mayo</v>
      </c>
      <c r="C14" s="37">
        <v>46144.0</v>
      </c>
      <c r="D14" s="28" t="s">
        <v>59</v>
      </c>
      <c r="E14" s="5">
        <v>47.0</v>
      </c>
      <c r="F14" s="5">
        <v>42.0</v>
      </c>
      <c r="G14" s="5">
        <v>0.0</v>
      </c>
      <c r="H14" s="5">
        <v>0.0</v>
      </c>
      <c r="J14" s="28" t="s">
        <v>58</v>
      </c>
      <c r="K14" s="23">
        <f t="shared" si="5"/>
        <v>84.36842105</v>
      </c>
      <c r="L14" s="23">
        <f t="shared" si="6"/>
        <v>40.94736842</v>
      </c>
      <c r="M14" s="23">
        <f t="shared" si="7"/>
        <v>3.947368421</v>
      </c>
      <c r="N14" s="23">
        <f t="shared" si="8"/>
        <v>2.684210526</v>
      </c>
      <c r="O14" s="29">
        <f t="shared" si="9"/>
        <v>10.54605263</v>
      </c>
      <c r="P14" s="29">
        <f t="shared" si="10"/>
        <v>5.118421053</v>
      </c>
      <c r="Q14" s="23">
        <f t="shared" si="11"/>
        <v>421.8421053</v>
      </c>
      <c r="R14" s="23">
        <f t="shared" si="12"/>
        <v>204.7368421</v>
      </c>
      <c r="S14" s="30">
        <v>8.0</v>
      </c>
      <c r="T14" s="30">
        <v>5.0</v>
      </c>
      <c r="Z14" s="23">
        <f t="shared" ref="Z14:AA14" si="22">V14/4</f>
        <v>0</v>
      </c>
      <c r="AA14" s="23">
        <f t="shared" si="22"/>
        <v>0</v>
      </c>
      <c r="AB14" s="23"/>
      <c r="AC14" s="23"/>
      <c r="AD14" s="23"/>
      <c r="AE14" s="23"/>
      <c r="AF14" s="23"/>
      <c r="AG14" s="23"/>
    </row>
    <row r="15" ht="15.75" customHeight="1">
      <c r="A15" s="22" t="str">
        <f t="shared" si="3"/>
        <v>sábado</v>
      </c>
      <c r="B15" s="24" t="str">
        <f t="shared" si="4"/>
        <v>mayo</v>
      </c>
      <c r="C15" s="37">
        <v>46144.0</v>
      </c>
      <c r="D15" s="28" t="s">
        <v>52</v>
      </c>
      <c r="E15" s="5">
        <v>77.0</v>
      </c>
      <c r="F15" s="5">
        <v>48.0</v>
      </c>
      <c r="G15" s="5">
        <v>2.0</v>
      </c>
      <c r="H15" s="5">
        <v>7.0</v>
      </c>
      <c r="J15" s="28" t="s">
        <v>64</v>
      </c>
      <c r="K15" s="23">
        <f t="shared" si="5"/>
        <v>153.8421053</v>
      </c>
      <c r="L15" s="23">
        <f t="shared" si="6"/>
        <v>95.78947368</v>
      </c>
      <c r="M15" s="23">
        <f t="shared" si="7"/>
        <v>5.894736842</v>
      </c>
      <c r="N15" s="23">
        <f t="shared" si="8"/>
        <v>9.736842105</v>
      </c>
      <c r="O15" s="29">
        <f t="shared" si="9"/>
        <v>19.23026316</v>
      </c>
      <c r="P15" s="29">
        <f t="shared" si="10"/>
        <v>11.97368421</v>
      </c>
      <c r="Q15" s="23">
        <f t="shared" si="11"/>
        <v>769.2105263</v>
      </c>
      <c r="R15" s="23">
        <f t="shared" si="12"/>
        <v>478.9473684</v>
      </c>
      <c r="S15" s="30">
        <v>8.0</v>
      </c>
      <c r="T15" s="30">
        <v>5.0</v>
      </c>
      <c r="Z15" s="23">
        <f t="shared" ref="Z15:AA15" si="23">V15/4</f>
        <v>0</v>
      </c>
      <c r="AA15" s="23">
        <f t="shared" si="23"/>
        <v>0</v>
      </c>
      <c r="AB15" s="23"/>
      <c r="AC15" s="23"/>
      <c r="AD15" s="23"/>
      <c r="AE15" s="23"/>
      <c r="AF15" s="23"/>
      <c r="AG15" s="23"/>
    </row>
    <row r="16" ht="15.75" customHeight="1">
      <c r="A16" s="22" t="str">
        <f t="shared" si="3"/>
        <v>sábado</v>
      </c>
      <c r="B16" s="24" t="str">
        <f t="shared" si="4"/>
        <v>mayo</v>
      </c>
      <c r="C16" s="37">
        <v>46144.0</v>
      </c>
      <c r="D16" s="28" t="s">
        <v>53</v>
      </c>
      <c r="E16" s="5">
        <v>131.0</v>
      </c>
      <c r="F16" s="5">
        <v>75.0</v>
      </c>
      <c r="G16" s="5">
        <v>2.0</v>
      </c>
      <c r="H16" s="5">
        <v>4.0</v>
      </c>
      <c r="J16" s="28" t="s">
        <v>65</v>
      </c>
      <c r="K16" s="23">
        <f t="shared" si="5"/>
        <v>90.15789474</v>
      </c>
      <c r="L16" s="23">
        <f t="shared" si="6"/>
        <v>72.15789474</v>
      </c>
      <c r="M16" s="23">
        <f t="shared" si="7"/>
        <v>3.052631579</v>
      </c>
      <c r="N16" s="23">
        <f t="shared" si="8"/>
        <v>3.578947368</v>
      </c>
      <c r="O16" s="29">
        <f t="shared" si="9"/>
        <v>11.26973684</v>
      </c>
      <c r="P16" s="29">
        <f t="shared" si="10"/>
        <v>9.019736842</v>
      </c>
      <c r="Q16" s="23">
        <f t="shared" si="11"/>
        <v>450.7894737</v>
      </c>
      <c r="R16" s="23">
        <f t="shared" si="12"/>
        <v>360.7894737</v>
      </c>
      <c r="S16" s="30">
        <v>8.0</v>
      </c>
      <c r="T16" s="30">
        <v>5.0</v>
      </c>
      <c r="Z16" s="23">
        <f t="shared" ref="Z16:AA16" si="24">V16/4</f>
        <v>0</v>
      </c>
      <c r="AA16" s="23">
        <f t="shared" si="24"/>
        <v>0</v>
      </c>
      <c r="AB16" s="23"/>
      <c r="AC16" s="23"/>
      <c r="AD16" s="23"/>
      <c r="AE16" s="23"/>
      <c r="AF16" s="23"/>
      <c r="AG16" s="23"/>
    </row>
    <row r="17" ht="15.75" customHeight="1">
      <c r="A17" s="22" t="str">
        <f t="shared" si="3"/>
        <v>sábado</v>
      </c>
      <c r="B17" s="24" t="str">
        <f t="shared" si="4"/>
        <v>mayo</v>
      </c>
      <c r="C17" s="37">
        <v>46144.0</v>
      </c>
      <c r="D17" s="28" t="s">
        <v>60</v>
      </c>
      <c r="E17" s="5">
        <v>219.0</v>
      </c>
      <c r="F17" s="5">
        <v>207.0</v>
      </c>
      <c r="G17" s="5">
        <v>1.0</v>
      </c>
      <c r="H17" s="5">
        <v>0.0</v>
      </c>
      <c r="J17" s="28" t="s">
        <v>51</v>
      </c>
      <c r="K17" s="23">
        <f t="shared" si="5"/>
        <v>120.1666667</v>
      </c>
      <c r="L17" s="23">
        <f t="shared" si="6"/>
        <v>99.11111111</v>
      </c>
      <c r="M17" s="23">
        <f t="shared" si="7"/>
        <v>5.444444444</v>
      </c>
      <c r="N17" s="23">
        <f t="shared" si="8"/>
        <v>14.88888889</v>
      </c>
      <c r="O17" s="29">
        <f t="shared" si="9"/>
        <v>10.92424242</v>
      </c>
      <c r="P17" s="29">
        <f t="shared" si="10"/>
        <v>9.01010101</v>
      </c>
      <c r="Q17" s="23">
        <f t="shared" si="11"/>
        <v>480.6666667</v>
      </c>
      <c r="R17" s="23">
        <f t="shared" si="12"/>
        <v>396.4444444</v>
      </c>
      <c r="S17" s="30">
        <v>11.0</v>
      </c>
      <c r="T17" s="30">
        <v>4.0</v>
      </c>
      <c r="Z17" s="23">
        <f t="shared" ref="Z17:AA17" si="25">V17/4</f>
        <v>0</v>
      </c>
      <c r="AA17" s="23">
        <f t="shared" si="25"/>
        <v>0</v>
      </c>
      <c r="AB17" s="23"/>
      <c r="AC17" s="23"/>
      <c r="AD17" s="23"/>
      <c r="AE17" s="23"/>
      <c r="AF17" s="23"/>
      <c r="AG17" s="23"/>
    </row>
    <row r="18" ht="15.75" customHeight="1">
      <c r="A18" s="22" t="str">
        <f t="shared" si="3"/>
        <v>domingo</v>
      </c>
      <c r="B18" s="24" t="str">
        <f t="shared" si="4"/>
        <v>mayo</v>
      </c>
      <c r="C18" s="37">
        <v>46145.0</v>
      </c>
      <c r="D18" s="28" t="s">
        <v>39</v>
      </c>
      <c r="E18" s="5">
        <v>83.0</v>
      </c>
      <c r="F18" s="5">
        <v>54.0</v>
      </c>
      <c r="G18" s="5">
        <v>2.0</v>
      </c>
      <c r="H18" s="5">
        <v>0.0</v>
      </c>
      <c r="J18" s="28" t="s">
        <v>66</v>
      </c>
      <c r="K18" s="23">
        <f t="shared" si="5"/>
        <v>124.65</v>
      </c>
      <c r="L18" s="23">
        <f t="shared" si="6"/>
        <v>108.6</v>
      </c>
      <c r="M18" s="23">
        <f t="shared" si="7"/>
        <v>0.65</v>
      </c>
      <c r="N18" s="23">
        <f t="shared" si="8"/>
        <v>7.1</v>
      </c>
      <c r="O18" s="29">
        <f t="shared" si="9"/>
        <v>15.58125</v>
      </c>
      <c r="P18" s="29">
        <f t="shared" si="10"/>
        <v>13.575</v>
      </c>
      <c r="Q18" s="23">
        <f t="shared" si="11"/>
        <v>623.25</v>
      </c>
      <c r="R18" s="23">
        <f t="shared" si="12"/>
        <v>543</v>
      </c>
      <c r="S18" s="30">
        <v>8.0</v>
      </c>
      <c r="T18" s="30">
        <v>5.0</v>
      </c>
      <c r="Z18" s="23">
        <f t="shared" ref="Z18:AA18" si="26">V18/4</f>
        <v>0</v>
      </c>
      <c r="AA18" s="23">
        <f t="shared" si="26"/>
        <v>0</v>
      </c>
      <c r="AB18" s="23"/>
      <c r="AC18" s="23"/>
      <c r="AD18" s="23"/>
      <c r="AE18" s="23"/>
      <c r="AF18" s="23"/>
      <c r="AG18" s="23"/>
    </row>
    <row r="19" ht="15.75" customHeight="1">
      <c r="A19" s="22" t="str">
        <f t="shared" si="3"/>
        <v>domingo</v>
      </c>
      <c r="B19" s="24" t="str">
        <f t="shared" si="4"/>
        <v>mayo</v>
      </c>
      <c r="C19" s="37">
        <v>46145.0</v>
      </c>
      <c r="D19" s="28" t="s">
        <v>40</v>
      </c>
      <c r="E19" s="5">
        <v>86.0</v>
      </c>
      <c r="F19" s="5">
        <v>50.0</v>
      </c>
      <c r="G19" s="5">
        <v>3.0</v>
      </c>
      <c r="H19" s="5">
        <v>14.0</v>
      </c>
      <c r="Y19" s="23"/>
      <c r="AO19" s="38"/>
    </row>
    <row r="20" ht="15.75" customHeight="1">
      <c r="A20" s="22" t="str">
        <f t="shared" si="3"/>
        <v>domingo</v>
      </c>
      <c r="B20" s="24" t="str">
        <f t="shared" si="4"/>
        <v>mayo</v>
      </c>
      <c r="C20" s="37">
        <v>46145.0</v>
      </c>
      <c r="D20" s="5" t="s">
        <v>43</v>
      </c>
      <c r="E20" s="5">
        <v>86.0</v>
      </c>
      <c r="F20" s="5">
        <v>45.0</v>
      </c>
      <c r="G20" s="5">
        <v>5.0</v>
      </c>
      <c r="H20" s="5">
        <v>2.0</v>
      </c>
      <c r="J20" s="39" t="s">
        <v>69</v>
      </c>
      <c r="K20" s="40">
        <f t="shared" ref="K20:R20" si="27">AVERAGE(K4:K18)</f>
        <v>97.28063308</v>
      </c>
      <c r="L20" s="40">
        <f t="shared" si="27"/>
        <v>68.06739561</v>
      </c>
      <c r="M20" s="40">
        <f t="shared" si="27"/>
        <v>3.25100955</v>
      </c>
      <c r="N20" s="40">
        <f t="shared" si="27"/>
        <v>5.40510021</v>
      </c>
      <c r="O20" s="39">
        <f t="shared" si="27"/>
        <v>10.35261941</v>
      </c>
      <c r="P20" s="39">
        <f t="shared" si="27"/>
        <v>7.201295208</v>
      </c>
      <c r="Q20" s="39">
        <f t="shared" si="27"/>
        <v>423.100231</v>
      </c>
      <c r="R20" s="39">
        <f t="shared" si="27"/>
        <v>295.76531</v>
      </c>
      <c r="AA20" s="23"/>
      <c r="AB20" s="23"/>
      <c r="AC20" s="23"/>
      <c r="AD20" s="23"/>
      <c r="AE20" s="23"/>
      <c r="AF20" s="23"/>
      <c r="AG20" s="23"/>
      <c r="AN20" s="38"/>
      <c r="AO20" s="38"/>
    </row>
    <row r="21" ht="15.75" customHeight="1">
      <c r="A21" s="22" t="str">
        <f t="shared" si="3"/>
        <v>domingo</v>
      </c>
      <c r="B21" s="24" t="str">
        <f t="shared" si="4"/>
        <v>mayo</v>
      </c>
      <c r="C21" s="37">
        <v>46145.0</v>
      </c>
      <c r="D21" s="28" t="s">
        <v>59</v>
      </c>
      <c r="E21" s="5">
        <v>200.0</v>
      </c>
      <c r="F21" s="5">
        <v>199.0</v>
      </c>
      <c r="G21" s="5">
        <v>2.0</v>
      </c>
      <c r="H21" s="5">
        <v>1.0</v>
      </c>
      <c r="J21" s="5" t="s">
        <v>85</v>
      </c>
      <c r="AN21" s="38"/>
      <c r="AO21" s="38"/>
    </row>
    <row r="22" ht="15.75" customHeight="1">
      <c r="A22" s="22" t="str">
        <f t="shared" si="3"/>
        <v>domingo</v>
      </c>
      <c r="B22" s="24" t="str">
        <f t="shared" si="4"/>
        <v>mayo</v>
      </c>
      <c r="C22" s="37">
        <v>46145.0</v>
      </c>
      <c r="D22" s="28" t="s">
        <v>52</v>
      </c>
      <c r="E22" s="5">
        <v>102.0</v>
      </c>
      <c r="F22" s="5">
        <v>75.0</v>
      </c>
      <c r="G22" s="5">
        <v>4.0</v>
      </c>
      <c r="H22" s="5">
        <v>8.0</v>
      </c>
      <c r="J22" s="42" t="s">
        <v>73</v>
      </c>
      <c r="AN22" s="38"/>
      <c r="AO22" s="30"/>
    </row>
    <row r="23" ht="15.75" customHeight="1">
      <c r="A23" s="22" t="str">
        <f t="shared" si="3"/>
        <v>domingo</v>
      </c>
      <c r="B23" s="24" t="str">
        <f t="shared" si="4"/>
        <v>mayo</v>
      </c>
      <c r="C23" s="37">
        <v>46145.0</v>
      </c>
      <c r="D23" s="28" t="s">
        <v>53</v>
      </c>
      <c r="E23" s="5">
        <v>109.0</v>
      </c>
      <c r="F23" s="5">
        <v>54.0</v>
      </c>
      <c r="G23" s="5">
        <v>3.0</v>
      </c>
      <c r="H23" s="5">
        <v>2.0</v>
      </c>
      <c r="K23" s="44" t="s">
        <v>74</v>
      </c>
      <c r="O23" s="45" t="s">
        <v>75</v>
      </c>
      <c r="Q23" s="45" t="s">
        <v>76</v>
      </c>
      <c r="U23" s="44" t="s">
        <v>74</v>
      </c>
      <c r="Y23" s="45" t="s">
        <v>75</v>
      </c>
      <c r="AA23" s="45" t="s">
        <v>76</v>
      </c>
      <c r="AN23" s="30"/>
      <c r="AO23" s="30"/>
    </row>
    <row r="24" ht="15.75" customHeight="1">
      <c r="A24" s="22" t="str">
        <f t="shared" si="3"/>
        <v>domingo</v>
      </c>
      <c r="B24" s="24" t="str">
        <f t="shared" si="4"/>
        <v>mayo</v>
      </c>
      <c r="C24" s="37">
        <v>46145.0</v>
      </c>
      <c r="D24" s="28" t="s">
        <v>60</v>
      </c>
      <c r="E24" s="5">
        <v>142.0</v>
      </c>
      <c r="F24" s="5">
        <v>56.0</v>
      </c>
      <c r="G24" s="5">
        <v>2.0</v>
      </c>
      <c r="H24" s="5">
        <v>2.0</v>
      </c>
      <c r="K24" s="47" t="s">
        <v>25</v>
      </c>
      <c r="L24" s="47" t="s">
        <v>26</v>
      </c>
      <c r="M24" s="48" t="s">
        <v>79</v>
      </c>
      <c r="N24" s="47" t="s">
        <v>31</v>
      </c>
      <c r="O24" s="47" t="s">
        <v>25</v>
      </c>
      <c r="P24" s="47" t="s">
        <v>26</v>
      </c>
      <c r="Q24" s="47" t="s">
        <v>25</v>
      </c>
      <c r="R24" s="47" t="s">
        <v>26</v>
      </c>
      <c r="U24" s="47" t="s">
        <v>25</v>
      </c>
      <c r="V24" s="47" t="s">
        <v>26</v>
      </c>
      <c r="W24" s="48" t="s">
        <v>79</v>
      </c>
      <c r="X24" s="47" t="s">
        <v>31</v>
      </c>
      <c r="Y24" s="47"/>
      <c r="Z24" s="47"/>
      <c r="AA24" s="47" t="s">
        <v>25</v>
      </c>
      <c r="AB24" s="47" t="s">
        <v>26</v>
      </c>
      <c r="AN24" s="30"/>
      <c r="AO24" s="30"/>
    </row>
    <row r="25" ht="15.75" customHeight="1">
      <c r="A25" s="22" t="str">
        <f t="shared" si="3"/>
        <v>lunes</v>
      </c>
      <c r="B25" s="24" t="str">
        <f t="shared" si="4"/>
        <v>mayo</v>
      </c>
      <c r="C25" s="37">
        <v>46146.0</v>
      </c>
      <c r="D25" s="28" t="s">
        <v>39</v>
      </c>
      <c r="E25" s="5">
        <v>32.0</v>
      </c>
      <c r="F25" s="5">
        <v>20.0</v>
      </c>
      <c r="G25" s="5">
        <v>0.0</v>
      </c>
      <c r="H25" s="5">
        <v>3.0</v>
      </c>
      <c r="K25" s="49" t="s">
        <v>64</v>
      </c>
      <c r="L25" s="49" t="s">
        <v>66</v>
      </c>
      <c r="M25" s="49" t="s">
        <v>64</v>
      </c>
      <c r="N25" s="49" t="s">
        <v>51</v>
      </c>
      <c r="O25" s="49" t="s">
        <v>64</v>
      </c>
      <c r="P25" s="49" t="s">
        <v>66</v>
      </c>
      <c r="Q25" s="49" t="s">
        <v>64</v>
      </c>
      <c r="R25" s="50" t="s">
        <v>66</v>
      </c>
      <c r="U25" s="49" t="s">
        <v>64</v>
      </c>
      <c r="V25" s="49" t="s">
        <v>66</v>
      </c>
      <c r="W25" s="49" t="s">
        <v>64</v>
      </c>
      <c r="X25" s="49" t="s">
        <v>51</v>
      </c>
      <c r="Y25" s="16"/>
      <c r="Z25" s="16"/>
      <c r="AA25" s="49" t="s">
        <v>64</v>
      </c>
      <c r="AB25" s="50" t="s">
        <v>66</v>
      </c>
      <c r="AN25" s="30"/>
      <c r="AO25" s="51"/>
    </row>
    <row r="26" ht="15.75" customHeight="1">
      <c r="A26" s="22" t="str">
        <f t="shared" si="3"/>
        <v>lunes</v>
      </c>
      <c r="B26" s="24" t="str">
        <f t="shared" si="4"/>
        <v>mayo</v>
      </c>
      <c r="C26" s="37">
        <v>46146.0</v>
      </c>
      <c r="D26" s="28" t="s">
        <v>41</v>
      </c>
      <c r="E26" s="5">
        <v>75.0</v>
      </c>
      <c r="F26" s="5">
        <v>52.0</v>
      </c>
      <c r="G26" s="5">
        <v>2.0</v>
      </c>
      <c r="H26" s="5">
        <v>7.0</v>
      </c>
      <c r="K26" s="49" t="s">
        <v>60</v>
      </c>
      <c r="L26" s="49" t="s">
        <v>51</v>
      </c>
      <c r="M26" s="49" t="s">
        <v>51</v>
      </c>
      <c r="N26" s="49" t="s">
        <v>64</v>
      </c>
      <c r="O26" s="49" t="s">
        <v>66</v>
      </c>
      <c r="P26" s="49" t="s">
        <v>64</v>
      </c>
      <c r="Q26" s="49" t="s">
        <v>66</v>
      </c>
      <c r="R26" s="50" t="s">
        <v>64</v>
      </c>
      <c r="U26" s="49" t="s">
        <v>66</v>
      </c>
      <c r="V26" s="49" t="s">
        <v>64</v>
      </c>
      <c r="W26" s="49" t="s">
        <v>51</v>
      </c>
      <c r="X26" s="49" t="s">
        <v>64</v>
      </c>
      <c r="Y26" s="16"/>
      <c r="Z26" s="16"/>
      <c r="AA26" s="49" t="s">
        <v>66</v>
      </c>
      <c r="AB26" s="50" t="s">
        <v>64</v>
      </c>
      <c r="AN26" s="51"/>
      <c r="AO26" s="51"/>
    </row>
    <row r="27" ht="15.75" customHeight="1">
      <c r="A27" s="22" t="str">
        <f t="shared" si="3"/>
        <v>lunes</v>
      </c>
      <c r="B27" s="24" t="str">
        <f t="shared" si="4"/>
        <v>mayo</v>
      </c>
      <c r="C27" s="37">
        <v>46146.0</v>
      </c>
      <c r="D27" s="28" t="s">
        <v>42</v>
      </c>
      <c r="E27" s="5">
        <v>70.0</v>
      </c>
      <c r="F27" s="5">
        <v>56.0</v>
      </c>
      <c r="G27" s="5">
        <v>2.0</v>
      </c>
      <c r="H27" s="5">
        <v>5.0</v>
      </c>
      <c r="K27" s="49" t="s">
        <v>51</v>
      </c>
      <c r="L27" s="49" t="s">
        <v>59</v>
      </c>
      <c r="M27" s="49" t="s">
        <v>60</v>
      </c>
      <c r="N27" s="49" t="s">
        <v>60</v>
      </c>
      <c r="O27" s="49" t="s">
        <v>60</v>
      </c>
      <c r="P27" s="49" t="s">
        <v>65</v>
      </c>
      <c r="Q27" s="49" t="s">
        <v>60</v>
      </c>
      <c r="R27" s="50" t="s">
        <v>51</v>
      </c>
      <c r="U27" s="49" t="s">
        <v>51</v>
      </c>
      <c r="V27" s="49" t="s">
        <v>51</v>
      </c>
      <c r="W27" s="49" t="s">
        <v>58</v>
      </c>
      <c r="X27" s="49" t="s">
        <v>66</v>
      </c>
      <c r="Y27" s="16"/>
      <c r="Z27" s="16"/>
      <c r="AA27" s="49" t="s">
        <v>51</v>
      </c>
      <c r="AB27" s="50" t="s">
        <v>51</v>
      </c>
    </row>
    <row r="28" ht="15.75" customHeight="1">
      <c r="A28" s="22" t="str">
        <f t="shared" si="3"/>
        <v>lunes</v>
      </c>
      <c r="B28" s="24" t="str">
        <f t="shared" si="4"/>
        <v>mayo</v>
      </c>
      <c r="C28" s="37">
        <v>46146.0</v>
      </c>
      <c r="D28" s="28" t="s">
        <v>44</v>
      </c>
      <c r="E28" s="5">
        <v>37.0</v>
      </c>
      <c r="F28" s="5">
        <v>41.0</v>
      </c>
      <c r="G28" s="5">
        <v>0.0</v>
      </c>
      <c r="H28" s="5">
        <v>0.0</v>
      </c>
      <c r="K28" s="49" t="s">
        <v>66</v>
      </c>
      <c r="L28" s="49" t="s">
        <v>64</v>
      </c>
      <c r="M28" s="49" t="s">
        <v>67</v>
      </c>
      <c r="N28" s="49" t="s">
        <v>40</v>
      </c>
      <c r="O28" s="49" t="s">
        <v>65</v>
      </c>
      <c r="P28" s="49" t="s">
        <v>51</v>
      </c>
      <c r="Q28" s="49" t="s">
        <v>51</v>
      </c>
      <c r="R28" s="50" t="s">
        <v>59</v>
      </c>
      <c r="U28" s="49" t="s">
        <v>53</v>
      </c>
      <c r="V28" s="49" t="s">
        <v>65</v>
      </c>
      <c r="W28" s="49" t="s">
        <v>52</v>
      </c>
      <c r="X28" s="49" t="s">
        <v>40</v>
      </c>
      <c r="Y28" s="16"/>
      <c r="Z28" s="16"/>
      <c r="AA28" s="49" t="s">
        <v>53</v>
      </c>
      <c r="AB28" s="50" t="s">
        <v>65</v>
      </c>
    </row>
    <row r="29" ht="15.75" customHeight="1">
      <c r="A29" s="22" t="str">
        <f t="shared" si="3"/>
        <v>lunes</v>
      </c>
      <c r="B29" s="24" t="str">
        <f t="shared" si="4"/>
        <v>mayo</v>
      </c>
      <c r="C29" s="37">
        <v>46146.0</v>
      </c>
      <c r="D29" s="5" t="s">
        <v>89</v>
      </c>
      <c r="E29" s="5">
        <v>135.0</v>
      </c>
      <c r="F29" s="5">
        <v>53.0</v>
      </c>
      <c r="G29" s="5">
        <v>0.0</v>
      </c>
      <c r="H29" s="5">
        <v>0.0</v>
      </c>
      <c r="K29" s="49" t="s">
        <v>59</v>
      </c>
      <c r="L29" s="49" t="s">
        <v>60</v>
      </c>
      <c r="M29" s="49" t="s">
        <v>40</v>
      </c>
      <c r="N29" s="49" t="s">
        <v>52</v>
      </c>
      <c r="O29" s="49" t="s">
        <v>51</v>
      </c>
      <c r="P29" s="49" t="s">
        <v>59</v>
      </c>
      <c r="Q29" s="49" t="s">
        <v>65</v>
      </c>
      <c r="R29" s="50" t="s">
        <v>65</v>
      </c>
      <c r="U29" s="49" t="s">
        <v>65</v>
      </c>
      <c r="V29" s="49" t="s">
        <v>53</v>
      </c>
      <c r="W29" s="49" t="s">
        <v>40</v>
      </c>
      <c r="X29" s="49" t="s">
        <v>52</v>
      </c>
      <c r="Y29" s="16"/>
      <c r="Z29" s="16"/>
      <c r="AA29" s="49" t="s">
        <v>65</v>
      </c>
      <c r="AB29" s="50" t="s">
        <v>53</v>
      </c>
    </row>
    <row r="30" ht="15.75" customHeight="1">
      <c r="A30" s="22" t="str">
        <f t="shared" si="3"/>
        <v>lunes</v>
      </c>
      <c r="B30" s="24" t="str">
        <f t="shared" si="4"/>
        <v>mayo</v>
      </c>
      <c r="C30" s="37">
        <v>46146.0</v>
      </c>
      <c r="D30" s="5" t="s">
        <v>90</v>
      </c>
      <c r="E30" s="5">
        <v>51.0</v>
      </c>
      <c r="F30" s="5">
        <v>30.0</v>
      </c>
      <c r="G30" s="5">
        <v>0.0</v>
      </c>
      <c r="H30" s="5">
        <v>0.0</v>
      </c>
      <c r="K30" s="52" t="s">
        <v>42</v>
      </c>
      <c r="L30" s="52" t="s">
        <v>65</v>
      </c>
      <c r="M30" s="52" t="s">
        <v>58</v>
      </c>
      <c r="N30" s="52" t="s">
        <v>42</v>
      </c>
      <c r="O30" s="52" t="s">
        <v>58</v>
      </c>
      <c r="P30" s="52" t="s">
        <v>60</v>
      </c>
      <c r="Q30" s="52" t="s">
        <v>59</v>
      </c>
      <c r="R30" s="52" t="s">
        <v>60</v>
      </c>
      <c r="U30" s="52" t="s">
        <v>60</v>
      </c>
      <c r="V30" s="52" t="s">
        <v>52</v>
      </c>
      <c r="W30" s="52" t="s">
        <v>53</v>
      </c>
      <c r="X30" s="52" t="s">
        <v>60</v>
      </c>
      <c r="Y30" s="53"/>
      <c r="Z30" s="53"/>
      <c r="AA30" s="52" t="s">
        <v>60</v>
      </c>
      <c r="AB30" s="52" t="s">
        <v>52</v>
      </c>
    </row>
    <row r="31" ht="15.75" customHeight="1">
      <c r="A31" s="22" t="str">
        <f t="shared" si="3"/>
        <v>lunes</v>
      </c>
      <c r="B31" s="24" t="str">
        <f t="shared" si="4"/>
        <v>mayo</v>
      </c>
      <c r="C31" s="37">
        <v>46146.0</v>
      </c>
      <c r="D31" s="28" t="s">
        <v>59</v>
      </c>
      <c r="E31" s="5">
        <v>71.0</v>
      </c>
      <c r="F31" s="5">
        <v>52.0</v>
      </c>
      <c r="G31" s="5">
        <v>2.0</v>
      </c>
      <c r="H31" s="5">
        <v>4.0</v>
      </c>
      <c r="K31" s="52" t="s">
        <v>53</v>
      </c>
      <c r="L31" s="52" t="s">
        <v>67</v>
      </c>
      <c r="M31" s="52" t="s">
        <v>52</v>
      </c>
      <c r="N31" s="52" t="s">
        <v>39</v>
      </c>
      <c r="O31" s="52" t="s">
        <v>42</v>
      </c>
      <c r="P31" s="52" t="s">
        <v>67</v>
      </c>
      <c r="Q31" s="52" t="s">
        <v>58</v>
      </c>
      <c r="R31" s="52" t="s">
        <v>67</v>
      </c>
      <c r="U31" s="52" t="s">
        <v>58</v>
      </c>
      <c r="V31" s="52" t="s">
        <v>42</v>
      </c>
      <c r="W31" s="52" t="s">
        <v>67</v>
      </c>
      <c r="X31" s="52" t="s">
        <v>39</v>
      </c>
      <c r="Y31" s="53"/>
      <c r="Z31" s="53"/>
      <c r="AA31" s="52" t="s">
        <v>58</v>
      </c>
      <c r="AB31" s="52" t="s">
        <v>42</v>
      </c>
    </row>
    <row r="32" ht="15.75" customHeight="1">
      <c r="A32" s="22" t="str">
        <f t="shared" si="3"/>
        <v>lunes</v>
      </c>
      <c r="B32" s="24" t="str">
        <f t="shared" si="4"/>
        <v>mayo</v>
      </c>
      <c r="C32" s="37">
        <v>46146.0</v>
      </c>
      <c r="D32" s="28" t="s">
        <v>67</v>
      </c>
      <c r="E32" s="5">
        <v>61.0</v>
      </c>
      <c r="F32" s="5">
        <v>40.0</v>
      </c>
      <c r="G32" s="5">
        <v>4.0</v>
      </c>
      <c r="H32" s="5">
        <v>10.0</v>
      </c>
      <c r="K32" s="52" t="s">
        <v>65</v>
      </c>
      <c r="L32" s="52" t="s">
        <v>42</v>
      </c>
      <c r="M32" s="52" t="s">
        <v>53</v>
      </c>
      <c r="N32" s="52" t="s">
        <v>67</v>
      </c>
      <c r="O32" s="52" t="s">
        <v>59</v>
      </c>
      <c r="P32" s="52" t="s">
        <v>42</v>
      </c>
      <c r="Q32" s="52" t="s">
        <v>42</v>
      </c>
      <c r="R32" s="52" t="s">
        <v>42</v>
      </c>
      <c r="U32" s="52" t="s">
        <v>42</v>
      </c>
      <c r="V32" s="52" t="s">
        <v>67</v>
      </c>
      <c r="W32" s="52" t="s">
        <v>60</v>
      </c>
      <c r="X32" s="52" t="s">
        <v>42</v>
      </c>
      <c r="Y32" s="53"/>
      <c r="Z32" s="53"/>
      <c r="AA32" s="52" t="s">
        <v>42</v>
      </c>
      <c r="AB32" s="52" t="s">
        <v>67</v>
      </c>
    </row>
    <row r="33" ht="15.75" customHeight="1">
      <c r="A33" s="22" t="str">
        <f t="shared" si="3"/>
        <v>lunes</v>
      </c>
      <c r="B33" s="24" t="str">
        <f t="shared" si="4"/>
        <v>mayo</v>
      </c>
      <c r="C33" s="37">
        <v>46146.0</v>
      </c>
      <c r="D33" s="5" t="s">
        <v>93</v>
      </c>
      <c r="E33" s="5">
        <v>99.0</v>
      </c>
      <c r="F33" s="5">
        <v>63.0</v>
      </c>
      <c r="G33" s="5">
        <v>0.0</v>
      </c>
      <c r="H33" s="5">
        <v>0.0</v>
      </c>
      <c r="K33" s="52" t="s">
        <v>67</v>
      </c>
      <c r="L33" s="52" t="s">
        <v>41</v>
      </c>
      <c r="M33" s="52" t="s">
        <v>59</v>
      </c>
      <c r="N33" s="52" t="s">
        <v>66</v>
      </c>
      <c r="O33" s="52" t="s">
        <v>53</v>
      </c>
      <c r="P33" s="52" t="s">
        <v>41</v>
      </c>
      <c r="Q33" s="52" t="s">
        <v>53</v>
      </c>
      <c r="R33" s="52" t="s">
        <v>41</v>
      </c>
      <c r="U33" s="52" t="s">
        <v>52</v>
      </c>
      <c r="V33" s="52" t="s">
        <v>41</v>
      </c>
      <c r="W33" s="52" t="s">
        <v>65</v>
      </c>
      <c r="X33" s="52" t="s">
        <v>65</v>
      </c>
      <c r="Y33" s="53"/>
      <c r="Z33" s="53"/>
      <c r="AA33" s="52" t="s">
        <v>52</v>
      </c>
      <c r="AB33" s="52" t="s">
        <v>41</v>
      </c>
    </row>
    <row r="34" ht="15.75" customHeight="1">
      <c r="A34" s="22" t="str">
        <f t="shared" si="3"/>
        <v>lunes</v>
      </c>
      <c r="B34" s="24" t="str">
        <f t="shared" si="4"/>
        <v>mayo</v>
      </c>
      <c r="C34" s="37">
        <v>46146.0</v>
      </c>
      <c r="D34" s="28" t="s">
        <v>58</v>
      </c>
      <c r="E34" s="5">
        <v>65.0</v>
      </c>
      <c r="F34" s="5">
        <v>33.0</v>
      </c>
      <c r="G34" s="5">
        <v>2.0</v>
      </c>
      <c r="H34" s="5">
        <v>2.0</v>
      </c>
      <c r="K34" s="52" t="s">
        <v>58</v>
      </c>
      <c r="L34" s="52" t="s">
        <v>44</v>
      </c>
      <c r="M34" s="52" t="s">
        <v>65</v>
      </c>
      <c r="N34" s="52" t="s">
        <v>65</v>
      </c>
      <c r="O34" s="52" t="s">
        <v>67</v>
      </c>
      <c r="P34" s="52" t="s">
        <v>53</v>
      </c>
      <c r="Q34" s="52" t="s">
        <v>67</v>
      </c>
      <c r="R34" s="52" t="s">
        <v>44</v>
      </c>
      <c r="U34" s="52" t="s">
        <v>40</v>
      </c>
      <c r="V34" s="52" t="s">
        <v>60</v>
      </c>
      <c r="W34" s="52" t="s">
        <v>42</v>
      </c>
      <c r="X34" s="52" t="s">
        <v>53</v>
      </c>
      <c r="Y34" s="53"/>
      <c r="Z34" s="53"/>
      <c r="AA34" s="52" t="s">
        <v>40</v>
      </c>
      <c r="AB34" s="52" t="s">
        <v>60</v>
      </c>
      <c r="AN34" s="51"/>
      <c r="AO34" s="51"/>
    </row>
    <row r="35" ht="15.75" customHeight="1">
      <c r="A35" s="22" t="str">
        <f t="shared" si="3"/>
        <v>lunes</v>
      </c>
      <c r="B35" s="24" t="str">
        <f t="shared" si="4"/>
        <v>mayo</v>
      </c>
      <c r="C35" s="37">
        <v>46146.0</v>
      </c>
      <c r="D35" s="28" t="s">
        <v>64</v>
      </c>
      <c r="E35" s="5">
        <v>133.0</v>
      </c>
      <c r="F35" s="5">
        <v>80.0</v>
      </c>
      <c r="G35" s="5">
        <v>3.0</v>
      </c>
      <c r="H35" s="5">
        <v>10.0</v>
      </c>
      <c r="K35" s="54" t="s">
        <v>41</v>
      </c>
      <c r="L35" s="54" t="s">
        <v>53</v>
      </c>
      <c r="M35" s="54" t="s">
        <v>42</v>
      </c>
      <c r="N35" s="54" t="s">
        <v>41</v>
      </c>
      <c r="O35" s="54" t="s">
        <v>40</v>
      </c>
      <c r="P35" s="54" t="s">
        <v>44</v>
      </c>
      <c r="Q35" s="54" t="s">
        <v>41</v>
      </c>
      <c r="R35" s="54" t="s">
        <v>53</v>
      </c>
      <c r="U35" s="54" t="s">
        <v>41</v>
      </c>
      <c r="V35" s="54" t="s">
        <v>58</v>
      </c>
      <c r="W35" s="54" t="s">
        <v>39</v>
      </c>
      <c r="X35" s="54" t="s">
        <v>67</v>
      </c>
      <c r="Y35" s="55"/>
      <c r="Z35" s="55"/>
      <c r="AA35" s="54" t="s">
        <v>41</v>
      </c>
      <c r="AB35" s="54" t="s">
        <v>58</v>
      </c>
      <c r="AN35" s="51"/>
    </row>
    <row r="36" ht="15.75" customHeight="1">
      <c r="A36" s="22" t="str">
        <f t="shared" si="3"/>
        <v>lunes</v>
      </c>
      <c r="B36" s="24" t="str">
        <f t="shared" si="4"/>
        <v>mayo</v>
      </c>
      <c r="C36" s="37">
        <v>46146.0</v>
      </c>
      <c r="D36" s="28" t="s">
        <v>65</v>
      </c>
      <c r="E36" s="5">
        <v>66.0</v>
      </c>
      <c r="F36" s="5">
        <v>50.0</v>
      </c>
      <c r="G36" s="5">
        <v>1.0</v>
      </c>
      <c r="H36" s="5">
        <v>4.0</v>
      </c>
      <c r="K36" s="54" t="s">
        <v>40</v>
      </c>
      <c r="L36" s="54" t="s">
        <v>52</v>
      </c>
      <c r="M36" s="54" t="s">
        <v>39</v>
      </c>
      <c r="N36" s="54" t="s">
        <v>53</v>
      </c>
      <c r="O36" s="54" t="s">
        <v>41</v>
      </c>
      <c r="P36" s="54" t="s">
        <v>52</v>
      </c>
      <c r="Q36" s="54" t="s">
        <v>40</v>
      </c>
      <c r="R36" s="54" t="s">
        <v>52</v>
      </c>
      <c r="U36" s="54" t="s">
        <v>67</v>
      </c>
      <c r="V36" s="54" t="s">
        <v>40</v>
      </c>
      <c r="W36" s="54" t="s">
        <v>41</v>
      </c>
      <c r="X36" s="54" t="s">
        <v>58</v>
      </c>
      <c r="Y36" s="55"/>
      <c r="Z36" s="55"/>
      <c r="AA36" s="54" t="s">
        <v>67</v>
      </c>
      <c r="AB36" s="54" t="s">
        <v>40</v>
      </c>
    </row>
    <row r="37" ht="15.75" customHeight="1">
      <c r="A37" s="22" t="str">
        <f t="shared" si="3"/>
        <v>lunes</v>
      </c>
      <c r="B37" s="24" t="str">
        <f t="shared" si="4"/>
        <v>mayo</v>
      </c>
      <c r="C37" s="37">
        <v>46146.0</v>
      </c>
      <c r="D37" s="28" t="s">
        <v>60</v>
      </c>
      <c r="E37" s="5">
        <v>137.0</v>
      </c>
      <c r="F37" s="5">
        <v>56.0</v>
      </c>
      <c r="G37" s="5">
        <v>4.0</v>
      </c>
      <c r="H37" s="5">
        <v>24.0</v>
      </c>
      <c r="K37" s="54" t="s">
        <v>52</v>
      </c>
      <c r="L37" s="54" t="s">
        <v>40</v>
      </c>
      <c r="M37" s="54" t="s">
        <v>41</v>
      </c>
      <c r="N37" s="54" t="s">
        <v>58</v>
      </c>
      <c r="O37" s="54" t="s">
        <v>39</v>
      </c>
      <c r="P37" s="54" t="s">
        <v>58</v>
      </c>
      <c r="Q37" s="54" t="s">
        <v>39</v>
      </c>
      <c r="R37" s="54" t="s">
        <v>58</v>
      </c>
      <c r="U37" s="54" t="s">
        <v>39</v>
      </c>
      <c r="V37" s="54" t="s">
        <v>39</v>
      </c>
      <c r="W37" s="54" t="s">
        <v>66</v>
      </c>
      <c r="X37" s="54" t="s">
        <v>41</v>
      </c>
      <c r="Y37" s="55"/>
      <c r="Z37" s="55"/>
      <c r="AA37" s="54" t="s">
        <v>39</v>
      </c>
      <c r="AB37" s="54" t="s">
        <v>39</v>
      </c>
    </row>
    <row r="38" ht="15.75" customHeight="1">
      <c r="A38" s="22" t="str">
        <f t="shared" si="3"/>
        <v>lunes</v>
      </c>
      <c r="B38" s="24" t="str">
        <f t="shared" si="4"/>
        <v>mayo</v>
      </c>
      <c r="C38" s="37">
        <v>46146.0</v>
      </c>
      <c r="D38" s="28" t="s">
        <v>66</v>
      </c>
      <c r="E38" s="5">
        <v>76.0</v>
      </c>
      <c r="F38" s="5">
        <v>65.0</v>
      </c>
      <c r="G38" s="5">
        <v>0.0</v>
      </c>
      <c r="H38" s="5">
        <v>3.0</v>
      </c>
      <c r="K38" s="54" t="s">
        <v>44</v>
      </c>
      <c r="L38" s="54" t="s">
        <v>58</v>
      </c>
      <c r="M38" s="54" t="s">
        <v>66</v>
      </c>
      <c r="N38" s="54" t="s">
        <v>59</v>
      </c>
      <c r="O38" s="54" t="s">
        <v>52</v>
      </c>
      <c r="P38" s="54" t="s">
        <v>39</v>
      </c>
      <c r="Q38" s="54" t="s">
        <v>52</v>
      </c>
      <c r="R38" s="54" t="s">
        <v>39</v>
      </c>
      <c r="U38" s="54" t="s">
        <v>44</v>
      </c>
      <c r="V38" s="54" t="s">
        <v>44</v>
      </c>
      <c r="W38" s="54" t="s">
        <v>44</v>
      </c>
      <c r="X38" s="54" t="s">
        <v>44</v>
      </c>
      <c r="Y38" s="55"/>
      <c r="Z38" s="55"/>
      <c r="AA38" s="54" t="s">
        <v>44</v>
      </c>
      <c r="AB38" s="54" t="s">
        <v>44</v>
      </c>
    </row>
    <row r="39" ht="15.75" customHeight="1">
      <c r="A39" s="22" t="str">
        <f t="shared" si="3"/>
        <v>martes</v>
      </c>
      <c r="B39" s="24" t="str">
        <f t="shared" si="4"/>
        <v>mayo</v>
      </c>
      <c r="C39" s="37">
        <v>46147.0</v>
      </c>
      <c r="D39" s="28" t="s">
        <v>39</v>
      </c>
      <c r="E39" s="5">
        <v>65.0</v>
      </c>
      <c r="F39" s="5">
        <v>40.0</v>
      </c>
      <c r="G39" s="5">
        <v>1.0</v>
      </c>
      <c r="H39" s="5">
        <v>7.0</v>
      </c>
      <c r="K39" s="54" t="s">
        <v>39</v>
      </c>
      <c r="L39" s="54" t="s">
        <v>39</v>
      </c>
      <c r="M39" s="54" t="s">
        <v>44</v>
      </c>
      <c r="N39" s="54" t="s">
        <v>44</v>
      </c>
      <c r="O39" s="54" t="s">
        <v>44</v>
      </c>
      <c r="P39" s="54" t="s">
        <v>40</v>
      </c>
      <c r="Q39" s="54" t="s">
        <v>44</v>
      </c>
      <c r="R39" s="54" t="s">
        <v>40</v>
      </c>
      <c r="U39" s="55"/>
      <c r="V39" s="55"/>
      <c r="W39" s="55"/>
      <c r="X39" s="55"/>
      <c r="Y39" s="55"/>
      <c r="Z39" s="55"/>
      <c r="AA39" s="55"/>
      <c r="AB39" s="55"/>
    </row>
    <row r="40" ht="15.75" customHeight="1">
      <c r="A40" s="22" t="str">
        <f t="shared" si="3"/>
        <v>martes</v>
      </c>
      <c r="B40" s="24" t="str">
        <f t="shared" si="4"/>
        <v>mayo</v>
      </c>
      <c r="C40" s="37">
        <v>46147.0</v>
      </c>
      <c r="D40" s="28" t="s">
        <v>41</v>
      </c>
      <c r="E40" s="5">
        <v>56.0</v>
      </c>
      <c r="F40" s="5">
        <v>37.0</v>
      </c>
      <c r="G40" s="5">
        <v>2.0</v>
      </c>
      <c r="H40" s="5">
        <v>2.0</v>
      </c>
      <c r="AM40" s="38"/>
      <c r="AO40" s="23"/>
    </row>
    <row r="41" ht="15.75" customHeight="1">
      <c r="A41" s="22" t="str">
        <f t="shared" si="3"/>
        <v>martes</v>
      </c>
      <c r="B41" s="24" t="str">
        <f t="shared" si="4"/>
        <v>mayo</v>
      </c>
      <c r="C41" s="37">
        <v>46147.0</v>
      </c>
      <c r="D41" s="28" t="s">
        <v>42</v>
      </c>
      <c r="E41" s="5">
        <v>60.0</v>
      </c>
      <c r="F41" s="5">
        <v>40.0</v>
      </c>
      <c r="G41" s="5">
        <v>4.0</v>
      </c>
      <c r="H41" s="5">
        <v>6.0</v>
      </c>
      <c r="J41" s="40" t="s">
        <v>69</v>
      </c>
      <c r="K41" s="40">
        <f t="shared" ref="K41:R41" si="28">AVERAGE(K4:K18)</f>
        <v>97.28063308</v>
      </c>
      <c r="L41" s="40">
        <f t="shared" si="28"/>
        <v>68.06739561</v>
      </c>
      <c r="M41" s="40">
        <f t="shared" si="28"/>
        <v>3.25100955</v>
      </c>
      <c r="N41" s="40">
        <f t="shared" si="28"/>
        <v>5.40510021</v>
      </c>
      <c r="O41" s="40">
        <f t="shared" si="28"/>
        <v>10.35261941</v>
      </c>
      <c r="P41" s="40">
        <f t="shared" si="28"/>
        <v>7.201295208</v>
      </c>
      <c r="Q41" s="40">
        <f t="shared" si="28"/>
        <v>423.100231</v>
      </c>
      <c r="R41" s="40">
        <f t="shared" si="28"/>
        <v>295.76531</v>
      </c>
      <c r="AM41" s="38"/>
      <c r="AN41" s="23"/>
      <c r="AO41" s="23"/>
    </row>
    <row r="42" ht="15.75" customHeight="1">
      <c r="A42" s="22" t="str">
        <f t="shared" si="3"/>
        <v>martes</v>
      </c>
      <c r="B42" s="24" t="str">
        <f t="shared" si="4"/>
        <v>mayo</v>
      </c>
      <c r="C42" s="37">
        <v>46147.0</v>
      </c>
      <c r="D42" s="28" t="s">
        <v>59</v>
      </c>
      <c r="E42" s="5">
        <v>71.0</v>
      </c>
      <c r="F42" s="5">
        <v>56.0</v>
      </c>
      <c r="G42" s="5">
        <v>1.0</v>
      </c>
      <c r="H42" s="5">
        <v>0.0</v>
      </c>
      <c r="AM42" s="38"/>
      <c r="AN42" s="23"/>
      <c r="AO42" s="23"/>
    </row>
    <row r="43" ht="15.75" customHeight="1">
      <c r="A43" s="22" t="str">
        <f t="shared" si="3"/>
        <v>martes</v>
      </c>
      <c r="B43" s="24" t="str">
        <f t="shared" si="4"/>
        <v>mayo</v>
      </c>
      <c r="C43" s="37">
        <v>46147.0</v>
      </c>
      <c r="D43" s="5" t="s">
        <v>46</v>
      </c>
      <c r="E43" s="5">
        <v>87.0</v>
      </c>
      <c r="F43" s="5">
        <v>59.0</v>
      </c>
      <c r="G43" s="5">
        <v>1.0</v>
      </c>
      <c r="H43" s="5">
        <v>2.0</v>
      </c>
      <c r="AM43" s="30"/>
      <c r="AN43" s="23"/>
      <c r="AO43" s="23"/>
    </row>
    <row r="44" ht="15.75" customHeight="1">
      <c r="A44" s="22" t="str">
        <f t="shared" si="3"/>
        <v>martes</v>
      </c>
      <c r="B44" s="24" t="str">
        <f t="shared" si="4"/>
        <v>mayo</v>
      </c>
      <c r="C44" s="37">
        <v>46147.0</v>
      </c>
      <c r="D44" s="28" t="s">
        <v>67</v>
      </c>
      <c r="E44" s="5">
        <v>60.0</v>
      </c>
      <c r="F44" s="5">
        <v>53.0</v>
      </c>
      <c r="G44" s="5">
        <v>2.0</v>
      </c>
      <c r="H44" s="5">
        <v>0.0</v>
      </c>
      <c r="AM44" s="30"/>
      <c r="AN44" s="23"/>
      <c r="AO44" s="23"/>
    </row>
    <row r="45" ht="15.75" customHeight="1">
      <c r="A45" s="22" t="str">
        <f t="shared" si="3"/>
        <v>martes</v>
      </c>
      <c r="B45" s="24" t="str">
        <f t="shared" si="4"/>
        <v>mayo</v>
      </c>
      <c r="C45" s="37">
        <v>46147.0</v>
      </c>
      <c r="D45" s="28" t="s">
        <v>58</v>
      </c>
      <c r="E45" s="5">
        <v>69.0</v>
      </c>
      <c r="F45" s="5">
        <v>24.0</v>
      </c>
      <c r="G45" s="5">
        <v>3.0</v>
      </c>
      <c r="H45" s="5">
        <v>2.0</v>
      </c>
      <c r="AM45" s="30"/>
      <c r="AN45" s="23"/>
      <c r="AO45" s="23"/>
    </row>
    <row r="46" ht="15.75" customHeight="1">
      <c r="A46" s="22" t="str">
        <f t="shared" si="3"/>
        <v>martes</v>
      </c>
      <c r="B46" s="24" t="str">
        <f t="shared" si="4"/>
        <v>mayo</v>
      </c>
      <c r="C46" s="37">
        <v>46147.0</v>
      </c>
      <c r="D46" s="28" t="s">
        <v>64</v>
      </c>
      <c r="E46" s="5">
        <v>130.0</v>
      </c>
      <c r="F46" s="5">
        <v>83.0</v>
      </c>
      <c r="G46" s="5">
        <v>3.0</v>
      </c>
      <c r="H46" s="5">
        <v>4.0</v>
      </c>
      <c r="AM46" s="51"/>
      <c r="AN46" s="23"/>
      <c r="AO46" s="23"/>
    </row>
    <row r="47" ht="15.75" customHeight="1">
      <c r="A47" s="22" t="str">
        <f t="shared" si="3"/>
        <v>martes</v>
      </c>
      <c r="B47" s="24" t="str">
        <f t="shared" si="4"/>
        <v>mayo</v>
      </c>
      <c r="C47" s="37">
        <v>46147.0</v>
      </c>
      <c r="D47" s="28" t="s">
        <v>65</v>
      </c>
      <c r="E47" s="5">
        <v>47.0</v>
      </c>
      <c r="F47" s="5">
        <v>37.0</v>
      </c>
      <c r="G47" s="5">
        <v>3.0</v>
      </c>
      <c r="H47" s="5">
        <v>0.0</v>
      </c>
      <c r="AM47" s="51"/>
      <c r="AN47" s="23"/>
      <c r="AO47" s="23"/>
    </row>
    <row r="48" ht="15.75" customHeight="1">
      <c r="A48" s="22" t="str">
        <f t="shared" si="3"/>
        <v>martes</v>
      </c>
      <c r="B48" s="24" t="str">
        <f t="shared" si="4"/>
        <v>mayo</v>
      </c>
      <c r="C48" s="37">
        <v>46147.0</v>
      </c>
      <c r="D48" s="28" t="s">
        <v>66</v>
      </c>
      <c r="E48" s="5">
        <v>81.0</v>
      </c>
      <c r="F48" s="5">
        <v>75.0</v>
      </c>
      <c r="G48" s="5">
        <v>0.0</v>
      </c>
      <c r="H48" s="5">
        <v>5.0</v>
      </c>
      <c r="AM48" s="51"/>
      <c r="AN48" s="23"/>
      <c r="AO48" s="23"/>
    </row>
    <row r="49" ht="15.75" customHeight="1">
      <c r="A49" s="22" t="str">
        <f t="shared" si="3"/>
        <v>miércoles</v>
      </c>
      <c r="B49" s="24" t="str">
        <f t="shared" si="4"/>
        <v>mayo</v>
      </c>
      <c r="C49" s="37">
        <v>46148.0</v>
      </c>
      <c r="D49" s="28" t="s">
        <v>39</v>
      </c>
      <c r="E49" s="5">
        <v>48.0</v>
      </c>
      <c r="F49" s="5">
        <v>30.0</v>
      </c>
      <c r="G49" s="5">
        <v>1.0</v>
      </c>
      <c r="H49" s="5">
        <v>14.0</v>
      </c>
      <c r="J49" s="12" t="s">
        <v>96</v>
      </c>
      <c r="O49" s="13" t="s">
        <v>18</v>
      </c>
      <c r="Q49" s="13" t="s">
        <v>19</v>
      </c>
      <c r="AA49" s="45" t="s">
        <v>76</v>
      </c>
    </row>
    <row r="50" ht="15.75" customHeight="1">
      <c r="A50" s="22" t="str">
        <f t="shared" si="3"/>
        <v>miércoles</v>
      </c>
      <c r="B50" s="24" t="str">
        <f t="shared" si="4"/>
        <v>mayo</v>
      </c>
      <c r="C50" s="37">
        <v>46148.0</v>
      </c>
      <c r="D50" s="28" t="s">
        <v>41</v>
      </c>
      <c r="E50" s="5">
        <v>68.0</v>
      </c>
      <c r="F50" s="5">
        <v>61.0</v>
      </c>
      <c r="G50" s="5">
        <v>1.0</v>
      </c>
      <c r="H50" s="5">
        <v>0.0</v>
      </c>
      <c r="J50" s="17" t="s">
        <v>29</v>
      </c>
      <c r="K50" s="17" t="s">
        <v>25</v>
      </c>
      <c r="L50" s="17" t="s">
        <v>26</v>
      </c>
      <c r="M50" s="17" t="s">
        <v>30</v>
      </c>
      <c r="N50" s="17" t="s">
        <v>31</v>
      </c>
      <c r="O50" s="18" t="s">
        <v>25</v>
      </c>
      <c r="P50" s="18" t="s">
        <v>26</v>
      </c>
      <c r="Q50" s="17" t="s">
        <v>25</v>
      </c>
      <c r="R50" s="17" t="s">
        <v>26</v>
      </c>
      <c r="U50" s="5" t="s">
        <v>24</v>
      </c>
      <c r="V50" s="47" t="s">
        <v>25</v>
      </c>
      <c r="W50" s="47" t="s">
        <v>26</v>
      </c>
      <c r="X50" s="48" t="s">
        <v>79</v>
      </c>
      <c r="Y50" s="47" t="s">
        <v>31</v>
      </c>
      <c r="Z50" s="47"/>
      <c r="AA50" s="47" t="s">
        <v>25</v>
      </c>
      <c r="AB50" s="47" t="s">
        <v>26</v>
      </c>
    </row>
    <row r="51" ht="15.75" customHeight="1">
      <c r="A51" s="22" t="str">
        <f t="shared" si="3"/>
        <v>miércoles</v>
      </c>
      <c r="B51" s="24" t="str">
        <f t="shared" si="4"/>
        <v>mayo</v>
      </c>
      <c r="C51" s="37">
        <v>46148.0</v>
      </c>
      <c r="D51" s="28" t="s">
        <v>42</v>
      </c>
      <c r="E51" s="5">
        <v>76.0</v>
      </c>
      <c r="F51" s="5">
        <v>43.0</v>
      </c>
      <c r="G51" s="5">
        <v>2.0</v>
      </c>
      <c r="H51" s="5">
        <v>5.0</v>
      </c>
      <c r="J51" s="28" t="s">
        <v>39</v>
      </c>
      <c r="K51" s="23">
        <v>56.64705882352941</v>
      </c>
      <c r="L51" s="23">
        <v>34.94117647058823</v>
      </c>
      <c r="M51" s="23">
        <v>1.8823529411764706</v>
      </c>
      <c r="N51" s="23">
        <v>5.0588235294117645</v>
      </c>
      <c r="O51" s="23">
        <v>7.080882352941177</v>
      </c>
      <c r="P51" s="23">
        <v>4.367647058823529</v>
      </c>
      <c r="Q51" s="23">
        <v>283.2352941176471</v>
      </c>
      <c r="R51" s="23">
        <v>174.70588235294116</v>
      </c>
      <c r="U51" s="28" t="s">
        <v>39</v>
      </c>
      <c r="V51" s="5">
        <v>963.0</v>
      </c>
      <c r="W51" s="5">
        <v>594.0</v>
      </c>
      <c r="X51" s="5">
        <v>32.0</v>
      </c>
      <c r="Y51" s="5">
        <v>86.0</v>
      </c>
      <c r="AA51" s="23">
        <v>240.75</v>
      </c>
      <c r="AB51" s="23">
        <v>148.5</v>
      </c>
    </row>
    <row r="52" ht="15.75" customHeight="1">
      <c r="A52" s="22" t="str">
        <f t="shared" si="3"/>
        <v>miércoles</v>
      </c>
      <c r="B52" s="24" t="str">
        <f t="shared" si="4"/>
        <v>mayo</v>
      </c>
      <c r="C52" s="37">
        <v>46148.0</v>
      </c>
      <c r="D52" s="28" t="s">
        <v>51</v>
      </c>
      <c r="E52" s="5">
        <v>110.0</v>
      </c>
      <c r="F52" s="5">
        <v>86.0</v>
      </c>
      <c r="G52" s="5">
        <v>4.0</v>
      </c>
      <c r="H52" s="5">
        <v>21.0</v>
      </c>
      <c r="J52" s="28" t="s">
        <v>40</v>
      </c>
      <c r="K52" s="23">
        <v>81.625</v>
      </c>
      <c r="L52" s="23">
        <v>41.0625</v>
      </c>
      <c r="M52" s="23">
        <v>4.1875</v>
      </c>
      <c r="N52" s="23">
        <v>8.0625</v>
      </c>
      <c r="O52" s="23">
        <v>8.1625</v>
      </c>
      <c r="P52" s="23">
        <v>4.10625</v>
      </c>
      <c r="Q52" s="23">
        <v>326.5</v>
      </c>
      <c r="R52" s="23">
        <v>164.25</v>
      </c>
      <c r="U52" s="28" t="s">
        <v>40</v>
      </c>
      <c r="V52" s="5">
        <v>1306.0</v>
      </c>
      <c r="W52" s="5">
        <v>657.0</v>
      </c>
      <c r="X52" s="5">
        <v>67.0</v>
      </c>
      <c r="Y52" s="5">
        <v>129.0</v>
      </c>
      <c r="Z52" s="53"/>
      <c r="AA52" s="23">
        <v>326.5</v>
      </c>
      <c r="AB52" s="23">
        <v>164.25</v>
      </c>
    </row>
    <row r="53" ht="15.75" customHeight="1">
      <c r="A53" s="22" t="str">
        <f t="shared" si="3"/>
        <v>miércoles</v>
      </c>
      <c r="B53" s="24" t="str">
        <f t="shared" si="4"/>
        <v>mayo</v>
      </c>
      <c r="C53" s="37">
        <v>46148.0</v>
      </c>
      <c r="D53" s="5" t="s">
        <v>46</v>
      </c>
      <c r="E53" s="5">
        <v>0.0</v>
      </c>
      <c r="F53" s="5">
        <v>0.0</v>
      </c>
      <c r="G53" s="5">
        <v>1.0</v>
      </c>
      <c r="H53" s="5">
        <v>10.0</v>
      </c>
      <c r="J53" s="28" t="s">
        <v>44</v>
      </c>
      <c r="K53" s="23">
        <v>57.666666666666664</v>
      </c>
      <c r="L53" s="23">
        <v>59.333333333333336</v>
      </c>
      <c r="M53" s="23">
        <v>0.0</v>
      </c>
      <c r="N53" s="23">
        <v>0.0</v>
      </c>
      <c r="O53" s="23">
        <v>5.242424242424242</v>
      </c>
      <c r="P53" s="23">
        <v>5.3939393939393945</v>
      </c>
      <c r="Q53" s="23">
        <v>230.66666666666666</v>
      </c>
      <c r="R53" s="23">
        <v>237.33333333333334</v>
      </c>
      <c r="U53" s="28" t="s">
        <v>41</v>
      </c>
      <c r="V53" s="5">
        <v>1240.0</v>
      </c>
      <c r="W53" s="5">
        <v>912.0</v>
      </c>
      <c r="X53" s="5">
        <v>22.0</v>
      </c>
      <c r="Y53" s="5">
        <v>49.0</v>
      </c>
      <c r="AA53" s="23">
        <v>310.0</v>
      </c>
      <c r="AB53" s="23">
        <v>228.0</v>
      </c>
    </row>
    <row r="54" ht="15.75" customHeight="1">
      <c r="A54" s="22" t="str">
        <f t="shared" si="3"/>
        <v>miércoles</v>
      </c>
      <c r="B54" s="24" t="str">
        <f t="shared" si="4"/>
        <v>mayo</v>
      </c>
      <c r="C54" s="37">
        <v>46148.0</v>
      </c>
      <c r="D54" s="28" t="s">
        <v>67</v>
      </c>
      <c r="E54" s="5">
        <v>90.0</v>
      </c>
      <c r="F54" s="5">
        <v>81.0</v>
      </c>
      <c r="G54" s="5">
        <v>12.0</v>
      </c>
      <c r="H54" s="5">
        <v>5.0</v>
      </c>
      <c r="J54" s="28" t="s">
        <v>59</v>
      </c>
      <c r="K54" s="23">
        <v>110.5625</v>
      </c>
      <c r="L54" s="23">
        <v>98.9375</v>
      </c>
      <c r="M54" s="23">
        <v>3.0625</v>
      </c>
      <c r="N54" s="23">
        <v>1.0</v>
      </c>
      <c r="O54" s="23">
        <v>10.051136363636363</v>
      </c>
      <c r="P54" s="23">
        <v>8.994318181818182</v>
      </c>
      <c r="Q54" s="23">
        <v>442.25</v>
      </c>
      <c r="R54" s="23">
        <v>395.75</v>
      </c>
      <c r="U54" s="28" t="s">
        <v>42</v>
      </c>
      <c r="V54" s="5">
        <v>1525.0</v>
      </c>
      <c r="W54" s="5">
        <v>934.0</v>
      </c>
      <c r="X54" s="5">
        <v>41.0</v>
      </c>
      <c r="Y54" s="5">
        <v>79.0</v>
      </c>
      <c r="Z54" s="53"/>
      <c r="AA54" s="23">
        <v>381.25</v>
      </c>
      <c r="AB54" s="23">
        <v>233.5</v>
      </c>
    </row>
    <row r="55" ht="15.75" customHeight="1">
      <c r="A55" s="22" t="str">
        <f t="shared" si="3"/>
        <v>miércoles</v>
      </c>
      <c r="B55" s="24" t="str">
        <f t="shared" si="4"/>
        <v>mayo</v>
      </c>
      <c r="C55" s="37">
        <v>46148.0</v>
      </c>
      <c r="D55" s="28" t="s">
        <v>58</v>
      </c>
      <c r="E55" s="5">
        <v>83.0</v>
      </c>
      <c r="F55" s="5">
        <v>36.0</v>
      </c>
      <c r="G55" s="5">
        <v>4.0</v>
      </c>
      <c r="H55" s="5">
        <v>4.0</v>
      </c>
      <c r="J55" s="28" t="s">
        <v>52</v>
      </c>
      <c r="K55" s="23">
        <v>69.36842105263158</v>
      </c>
      <c r="L55" s="23">
        <v>52.68421052631579</v>
      </c>
      <c r="M55" s="23">
        <v>3.789473684210526</v>
      </c>
      <c r="N55" s="23">
        <v>5.315789473684211</v>
      </c>
      <c r="O55" s="23">
        <v>6.936842105263158</v>
      </c>
      <c r="P55" s="23">
        <v>5.268421052631579</v>
      </c>
      <c r="Q55" s="23">
        <v>277.4736842105263</v>
      </c>
      <c r="R55" s="23">
        <v>210.73684210526315</v>
      </c>
      <c r="U55" s="28" t="s">
        <v>44</v>
      </c>
      <c r="V55" s="5">
        <v>173.0</v>
      </c>
      <c r="W55" s="5">
        <v>178.0</v>
      </c>
      <c r="X55" s="5">
        <v>0.0</v>
      </c>
      <c r="Y55" s="5">
        <v>0.0</v>
      </c>
      <c r="Z55" s="53"/>
      <c r="AA55" s="23">
        <v>43.25</v>
      </c>
      <c r="AB55" s="23">
        <v>44.5</v>
      </c>
    </row>
    <row r="56" ht="15.75" customHeight="1">
      <c r="A56" s="22" t="str">
        <f t="shared" si="3"/>
        <v>miércoles</v>
      </c>
      <c r="B56" s="24" t="str">
        <f t="shared" si="4"/>
        <v>mayo</v>
      </c>
      <c r="C56" s="37">
        <v>46148.0</v>
      </c>
      <c r="D56" s="28" t="s">
        <v>64</v>
      </c>
      <c r="E56" s="5">
        <v>104.0</v>
      </c>
      <c r="F56" s="5">
        <v>57.0</v>
      </c>
      <c r="G56" s="5">
        <v>7.0</v>
      </c>
      <c r="H56" s="5">
        <v>4.0</v>
      </c>
      <c r="J56" s="28" t="s">
        <v>53</v>
      </c>
      <c r="K56" s="23">
        <v>98.0</v>
      </c>
      <c r="L56" s="23">
        <v>54.73684210526316</v>
      </c>
      <c r="M56" s="23">
        <v>3.3684210526315788</v>
      </c>
      <c r="N56" s="23">
        <v>3.1052631578947367</v>
      </c>
      <c r="O56" s="23">
        <v>9.8</v>
      </c>
      <c r="P56" s="23">
        <v>5.473684210526316</v>
      </c>
      <c r="Q56" s="23">
        <v>392.0</v>
      </c>
      <c r="R56" s="23">
        <v>218.94736842105263</v>
      </c>
      <c r="U56" s="28" t="s">
        <v>51</v>
      </c>
      <c r="V56" s="5">
        <v>2163.0</v>
      </c>
      <c r="W56" s="5">
        <v>1784.0</v>
      </c>
      <c r="X56" s="5">
        <v>98.0</v>
      </c>
      <c r="Y56" s="5">
        <v>268.0</v>
      </c>
      <c r="AA56" s="23">
        <v>540.75</v>
      </c>
      <c r="AB56" s="23">
        <v>446.0</v>
      </c>
    </row>
    <row r="57" ht="15.75" customHeight="1">
      <c r="A57" s="22" t="str">
        <f t="shared" si="3"/>
        <v>miércoles</v>
      </c>
      <c r="B57" s="24" t="str">
        <f t="shared" si="4"/>
        <v>mayo</v>
      </c>
      <c r="C57" s="37">
        <v>46148.0</v>
      </c>
      <c r="D57" s="28" t="s">
        <v>65</v>
      </c>
      <c r="E57" s="5">
        <v>38.0</v>
      </c>
      <c r="F57" s="5">
        <v>32.0</v>
      </c>
      <c r="G57" s="5">
        <v>1.0</v>
      </c>
      <c r="H57" s="5">
        <v>2.0</v>
      </c>
      <c r="J57" s="28" t="s">
        <v>60</v>
      </c>
      <c r="K57" s="23">
        <v>142.75</v>
      </c>
      <c r="L57" s="23">
        <v>74.0</v>
      </c>
      <c r="M57" s="23">
        <v>5.0</v>
      </c>
      <c r="N57" s="23">
        <v>8.083333333333334</v>
      </c>
      <c r="O57" s="23">
        <v>14.275</v>
      </c>
      <c r="P57" s="23">
        <v>7.4</v>
      </c>
      <c r="Q57" s="23">
        <v>571.0</v>
      </c>
      <c r="R57" s="23">
        <v>296.0</v>
      </c>
      <c r="U57" s="28" t="s">
        <v>67</v>
      </c>
      <c r="V57" s="5">
        <v>1191.0</v>
      </c>
      <c r="W57" s="5">
        <v>919.0</v>
      </c>
      <c r="X57" s="5">
        <v>60.0</v>
      </c>
      <c r="Y57" s="5">
        <v>55.0</v>
      </c>
      <c r="AA57" s="23">
        <v>297.75</v>
      </c>
      <c r="AB57" s="23">
        <v>229.75</v>
      </c>
    </row>
    <row r="58" ht="15.75" customHeight="1">
      <c r="A58" s="22" t="str">
        <f t="shared" si="3"/>
        <v>miércoles</v>
      </c>
      <c r="B58" s="24" t="str">
        <f t="shared" si="4"/>
        <v>mayo</v>
      </c>
      <c r="C58" s="37">
        <v>46148.0</v>
      </c>
      <c r="D58" s="28" t="s">
        <v>66</v>
      </c>
      <c r="E58" s="5">
        <v>107.0</v>
      </c>
      <c r="F58" s="5">
        <v>104.0</v>
      </c>
      <c r="G58" s="5">
        <v>1.0</v>
      </c>
      <c r="H58" s="5">
        <v>3.0</v>
      </c>
      <c r="J58" s="28" t="s">
        <v>41</v>
      </c>
      <c r="K58" s="23">
        <v>82.66666666666667</v>
      </c>
      <c r="L58" s="23">
        <v>60.8</v>
      </c>
      <c r="M58" s="23">
        <v>1.4666666666666666</v>
      </c>
      <c r="N58" s="23">
        <v>3.2666666666666666</v>
      </c>
      <c r="O58" s="23">
        <v>7.515151515151516</v>
      </c>
      <c r="P58" s="23">
        <v>5.527272727272727</v>
      </c>
      <c r="Q58" s="23">
        <v>330.6666666666667</v>
      </c>
      <c r="R58" s="23">
        <v>243.2</v>
      </c>
      <c r="U58" s="28" t="s">
        <v>58</v>
      </c>
      <c r="V58" s="5">
        <v>1603.0</v>
      </c>
      <c r="W58" s="5">
        <v>778.0</v>
      </c>
      <c r="X58" s="5">
        <v>75.0</v>
      </c>
      <c r="Y58" s="5">
        <v>51.0</v>
      </c>
      <c r="AA58" s="23">
        <v>400.75</v>
      </c>
      <c r="AB58" s="23">
        <v>194.5</v>
      </c>
    </row>
    <row r="59" ht="15.75" customHeight="1">
      <c r="A59" s="22" t="str">
        <f t="shared" si="3"/>
        <v>jueves</v>
      </c>
      <c r="B59" s="24" t="str">
        <f t="shared" si="4"/>
        <v>mayo</v>
      </c>
      <c r="C59" s="37">
        <v>46149.0</v>
      </c>
      <c r="D59" s="28" t="s">
        <v>40</v>
      </c>
      <c r="E59" s="5">
        <v>65.0</v>
      </c>
      <c r="F59" s="5">
        <v>32.0</v>
      </c>
      <c r="G59" s="5">
        <v>1.0</v>
      </c>
      <c r="H59" s="5">
        <v>3.0</v>
      </c>
      <c r="J59" s="28" t="s">
        <v>42</v>
      </c>
      <c r="K59" s="23">
        <v>101.66666666666667</v>
      </c>
      <c r="L59" s="23">
        <v>62.266666666666666</v>
      </c>
      <c r="M59" s="23">
        <v>2.7333333333333334</v>
      </c>
      <c r="N59" s="23">
        <v>5.266666666666667</v>
      </c>
      <c r="O59" s="23">
        <v>10.166666666666668</v>
      </c>
      <c r="P59" s="23">
        <v>6.226666666666667</v>
      </c>
      <c r="Q59" s="23">
        <v>406.6666666666667</v>
      </c>
      <c r="R59" s="23">
        <v>249.06666666666666</v>
      </c>
      <c r="U59" s="28" t="s">
        <v>52</v>
      </c>
      <c r="V59" s="5">
        <v>1318.0</v>
      </c>
      <c r="W59" s="5">
        <v>1001.0</v>
      </c>
      <c r="X59" s="5">
        <v>72.0</v>
      </c>
      <c r="Y59" s="5">
        <v>101.0</v>
      </c>
      <c r="AA59" s="23">
        <v>329.5</v>
      </c>
      <c r="AB59" s="23">
        <v>250.25</v>
      </c>
    </row>
    <row r="60" ht="15.75" customHeight="1">
      <c r="A60" s="22" t="str">
        <f t="shared" si="3"/>
        <v>jueves</v>
      </c>
      <c r="B60" s="24" t="str">
        <f t="shared" si="4"/>
        <v>mayo</v>
      </c>
      <c r="C60" s="37">
        <v>46149.0</v>
      </c>
      <c r="D60" s="28" t="s">
        <v>41</v>
      </c>
      <c r="E60" s="5">
        <v>61.0</v>
      </c>
      <c r="F60" s="5">
        <v>44.0</v>
      </c>
      <c r="G60" s="5">
        <v>0.0</v>
      </c>
      <c r="H60" s="5">
        <v>0.0</v>
      </c>
      <c r="J60" s="28" t="s">
        <v>67</v>
      </c>
      <c r="K60" s="23">
        <v>85.07142857142857</v>
      </c>
      <c r="L60" s="23">
        <v>65.64285714285714</v>
      </c>
      <c r="M60" s="23">
        <v>4.285714285714286</v>
      </c>
      <c r="N60" s="23">
        <v>3.9285714285714284</v>
      </c>
      <c r="O60" s="23">
        <v>8.507142857142856</v>
      </c>
      <c r="P60" s="23">
        <v>6.564285714285714</v>
      </c>
      <c r="Q60" s="23">
        <v>340.2857142857143</v>
      </c>
      <c r="R60" s="23">
        <v>262.57142857142856</v>
      </c>
      <c r="U60" s="28" t="s">
        <v>53</v>
      </c>
      <c r="V60" s="5">
        <v>1862.0</v>
      </c>
      <c r="W60" s="5">
        <v>1040.0</v>
      </c>
      <c r="X60" s="5">
        <v>64.0</v>
      </c>
      <c r="Y60" s="5">
        <v>59.0</v>
      </c>
      <c r="Z60" s="55"/>
      <c r="AA60" s="23">
        <v>465.5</v>
      </c>
      <c r="AB60" s="23">
        <v>260.0</v>
      </c>
      <c r="AC60" s="30"/>
      <c r="AF60" s="53"/>
      <c r="AG60" s="53"/>
      <c r="AH60" s="53"/>
      <c r="AI60" s="53"/>
      <c r="AJ60" s="53"/>
      <c r="AK60" s="53"/>
      <c r="AL60" s="53"/>
      <c r="AM60" s="30"/>
    </row>
    <row r="61" ht="15.75" customHeight="1">
      <c r="A61" s="22" t="str">
        <f t="shared" si="3"/>
        <v>jueves</v>
      </c>
      <c r="B61" s="24" t="str">
        <f t="shared" si="4"/>
        <v>mayo</v>
      </c>
      <c r="C61" s="37">
        <v>46149.0</v>
      </c>
      <c r="D61" s="28" t="s">
        <v>42</v>
      </c>
      <c r="E61" s="5">
        <v>66.0</v>
      </c>
      <c r="F61" s="5">
        <v>31.0</v>
      </c>
      <c r="G61" s="5">
        <v>3.0</v>
      </c>
      <c r="H61" s="5">
        <v>7.0</v>
      </c>
      <c r="J61" s="28" t="s">
        <v>58</v>
      </c>
      <c r="K61" s="23">
        <v>84.36842105263158</v>
      </c>
      <c r="L61" s="23">
        <v>40.94736842105263</v>
      </c>
      <c r="M61" s="23">
        <v>3.9473684210526314</v>
      </c>
      <c r="N61" s="23">
        <v>2.6842105263157894</v>
      </c>
      <c r="O61" s="23">
        <v>10.546052631578947</v>
      </c>
      <c r="P61" s="23">
        <v>5.118421052631579</v>
      </c>
      <c r="Q61" s="23">
        <v>421.84210526315786</v>
      </c>
      <c r="R61" s="23">
        <v>204.73684210526315</v>
      </c>
      <c r="U61" s="28" t="s">
        <v>64</v>
      </c>
      <c r="V61" s="5">
        <v>2923.0</v>
      </c>
      <c r="W61" s="5">
        <v>1820.0</v>
      </c>
      <c r="X61" s="5">
        <v>112.0</v>
      </c>
      <c r="Y61" s="5">
        <v>185.0</v>
      </c>
      <c r="AA61" s="23">
        <v>730.75</v>
      </c>
      <c r="AB61" s="23">
        <v>455.0</v>
      </c>
      <c r="AC61" s="30"/>
      <c r="AF61" s="53"/>
      <c r="AG61" s="53"/>
      <c r="AH61" s="53"/>
      <c r="AI61" s="53"/>
      <c r="AJ61" s="53"/>
      <c r="AK61" s="53"/>
      <c r="AL61" s="53"/>
      <c r="AM61" s="30"/>
    </row>
    <row r="62" ht="15.75" customHeight="1">
      <c r="A62" s="22" t="str">
        <f t="shared" si="3"/>
        <v>jueves</v>
      </c>
      <c r="B62" s="24" t="str">
        <f t="shared" si="4"/>
        <v>mayo</v>
      </c>
      <c r="C62" s="37">
        <v>46149.0</v>
      </c>
      <c r="D62" s="28" t="s">
        <v>51</v>
      </c>
      <c r="E62" s="5">
        <v>79.0</v>
      </c>
      <c r="F62" s="5">
        <v>75.0</v>
      </c>
      <c r="G62" s="5">
        <v>2.0</v>
      </c>
      <c r="H62" s="5">
        <v>8.0</v>
      </c>
      <c r="J62" s="28" t="s">
        <v>64</v>
      </c>
      <c r="K62" s="23">
        <v>153.8421052631579</v>
      </c>
      <c r="L62" s="23">
        <v>95.78947368421052</v>
      </c>
      <c r="M62" s="23">
        <v>5.894736842105263</v>
      </c>
      <c r="N62" s="23">
        <v>9.736842105263158</v>
      </c>
      <c r="O62" s="23">
        <v>19.230263157894736</v>
      </c>
      <c r="P62" s="23">
        <v>11.973684210526315</v>
      </c>
      <c r="Q62" s="23">
        <v>769.2105263157895</v>
      </c>
      <c r="R62" s="23">
        <v>478.9473684210526</v>
      </c>
      <c r="U62" s="28" t="s">
        <v>65</v>
      </c>
      <c r="V62" s="5">
        <v>1713.0</v>
      </c>
      <c r="W62" s="5">
        <v>1371.0</v>
      </c>
      <c r="X62" s="5">
        <v>58.0</v>
      </c>
      <c r="Y62" s="5">
        <v>68.0</v>
      </c>
      <c r="AA62" s="23">
        <v>428.25</v>
      </c>
      <c r="AB62" s="23">
        <v>342.75</v>
      </c>
      <c r="AC62" s="30"/>
      <c r="AF62" s="55"/>
      <c r="AG62" s="55"/>
      <c r="AH62" s="55"/>
      <c r="AI62" s="55"/>
      <c r="AJ62" s="55"/>
      <c r="AK62" s="55"/>
      <c r="AL62" s="55"/>
      <c r="AM62" s="51"/>
    </row>
    <row r="63" ht="15.75" customHeight="1">
      <c r="A63" s="22" t="str">
        <f t="shared" si="3"/>
        <v>jueves</v>
      </c>
      <c r="B63" s="24" t="str">
        <f t="shared" si="4"/>
        <v>mayo</v>
      </c>
      <c r="C63" s="37">
        <v>46149.0</v>
      </c>
      <c r="D63" s="28" t="s">
        <v>67</v>
      </c>
      <c r="E63" s="5">
        <v>65.0</v>
      </c>
      <c r="F63" s="5">
        <v>46.0</v>
      </c>
      <c r="G63" s="5">
        <v>0.0</v>
      </c>
      <c r="H63" s="5">
        <v>0.0</v>
      </c>
      <c r="J63" s="28" t="s">
        <v>65</v>
      </c>
      <c r="K63" s="23">
        <v>90.15789473684211</v>
      </c>
      <c r="L63" s="23">
        <v>72.15789473684211</v>
      </c>
      <c r="M63" s="23">
        <v>3.0526315789473686</v>
      </c>
      <c r="N63" s="23">
        <v>3.5789473684210527</v>
      </c>
      <c r="O63" s="23">
        <v>11.269736842105264</v>
      </c>
      <c r="P63" s="23">
        <v>9.019736842105264</v>
      </c>
      <c r="Q63" s="23">
        <v>450.7894736842105</v>
      </c>
      <c r="R63" s="23">
        <v>360.7894736842105</v>
      </c>
      <c r="U63" s="28" t="s">
        <v>60</v>
      </c>
      <c r="V63" s="5">
        <v>1713.0</v>
      </c>
      <c r="W63" s="5">
        <v>888.0</v>
      </c>
      <c r="X63" s="5">
        <v>60.0</v>
      </c>
      <c r="Y63" s="5">
        <v>97.0</v>
      </c>
      <c r="AA63" s="23">
        <v>428.25</v>
      </c>
      <c r="AB63" s="23">
        <v>222.0</v>
      </c>
      <c r="AC63" s="51"/>
      <c r="AF63" s="55"/>
      <c r="AG63" s="55"/>
      <c r="AH63" s="55"/>
      <c r="AI63" s="55"/>
      <c r="AJ63" s="55"/>
      <c r="AK63" s="55"/>
      <c r="AL63" s="55"/>
      <c r="AM63" s="51"/>
    </row>
    <row r="64" ht="15.75" customHeight="1">
      <c r="A64" s="22" t="str">
        <f t="shared" si="3"/>
        <v>jueves</v>
      </c>
      <c r="B64" s="24" t="str">
        <f t="shared" si="4"/>
        <v>mayo</v>
      </c>
      <c r="C64" s="37">
        <v>46149.0</v>
      </c>
      <c r="D64" s="28" t="s">
        <v>58</v>
      </c>
      <c r="E64" s="5">
        <v>83.0</v>
      </c>
      <c r="F64" s="5">
        <v>22.0</v>
      </c>
      <c r="G64" s="5">
        <v>1.0</v>
      </c>
      <c r="H64" s="5">
        <v>4.0</v>
      </c>
      <c r="J64" s="28" t="s">
        <v>51</v>
      </c>
      <c r="K64" s="23">
        <v>120.16666666666667</v>
      </c>
      <c r="L64" s="23">
        <v>99.11111111111111</v>
      </c>
      <c r="M64" s="23">
        <v>5.444444444444445</v>
      </c>
      <c r="N64" s="23">
        <v>14.88888888888889</v>
      </c>
      <c r="O64" s="23">
        <v>10.924242424242424</v>
      </c>
      <c r="P64" s="23">
        <v>9.01010101010101</v>
      </c>
      <c r="Q64" s="23">
        <v>480.6666666666667</v>
      </c>
      <c r="R64" s="23">
        <v>396.44444444444446</v>
      </c>
      <c r="U64" s="28" t="s">
        <v>66</v>
      </c>
      <c r="V64" s="5">
        <v>2493.0</v>
      </c>
      <c r="W64" s="5">
        <v>2172.0</v>
      </c>
      <c r="X64" s="5">
        <v>13.0</v>
      </c>
      <c r="Y64" s="5">
        <v>142.0</v>
      </c>
      <c r="AA64" s="23">
        <v>623.25</v>
      </c>
      <c r="AB64" s="23">
        <v>543.0</v>
      </c>
    </row>
    <row r="65" ht="15.75" customHeight="1">
      <c r="A65" s="22" t="str">
        <f t="shared" si="3"/>
        <v>jueves</v>
      </c>
      <c r="B65" s="24" t="str">
        <f t="shared" si="4"/>
        <v>mayo</v>
      </c>
      <c r="C65" s="37">
        <v>46149.0</v>
      </c>
      <c r="D65" s="28" t="s">
        <v>52</v>
      </c>
      <c r="E65" s="5">
        <v>33.0</v>
      </c>
      <c r="F65" s="5">
        <v>27.0</v>
      </c>
      <c r="G65" s="5">
        <v>1.0</v>
      </c>
      <c r="H65" s="5">
        <v>3.0</v>
      </c>
      <c r="J65" s="28" t="s">
        <v>66</v>
      </c>
      <c r="K65" s="23">
        <v>114.53333333333333</v>
      </c>
      <c r="L65" s="23">
        <v>103.4</v>
      </c>
      <c r="M65" s="23">
        <v>0.6666666666666666</v>
      </c>
      <c r="N65" s="23">
        <v>3.7333333333333334</v>
      </c>
      <c r="O65" s="23">
        <v>14.316666666666666</v>
      </c>
      <c r="P65" s="23">
        <v>12.925</v>
      </c>
      <c r="Q65" s="23">
        <v>572.6666666666666</v>
      </c>
      <c r="R65" s="23">
        <v>517.0</v>
      </c>
      <c r="V65" s="55"/>
      <c r="W65" s="55"/>
      <c r="X65" s="55"/>
      <c r="Y65" s="55"/>
      <c r="AA65" s="23"/>
      <c r="AB65" s="23"/>
    </row>
    <row r="66" ht="15.75" customHeight="1">
      <c r="A66" s="22" t="str">
        <f t="shared" si="3"/>
        <v>jueves</v>
      </c>
      <c r="B66" s="24" t="str">
        <f t="shared" si="4"/>
        <v>mayo</v>
      </c>
      <c r="C66" s="37">
        <v>46149.0</v>
      </c>
      <c r="D66" s="28" t="s">
        <v>53</v>
      </c>
      <c r="E66" s="5">
        <v>75.0</v>
      </c>
      <c r="F66" s="5">
        <v>58.0</v>
      </c>
      <c r="G66" s="5">
        <v>0.0</v>
      </c>
      <c r="H66" s="5">
        <v>2.0</v>
      </c>
      <c r="V66" s="57"/>
      <c r="W66" s="57"/>
      <c r="X66" s="57"/>
      <c r="Y66" s="57"/>
    </row>
    <row r="67" ht="15.75" customHeight="1">
      <c r="A67" s="22" t="str">
        <f t="shared" si="3"/>
        <v>jueves</v>
      </c>
      <c r="B67" s="24" t="str">
        <f t="shared" si="4"/>
        <v>mayo</v>
      </c>
      <c r="C67" s="37">
        <v>46149.0</v>
      </c>
      <c r="D67" s="28" t="s">
        <v>64</v>
      </c>
      <c r="E67" s="5">
        <v>91.0</v>
      </c>
      <c r="F67" s="5">
        <v>50.0</v>
      </c>
      <c r="G67" s="5">
        <v>0.0</v>
      </c>
      <c r="H67" s="5">
        <v>9.0</v>
      </c>
      <c r="J67" s="5" t="s">
        <v>99</v>
      </c>
    </row>
    <row r="68" ht="15.75" customHeight="1">
      <c r="A68" s="22" t="str">
        <f t="shared" si="3"/>
        <v>jueves</v>
      </c>
      <c r="B68" s="24" t="str">
        <f t="shared" si="4"/>
        <v>mayo</v>
      </c>
      <c r="C68" s="37">
        <v>46149.0</v>
      </c>
      <c r="D68" s="28" t="s">
        <v>65</v>
      </c>
      <c r="E68" s="5">
        <v>53.0</v>
      </c>
      <c r="F68" s="5">
        <v>37.0</v>
      </c>
      <c r="G68" s="5">
        <v>3.0</v>
      </c>
      <c r="H68" s="5">
        <v>1.0</v>
      </c>
      <c r="V68" s="44"/>
    </row>
    <row r="69" ht="15.75" customHeight="1">
      <c r="A69" s="22" t="str">
        <f t="shared" si="3"/>
        <v>jueves</v>
      </c>
      <c r="B69" s="24" t="str">
        <f t="shared" si="4"/>
        <v>mayo</v>
      </c>
      <c r="C69" s="37">
        <v>46149.0</v>
      </c>
      <c r="D69" s="28" t="s">
        <v>66</v>
      </c>
      <c r="E69" s="5">
        <v>78.0</v>
      </c>
      <c r="F69" s="5">
        <v>69.0</v>
      </c>
      <c r="G69" s="5">
        <v>0.0</v>
      </c>
      <c r="H69" s="5">
        <v>2.0</v>
      </c>
      <c r="V69" s="47"/>
      <c r="W69" s="47"/>
      <c r="X69" s="48"/>
      <c r="Y69" s="47"/>
    </row>
    <row r="70" ht="15.75" customHeight="1">
      <c r="A70" s="22" t="str">
        <f t="shared" si="3"/>
        <v>viernes</v>
      </c>
      <c r="B70" s="24" t="str">
        <f t="shared" si="4"/>
        <v>mayo</v>
      </c>
      <c r="C70" s="37">
        <v>46150.0</v>
      </c>
      <c r="D70" s="28" t="s">
        <v>40</v>
      </c>
      <c r="E70" s="5">
        <v>46.0</v>
      </c>
      <c r="F70" s="5">
        <v>32.0</v>
      </c>
      <c r="G70" s="5">
        <v>3.0</v>
      </c>
      <c r="H70" s="5">
        <v>3.0</v>
      </c>
      <c r="V70" s="23"/>
      <c r="W70" s="23"/>
      <c r="X70" s="23"/>
      <c r="Y70" s="23"/>
    </row>
    <row r="71" ht="15.75" customHeight="1">
      <c r="A71" s="22" t="str">
        <f t="shared" si="3"/>
        <v>viernes</v>
      </c>
      <c r="B71" s="24" t="str">
        <f t="shared" si="4"/>
        <v>mayo</v>
      </c>
      <c r="C71" s="37">
        <v>46150.0</v>
      </c>
      <c r="D71" s="28" t="s">
        <v>51</v>
      </c>
      <c r="E71" s="5">
        <v>57.0</v>
      </c>
      <c r="F71" s="5">
        <v>36.0</v>
      </c>
      <c r="G71" s="5">
        <v>7.0</v>
      </c>
      <c r="H71" s="5">
        <v>15.0</v>
      </c>
      <c r="V71" s="23"/>
      <c r="W71" s="23"/>
      <c r="X71" s="23"/>
      <c r="Y71" s="23"/>
    </row>
    <row r="72" ht="15.75" customHeight="1">
      <c r="A72" s="22" t="str">
        <f t="shared" si="3"/>
        <v>viernes</v>
      </c>
      <c r="B72" s="24" t="str">
        <f t="shared" si="4"/>
        <v>mayo</v>
      </c>
      <c r="C72" s="37">
        <v>46150.0</v>
      </c>
      <c r="D72" s="28" t="s">
        <v>58</v>
      </c>
      <c r="E72" s="5">
        <v>49.0</v>
      </c>
      <c r="F72" s="5">
        <v>38.0</v>
      </c>
      <c r="G72" s="5">
        <v>6.0</v>
      </c>
      <c r="H72" s="5">
        <v>3.0</v>
      </c>
      <c r="V72" s="23"/>
      <c r="W72" s="23"/>
      <c r="X72" s="23"/>
      <c r="Y72" s="23"/>
    </row>
    <row r="73" ht="15.75" customHeight="1">
      <c r="A73" s="22" t="str">
        <f t="shared" si="3"/>
        <v>viernes</v>
      </c>
      <c r="B73" s="24" t="str">
        <f t="shared" si="4"/>
        <v>mayo</v>
      </c>
      <c r="C73" s="37">
        <v>46150.0</v>
      </c>
      <c r="D73" s="28" t="s">
        <v>52</v>
      </c>
      <c r="E73" s="5">
        <v>53.0</v>
      </c>
      <c r="F73" s="5">
        <v>42.0</v>
      </c>
      <c r="G73" s="5">
        <v>4.0</v>
      </c>
      <c r="H73" s="5">
        <v>5.0</v>
      </c>
      <c r="V73" s="23"/>
      <c r="W73" s="23"/>
      <c r="X73" s="23"/>
      <c r="Y73" s="23"/>
    </row>
    <row r="74" ht="15.75" customHeight="1">
      <c r="A74" s="22" t="str">
        <f t="shared" si="3"/>
        <v>viernes</v>
      </c>
      <c r="B74" s="24" t="str">
        <f t="shared" si="4"/>
        <v>mayo</v>
      </c>
      <c r="C74" s="37">
        <v>46150.0</v>
      </c>
      <c r="D74" s="28" t="s">
        <v>53</v>
      </c>
      <c r="E74" s="5">
        <v>70.0</v>
      </c>
      <c r="F74" s="5">
        <v>33.0</v>
      </c>
      <c r="G74" s="5">
        <v>2.0</v>
      </c>
      <c r="H74" s="5">
        <v>3.0</v>
      </c>
      <c r="V74" s="23"/>
      <c r="W74" s="23"/>
      <c r="X74" s="23"/>
      <c r="Y74" s="23"/>
    </row>
    <row r="75" ht="15.75" customHeight="1">
      <c r="A75" s="22" t="str">
        <f t="shared" si="3"/>
        <v>viernes</v>
      </c>
      <c r="B75" s="24" t="str">
        <f t="shared" si="4"/>
        <v>mayo</v>
      </c>
      <c r="C75" s="37">
        <v>46150.0</v>
      </c>
      <c r="D75" s="28" t="s">
        <v>64</v>
      </c>
      <c r="E75" s="5">
        <v>106.0</v>
      </c>
      <c r="F75" s="5">
        <v>64.0</v>
      </c>
      <c r="G75" s="5">
        <v>5.0</v>
      </c>
      <c r="H75" s="5">
        <v>6.0</v>
      </c>
      <c r="V75" s="23"/>
      <c r="W75" s="23"/>
      <c r="X75" s="23"/>
      <c r="Y75" s="23"/>
    </row>
    <row r="76" ht="15.75" customHeight="1">
      <c r="A76" s="22" t="str">
        <f t="shared" si="3"/>
        <v>viernes</v>
      </c>
      <c r="B76" s="24" t="str">
        <f t="shared" si="4"/>
        <v>mayo</v>
      </c>
      <c r="C76" s="37">
        <v>46150.0</v>
      </c>
      <c r="D76" s="28" t="s">
        <v>65</v>
      </c>
      <c r="E76" s="5">
        <v>50.0</v>
      </c>
      <c r="F76" s="5">
        <v>39.0</v>
      </c>
      <c r="G76" s="5">
        <v>4.0</v>
      </c>
      <c r="H76" s="5">
        <v>1.0</v>
      </c>
      <c r="V76" s="23"/>
      <c r="W76" s="23"/>
      <c r="X76" s="23"/>
      <c r="Y76" s="23"/>
    </row>
    <row r="77" ht="15.75" customHeight="1">
      <c r="A77" s="22" t="str">
        <f t="shared" si="3"/>
        <v>viernes</v>
      </c>
      <c r="B77" s="24" t="str">
        <f t="shared" si="4"/>
        <v>mayo</v>
      </c>
      <c r="C77" s="37">
        <v>46150.0</v>
      </c>
      <c r="D77" s="28" t="s">
        <v>66</v>
      </c>
      <c r="E77" s="5">
        <v>101.0</v>
      </c>
      <c r="F77" s="5">
        <v>73.0</v>
      </c>
      <c r="G77" s="5">
        <v>0.0</v>
      </c>
      <c r="H77" s="5">
        <v>11.0</v>
      </c>
      <c r="V77" s="23"/>
      <c r="W77" s="23"/>
      <c r="X77" s="23"/>
      <c r="Y77" s="23"/>
    </row>
    <row r="78" ht="15.75" customHeight="1">
      <c r="A78" s="22" t="str">
        <f t="shared" si="3"/>
        <v>sábado</v>
      </c>
      <c r="B78" s="24" t="str">
        <f t="shared" si="4"/>
        <v>mayo</v>
      </c>
      <c r="C78" s="37">
        <v>46151.0</v>
      </c>
      <c r="D78" s="28" t="s">
        <v>40</v>
      </c>
      <c r="E78" s="5">
        <v>63.0</v>
      </c>
      <c r="F78" s="5">
        <v>28.0</v>
      </c>
      <c r="G78" s="5">
        <v>6.0</v>
      </c>
      <c r="H78" s="5">
        <v>10.0</v>
      </c>
      <c r="V78" s="23"/>
      <c r="W78" s="23"/>
      <c r="X78" s="23"/>
      <c r="Y78" s="23"/>
    </row>
    <row r="79" ht="15.75" customHeight="1">
      <c r="A79" s="22" t="str">
        <f t="shared" si="3"/>
        <v>sábado</v>
      </c>
      <c r="B79" s="24" t="str">
        <f t="shared" si="4"/>
        <v>mayo</v>
      </c>
      <c r="C79" s="37">
        <v>46151.0</v>
      </c>
      <c r="D79" s="5" t="s">
        <v>43</v>
      </c>
      <c r="E79" s="5">
        <v>39.0</v>
      </c>
      <c r="F79" s="5">
        <v>18.0</v>
      </c>
      <c r="G79" s="5">
        <v>4.0</v>
      </c>
      <c r="H79" s="5">
        <v>2.0</v>
      </c>
    </row>
    <row r="80" ht="15.75" customHeight="1">
      <c r="A80" s="22" t="str">
        <f t="shared" si="3"/>
        <v>sábado</v>
      </c>
      <c r="B80" s="24" t="str">
        <f t="shared" si="4"/>
        <v>mayo</v>
      </c>
      <c r="C80" s="37">
        <v>46151.0</v>
      </c>
      <c r="D80" s="28" t="s">
        <v>51</v>
      </c>
      <c r="E80" s="5">
        <v>79.0</v>
      </c>
      <c r="F80" s="5">
        <v>72.0</v>
      </c>
      <c r="G80" s="5">
        <v>5.0</v>
      </c>
      <c r="H80" s="5">
        <v>13.0</v>
      </c>
    </row>
    <row r="81" ht="15.75" customHeight="1">
      <c r="A81" s="22" t="str">
        <f t="shared" si="3"/>
        <v>sábado</v>
      </c>
      <c r="B81" s="24" t="str">
        <f t="shared" si="4"/>
        <v>mayo</v>
      </c>
      <c r="C81" s="37">
        <v>46151.0</v>
      </c>
      <c r="D81" s="28" t="s">
        <v>52</v>
      </c>
      <c r="E81" s="5">
        <v>52.0</v>
      </c>
      <c r="F81" s="5">
        <v>29.0</v>
      </c>
      <c r="G81" s="5">
        <v>7.0</v>
      </c>
      <c r="H81" s="5">
        <v>8.0</v>
      </c>
    </row>
    <row r="82" ht="15.75" customHeight="1">
      <c r="A82" s="22" t="str">
        <f t="shared" si="3"/>
        <v>sábado</v>
      </c>
      <c r="B82" s="24" t="str">
        <f t="shared" si="4"/>
        <v>mayo</v>
      </c>
      <c r="C82" s="37">
        <v>46151.0</v>
      </c>
      <c r="D82" s="28" t="s">
        <v>53</v>
      </c>
      <c r="E82" s="5">
        <v>129.0</v>
      </c>
      <c r="F82" s="5">
        <v>60.0</v>
      </c>
      <c r="G82" s="5">
        <v>6.0</v>
      </c>
      <c r="H82" s="5">
        <v>2.0</v>
      </c>
    </row>
    <row r="83" ht="15.75" customHeight="1">
      <c r="A83" s="22" t="str">
        <f t="shared" si="3"/>
        <v>sábado</v>
      </c>
      <c r="B83" s="24" t="str">
        <f t="shared" si="4"/>
        <v>mayo</v>
      </c>
      <c r="C83" s="37">
        <v>46151.0</v>
      </c>
      <c r="D83" s="28" t="s">
        <v>60</v>
      </c>
      <c r="E83" s="5">
        <v>162.0</v>
      </c>
      <c r="F83" s="5">
        <v>109.0</v>
      </c>
      <c r="G83" s="5">
        <v>4.0</v>
      </c>
      <c r="H83" s="5">
        <v>7.0</v>
      </c>
    </row>
    <row r="84" ht="15.75" customHeight="1">
      <c r="A84" s="22" t="str">
        <f t="shared" si="3"/>
        <v>domingo</v>
      </c>
      <c r="B84" s="24" t="str">
        <f t="shared" si="4"/>
        <v>mayo</v>
      </c>
      <c r="C84" s="37">
        <v>46152.0</v>
      </c>
      <c r="D84" s="28" t="s">
        <v>39</v>
      </c>
      <c r="E84" s="5">
        <v>62.0</v>
      </c>
      <c r="F84" s="5">
        <v>32.0</v>
      </c>
      <c r="G84" s="5">
        <v>7.0</v>
      </c>
      <c r="H84" s="5">
        <v>1.0</v>
      </c>
    </row>
    <row r="85" ht="15.75" customHeight="1">
      <c r="A85" s="22" t="str">
        <f t="shared" si="3"/>
        <v>domingo</v>
      </c>
      <c r="B85" s="24" t="str">
        <f t="shared" si="4"/>
        <v>mayo</v>
      </c>
      <c r="C85" s="37">
        <v>46152.0</v>
      </c>
      <c r="D85" s="28" t="s">
        <v>40</v>
      </c>
      <c r="E85" s="5">
        <v>87.0</v>
      </c>
      <c r="F85" s="5">
        <v>34.0</v>
      </c>
      <c r="G85" s="5">
        <v>5.0</v>
      </c>
      <c r="H85" s="5">
        <v>13.0</v>
      </c>
    </row>
    <row r="86" ht="15.75" customHeight="1">
      <c r="A86" s="22" t="str">
        <f t="shared" si="3"/>
        <v>domingo</v>
      </c>
      <c r="B86" s="24" t="str">
        <f t="shared" si="4"/>
        <v>mayo</v>
      </c>
      <c r="C86" s="37">
        <v>46152.0</v>
      </c>
      <c r="D86" s="5" t="s">
        <v>43</v>
      </c>
      <c r="E86" s="5">
        <v>89.0</v>
      </c>
      <c r="F86" s="5">
        <v>48.0</v>
      </c>
      <c r="G86" s="5">
        <v>4.0</v>
      </c>
      <c r="H86" s="5">
        <v>18.0</v>
      </c>
    </row>
    <row r="87" ht="15.75" customHeight="1">
      <c r="A87" s="22" t="str">
        <f t="shared" si="3"/>
        <v>domingo</v>
      </c>
      <c r="B87" s="24" t="str">
        <f t="shared" si="4"/>
        <v>mayo</v>
      </c>
      <c r="C87" s="37">
        <v>46152.0</v>
      </c>
      <c r="D87" s="28" t="s">
        <v>59</v>
      </c>
      <c r="E87" s="5">
        <v>97.0</v>
      </c>
      <c r="F87" s="5">
        <v>94.0</v>
      </c>
      <c r="G87" s="5">
        <v>4.0</v>
      </c>
      <c r="H87" s="5">
        <v>0.0</v>
      </c>
    </row>
    <row r="88" ht="15.75" customHeight="1">
      <c r="A88" s="22" t="str">
        <f t="shared" si="3"/>
        <v>domingo</v>
      </c>
      <c r="B88" s="24" t="str">
        <f t="shared" si="4"/>
        <v>mayo</v>
      </c>
      <c r="C88" s="37">
        <v>46152.0</v>
      </c>
      <c r="D88" s="28" t="s">
        <v>52</v>
      </c>
      <c r="E88" s="5">
        <v>68.0</v>
      </c>
      <c r="F88" s="5">
        <v>48.0</v>
      </c>
      <c r="G88" s="5">
        <v>2.0</v>
      </c>
      <c r="H88" s="5">
        <v>5.0</v>
      </c>
    </row>
    <row r="89" ht="15.75" customHeight="1">
      <c r="A89" s="22" t="str">
        <f t="shared" si="3"/>
        <v>domingo</v>
      </c>
      <c r="B89" s="24" t="str">
        <f t="shared" si="4"/>
        <v>mayo</v>
      </c>
      <c r="C89" s="37">
        <v>46152.0</v>
      </c>
      <c r="D89" s="28" t="s">
        <v>53</v>
      </c>
      <c r="E89" s="5">
        <v>118.0</v>
      </c>
      <c r="F89" s="5">
        <v>45.0</v>
      </c>
      <c r="G89" s="5">
        <v>1.0</v>
      </c>
      <c r="H89" s="5">
        <v>4.0</v>
      </c>
    </row>
    <row r="90" ht="15.75" customHeight="1">
      <c r="A90" s="22" t="str">
        <f t="shared" si="3"/>
        <v>domingo</v>
      </c>
      <c r="B90" s="24" t="str">
        <f t="shared" si="4"/>
        <v>mayo</v>
      </c>
      <c r="C90" s="37">
        <v>46152.0</v>
      </c>
      <c r="D90" s="28" t="s">
        <v>60</v>
      </c>
      <c r="E90" s="5">
        <v>86.0</v>
      </c>
      <c r="F90" s="5">
        <v>24.0</v>
      </c>
      <c r="G90" s="5">
        <v>6.0</v>
      </c>
      <c r="H90" s="5">
        <v>1.0</v>
      </c>
    </row>
    <row r="91" ht="15.75" customHeight="1">
      <c r="A91" s="22" t="str">
        <f t="shared" si="3"/>
        <v>lunes</v>
      </c>
      <c r="B91" s="24" t="str">
        <f t="shared" si="4"/>
        <v>mayo</v>
      </c>
      <c r="C91" s="37">
        <v>46153.0</v>
      </c>
      <c r="D91" s="28" t="s">
        <v>39</v>
      </c>
      <c r="E91" s="5">
        <v>46.0</v>
      </c>
      <c r="F91" s="5">
        <v>23.0</v>
      </c>
      <c r="G91" s="5">
        <v>0.0</v>
      </c>
      <c r="H91" s="5">
        <v>10.0</v>
      </c>
    </row>
    <row r="92" ht="15.75" customHeight="1">
      <c r="A92" s="22" t="str">
        <f t="shared" si="3"/>
        <v>lunes</v>
      </c>
      <c r="B92" s="24" t="str">
        <f t="shared" si="4"/>
        <v>mayo</v>
      </c>
      <c r="C92" s="37">
        <v>46153.0</v>
      </c>
      <c r="D92" s="28" t="s">
        <v>41</v>
      </c>
      <c r="E92" s="5">
        <v>72.0</v>
      </c>
      <c r="F92" s="5">
        <v>49.0</v>
      </c>
      <c r="G92" s="5">
        <v>2.0</v>
      </c>
      <c r="H92" s="5">
        <v>10.0</v>
      </c>
    </row>
    <row r="93" ht="15.75" customHeight="1">
      <c r="A93" s="22" t="str">
        <f t="shared" si="3"/>
        <v>lunes</v>
      </c>
      <c r="B93" s="24" t="str">
        <f t="shared" si="4"/>
        <v>mayo</v>
      </c>
      <c r="C93" s="37">
        <v>46153.0</v>
      </c>
      <c r="D93" s="28" t="s">
        <v>42</v>
      </c>
      <c r="E93" s="5">
        <v>69.0</v>
      </c>
      <c r="F93" s="5">
        <v>42.0</v>
      </c>
      <c r="G93" s="5">
        <v>1.0</v>
      </c>
      <c r="H93" s="5">
        <v>7.0</v>
      </c>
    </row>
    <row r="94" ht="15.75" customHeight="1">
      <c r="A94" s="22" t="str">
        <f t="shared" si="3"/>
        <v>lunes</v>
      </c>
      <c r="B94" s="24" t="str">
        <f t="shared" si="4"/>
        <v>mayo</v>
      </c>
      <c r="C94" s="37">
        <v>46153.0</v>
      </c>
      <c r="D94" s="28" t="s">
        <v>44</v>
      </c>
      <c r="E94" s="5">
        <v>45.0</v>
      </c>
      <c r="F94" s="5">
        <v>47.0</v>
      </c>
      <c r="G94" s="5">
        <v>0.0</v>
      </c>
      <c r="H94" s="5">
        <v>0.0</v>
      </c>
    </row>
    <row r="95" ht="15.75" customHeight="1">
      <c r="A95" s="22" t="str">
        <f t="shared" si="3"/>
        <v>lunes</v>
      </c>
      <c r="B95" s="24" t="str">
        <f t="shared" si="4"/>
        <v>mayo</v>
      </c>
      <c r="C95" s="37">
        <v>46153.0</v>
      </c>
      <c r="D95" s="28" t="s">
        <v>59</v>
      </c>
      <c r="E95" s="5">
        <v>77.0</v>
      </c>
      <c r="F95" s="5">
        <v>64.0</v>
      </c>
      <c r="G95" s="5">
        <v>2.0</v>
      </c>
      <c r="H95" s="5">
        <v>2.0</v>
      </c>
    </row>
    <row r="96" ht="15.75" customHeight="1">
      <c r="A96" s="22" t="str">
        <f t="shared" si="3"/>
        <v>lunes</v>
      </c>
      <c r="B96" s="24" t="str">
        <f t="shared" si="4"/>
        <v>mayo</v>
      </c>
      <c r="C96" s="37">
        <v>46153.0</v>
      </c>
      <c r="D96" s="28" t="s">
        <v>67</v>
      </c>
      <c r="E96" s="5">
        <v>77.0</v>
      </c>
      <c r="F96" s="5">
        <v>66.0</v>
      </c>
      <c r="G96" s="5">
        <v>2.0</v>
      </c>
      <c r="H96" s="5">
        <v>4.0</v>
      </c>
    </row>
    <row r="97" ht="15.75" customHeight="1">
      <c r="A97" s="22" t="str">
        <f t="shared" si="3"/>
        <v>lunes</v>
      </c>
      <c r="B97" s="24" t="str">
        <f t="shared" si="4"/>
        <v>mayo</v>
      </c>
      <c r="C97" s="37">
        <v>46153.0</v>
      </c>
      <c r="D97" s="28" t="s">
        <v>58</v>
      </c>
      <c r="E97" s="5">
        <v>22.0</v>
      </c>
      <c r="F97" s="5">
        <v>13.0</v>
      </c>
      <c r="G97" s="5">
        <v>2.0</v>
      </c>
      <c r="H97" s="5">
        <v>0.0</v>
      </c>
    </row>
    <row r="98" ht="15.75" customHeight="1">
      <c r="A98" s="22" t="str">
        <f t="shared" si="3"/>
        <v>lunes</v>
      </c>
      <c r="B98" s="24" t="str">
        <f t="shared" si="4"/>
        <v>mayo</v>
      </c>
      <c r="C98" s="37">
        <v>46153.0</v>
      </c>
      <c r="D98" s="28" t="s">
        <v>64</v>
      </c>
      <c r="E98" s="5">
        <v>94.0</v>
      </c>
      <c r="F98" s="5">
        <v>63.0</v>
      </c>
      <c r="G98" s="5">
        <v>5.0</v>
      </c>
      <c r="H98" s="5">
        <v>10.0</v>
      </c>
    </row>
    <row r="99" ht="15.75" customHeight="1">
      <c r="A99" s="22" t="str">
        <f t="shared" si="3"/>
        <v>lunes</v>
      </c>
      <c r="B99" s="24" t="str">
        <f t="shared" si="4"/>
        <v>mayo</v>
      </c>
      <c r="C99" s="37">
        <v>46153.0</v>
      </c>
      <c r="D99" s="28" t="s">
        <v>65</v>
      </c>
      <c r="E99" s="5">
        <v>49.0</v>
      </c>
      <c r="F99" s="5">
        <v>36.0</v>
      </c>
      <c r="G99" s="5">
        <v>3.0</v>
      </c>
      <c r="H99" s="5">
        <v>9.0</v>
      </c>
    </row>
    <row r="100" ht="15.75" customHeight="1">
      <c r="A100" s="22" t="str">
        <f t="shared" si="3"/>
        <v>lunes</v>
      </c>
      <c r="B100" s="24" t="str">
        <f t="shared" si="4"/>
        <v>mayo</v>
      </c>
      <c r="C100" s="37">
        <v>46153.0</v>
      </c>
      <c r="D100" s="28" t="s">
        <v>60</v>
      </c>
      <c r="E100" s="5">
        <v>141.0</v>
      </c>
      <c r="F100" s="5">
        <v>48.0</v>
      </c>
      <c r="G100" s="5">
        <v>3.0</v>
      </c>
      <c r="H100" s="5">
        <v>16.0</v>
      </c>
    </row>
    <row r="101" ht="15.75" customHeight="1">
      <c r="A101" s="22" t="str">
        <f t="shared" si="3"/>
        <v>lunes</v>
      </c>
      <c r="B101" s="24" t="str">
        <f t="shared" si="4"/>
        <v>mayo</v>
      </c>
      <c r="C101" s="37">
        <v>46153.0</v>
      </c>
      <c r="D101" s="28" t="s">
        <v>66</v>
      </c>
      <c r="E101" s="5">
        <v>69.0</v>
      </c>
      <c r="F101" s="5">
        <v>60.0</v>
      </c>
      <c r="G101" s="5">
        <v>0.0</v>
      </c>
      <c r="H101" s="5">
        <v>1.0</v>
      </c>
    </row>
    <row r="102" ht="15.75" customHeight="1">
      <c r="A102" s="22" t="str">
        <f t="shared" si="3"/>
        <v>martes</v>
      </c>
      <c r="B102" s="24" t="str">
        <f t="shared" si="4"/>
        <v>mayo</v>
      </c>
      <c r="C102" s="37">
        <v>46154.0</v>
      </c>
      <c r="D102" s="28" t="s">
        <v>39</v>
      </c>
      <c r="E102" s="5">
        <v>25.0</v>
      </c>
      <c r="F102" s="5">
        <v>14.0</v>
      </c>
      <c r="G102" s="5">
        <v>0.0</v>
      </c>
      <c r="H102" s="5">
        <v>1.0</v>
      </c>
    </row>
    <row r="103" ht="15.75" customHeight="1">
      <c r="A103" s="22" t="str">
        <f t="shared" si="3"/>
        <v>martes</v>
      </c>
      <c r="B103" s="24" t="str">
        <f t="shared" si="4"/>
        <v>mayo</v>
      </c>
      <c r="C103" s="37">
        <v>46154.0</v>
      </c>
      <c r="D103" s="28" t="s">
        <v>41</v>
      </c>
      <c r="E103" s="5">
        <v>55.0</v>
      </c>
      <c r="F103" s="5">
        <v>37.0</v>
      </c>
      <c r="G103" s="5">
        <v>2.0</v>
      </c>
      <c r="H103" s="5">
        <v>4.0</v>
      </c>
    </row>
    <row r="104" ht="15.75" customHeight="1">
      <c r="A104" s="22" t="str">
        <f t="shared" si="3"/>
        <v>martes</v>
      </c>
      <c r="B104" s="24" t="str">
        <f t="shared" si="4"/>
        <v>mayo</v>
      </c>
      <c r="C104" s="37">
        <v>46154.0</v>
      </c>
      <c r="D104" s="28" t="s">
        <v>42</v>
      </c>
      <c r="E104" s="5">
        <v>84.0</v>
      </c>
      <c r="F104" s="5">
        <v>52.0</v>
      </c>
      <c r="G104" s="5">
        <v>2.0</v>
      </c>
      <c r="H104" s="5">
        <v>6.0</v>
      </c>
    </row>
    <row r="105" ht="15.75" customHeight="1">
      <c r="A105" s="22" t="str">
        <f t="shared" si="3"/>
        <v>martes</v>
      </c>
      <c r="B105" s="24" t="str">
        <f t="shared" si="4"/>
        <v>mayo</v>
      </c>
      <c r="C105" s="37">
        <v>46154.0</v>
      </c>
      <c r="D105" s="28" t="s">
        <v>59</v>
      </c>
      <c r="E105" s="5">
        <v>72.0</v>
      </c>
      <c r="F105" s="5">
        <v>42.0</v>
      </c>
      <c r="G105" s="5">
        <v>1.0</v>
      </c>
      <c r="H105" s="5">
        <v>4.0</v>
      </c>
    </row>
    <row r="106" ht="15.75" customHeight="1">
      <c r="A106" s="22" t="str">
        <f t="shared" si="3"/>
        <v>martes</v>
      </c>
      <c r="B106" s="24" t="str">
        <f t="shared" si="4"/>
        <v>mayo</v>
      </c>
      <c r="C106" s="37">
        <v>46154.0</v>
      </c>
      <c r="D106" s="5" t="s">
        <v>46</v>
      </c>
      <c r="E106" s="5">
        <v>82.0</v>
      </c>
      <c r="F106" s="5">
        <v>45.0</v>
      </c>
      <c r="G106" s="5">
        <v>1.0</v>
      </c>
      <c r="H106" s="5">
        <v>5.0</v>
      </c>
    </row>
    <row r="107" ht="15.75" customHeight="1">
      <c r="A107" s="22" t="str">
        <f t="shared" si="3"/>
        <v>martes</v>
      </c>
      <c r="B107" s="24" t="str">
        <f t="shared" si="4"/>
        <v>mayo</v>
      </c>
      <c r="C107" s="37">
        <v>46154.0</v>
      </c>
      <c r="D107" s="28" t="s">
        <v>67</v>
      </c>
      <c r="E107" s="5">
        <v>68.0</v>
      </c>
      <c r="F107" s="5">
        <v>56.0</v>
      </c>
      <c r="G107" s="5">
        <v>8.0</v>
      </c>
      <c r="H107" s="5">
        <v>4.0</v>
      </c>
    </row>
    <row r="108" ht="15.75" customHeight="1">
      <c r="A108" s="22" t="str">
        <f t="shared" si="3"/>
        <v>martes</v>
      </c>
      <c r="B108" s="24" t="str">
        <f t="shared" si="4"/>
        <v>mayo</v>
      </c>
      <c r="C108" s="37">
        <v>46154.0</v>
      </c>
      <c r="D108" s="28" t="s">
        <v>58</v>
      </c>
      <c r="E108" s="5">
        <v>87.0</v>
      </c>
      <c r="F108" s="5">
        <v>37.0</v>
      </c>
      <c r="G108" s="5">
        <v>3.0</v>
      </c>
      <c r="H108" s="5">
        <v>5.0</v>
      </c>
    </row>
    <row r="109" ht="15.75" customHeight="1">
      <c r="A109" s="22" t="str">
        <f t="shared" si="3"/>
        <v>martes</v>
      </c>
      <c r="B109" s="24" t="str">
        <f t="shared" si="4"/>
        <v>mayo</v>
      </c>
      <c r="C109" s="37">
        <v>46154.0</v>
      </c>
      <c r="D109" s="28" t="s">
        <v>64</v>
      </c>
      <c r="E109" s="5">
        <v>130.0</v>
      </c>
      <c r="F109" s="5">
        <v>68.0</v>
      </c>
      <c r="G109" s="5">
        <v>6.0</v>
      </c>
      <c r="H109" s="5">
        <v>12.0</v>
      </c>
    </row>
    <row r="110" ht="15.75" customHeight="1">
      <c r="A110" s="22" t="str">
        <f t="shared" si="3"/>
        <v>martes</v>
      </c>
      <c r="B110" s="24" t="str">
        <f t="shared" si="4"/>
        <v>mayo</v>
      </c>
      <c r="C110" s="37">
        <v>46154.0</v>
      </c>
      <c r="D110" s="28" t="s">
        <v>65</v>
      </c>
      <c r="E110" s="5">
        <v>58.0</v>
      </c>
      <c r="F110" s="5">
        <v>47.0</v>
      </c>
      <c r="G110" s="5">
        <v>4.0</v>
      </c>
      <c r="H110" s="5">
        <v>1.0</v>
      </c>
    </row>
    <row r="111" ht="15.75" customHeight="1">
      <c r="A111" s="22" t="str">
        <f t="shared" si="3"/>
        <v>martes</v>
      </c>
      <c r="B111" s="24" t="str">
        <f t="shared" si="4"/>
        <v>mayo</v>
      </c>
      <c r="C111" s="37">
        <v>46154.0</v>
      </c>
      <c r="D111" s="28" t="s">
        <v>66</v>
      </c>
      <c r="E111" s="5">
        <v>87.0</v>
      </c>
      <c r="F111" s="5">
        <v>75.0</v>
      </c>
      <c r="G111" s="5">
        <v>1.0</v>
      </c>
      <c r="H111" s="5">
        <v>3.0</v>
      </c>
    </row>
    <row r="112" ht="15.75" customHeight="1">
      <c r="A112" s="22" t="str">
        <f t="shared" si="3"/>
        <v>miércoles</v>
      </c>
      <c r="B112" s="24" t="str">
        <f t="shared" si="4"/>
        <v>mayo</v>
      </c>
      <c r="C112" s="37">
        <v>46155.0</v>
      </c>
      <c r="D112" s="28" t="s">
        <v>39</v>
      </c>
      <c r="E112" s="5">
        <v>38.0</v>
      </c>
      <c r="F112" s="5">
        <v>24.0</v>
      </c>
      <c r="G112" s="5">
        <v>0.0</v>
      </c>
      <c r="H112" s="5">
        <v>2.0</v>
      </c>
    </row>
    <row r="113" ht="15.75" customHeight="1">
      <c r="A113" s="22" t="str">
        <f t="shared" si="3"/>
        <v>miércoles</v>
      </c>
      <c r="B113" s="24" t="str">
        <f t="shared" si="4"/>
        <v>mayo</v>
      </c>
      <c r="C113" s="37">
        <v>46155.0</v>
      </c>
      <c r="D113" s="28" t="s">
        <v>41</v>
      </c>
      <c r="E113" s="5">
        <v>74.0</v>
      </c>
      <c r="F113" s="5">
        <v>59.0</v>
      </c>
      <c r="G113" s="5">
        <v>3.0</v>
      </c>
      <c r="H113" s="5">
        <v>4.0</v>
      </c>
    </row>
    <row r="114" ht="15.75" customHeight="1">
      <c r="A114" s="22" t="str">
        <f t="shared" si="3"/>
        <v>miércoles</v>
      </c>
      <c r="B114" s="24" t="str">
        <f t="shared" si="4"/>
        <v>mayo</v>
      </c>
      <c r="C114" s="37">
        <v>46155.0</v>
      </c>
      <c r="D114" s="28" t="s">
        <v>42</v>
      </c>
      <c r="E114" s="5">
        <v>77.0</v>
      </c>
      <c r="F114" s="5">
        <v>47.0</v>
      </c>
      <c r="G114" s="5">
        <v>3.0</v>
      </c>
      <c r="H114" s="5">
        <v>6.0</v>
      </c>
    </row>
    <row r="115" ht="15.75" customHeight="1">
      <c r="A115" s="22" t="str">
        <f t="shared" si="3"/>
        <v>miércoles</v>
      </c>
      <c r="B115" s="24" t="str">
        <f t="shared" si="4"/>
        <v>mayo</v>
      </c>
      <c r="C115" s="37">
        <v>46155.0</v>
      </c>
      <c r="D115" s="28" t="s">
        <v>51</v>
      </c>
      <c r="E115" s="5">
        <v>95.0</v>
      </c>
      <c r="F115" s="5">
        <v>74.0</v>
      </c>
      <c r="G115" s="5">
        <v>9.0</v>
      </c>
      <c r="H115" s="5">
        <v>25.0</v>
      </c>
    </row>
    <row r="116" ht="15.75" customHeight="1">
      <c r="A116" s="22" t="str">
        <f t="shared" si="3"/>
        <v>miércoles</v>
      </c>
      <c r="B116" s="24" t="str">
        <f t="shared" si="4"/>
        <v>mayo</v>
      </c>
      <c r="C116" s="37">
        <v>46155.0</v>
      </c>
      <c r="D116" s="5" t="s">
        <v>46</v>
      </c>
      <c r="E116" s="5">
        <v>87.0</v>
      </c>
      <c r="F116" s="5">
        <v>31.0</v>
      </c>
      <c r="G116" s="5">
        <v>1.0</v>
      </c>
      <c r="H116" s="5">
        <v>4.0</v>
      </c>
    </row>
    <row r="117" ht="15.75" customHeight="1">
      <c r="A117" s="22" t="str">
        <f t="shared" si="3"/>
        <v>miércoles</v>
      </c>
      <c r="B117" s="24" t="str">
        <f t="shared" si="4"/>
        <v>mayo</v>
      </c>
      <c r="C117" s="37">
        <v>46155.0</v>
      </c>
      <c r="D117" s="28" t="s">
        <v>67</v>
      </c>
      <c r="E117" s="5">
        <v>89.0</v>
      </c>
      <c r="F117" s="5">
        <v>77.0</v>
      </c>
      <c r="G117" s="5">
        <v>6.0</v>
      </c>
      <c r="H117" s="5">
        <v>4.0</v>
      </c>
    </row>
    <row r="118" ht="15.75" customHeight="1">
      <c r="A118" s="22" t="str">
        <f t="shared" si="3"/>
        <v>miércoles</v>
      </c>
      <c r="B118" s="24" t="str">
        <f t="shared" si="4"/>
        <v>mayo</v>
      </c>
      <c r="C118" s="37">
        <v>46155.0</v>
      </c>
      <c r="D118" s="28" t="s">
        <v>58</v>
      </c>
      <c r="E118" s="5">
        <v>95.0</v>
      </c>
      <c r="F118" s="5">
        <v>48.0</v>
      </c>
      <c r="G118" s="5">
        <v>3.0</v>
      </c>
      <c r="H118" s="5">
        <v>1.0</v>
      </c>
    </row>
    <row r="119" ht="15.75" customHeight="1">
      <c r="A119" s="22" t="str">
        <f t="shared" si="3"/>
        <v>miércoles</v>
      </c>
      <c r="B119" s="24" t="str">
        <f t="shared" si="4"/>
        <v>mayo</v>
      </c>
      <c r="C119" s="37">
        <v>46155.0</v>
      </c>
      <c r="D119" s="28" t="s">
        <v>64</v>
      </c>
      <c r="E119" s="5">
        <v>48.0</v>
      </c>
      <c r="F119" s="5">
        <v>38.0</v>
      </c>
      <c r="G119" s="5">
        <v>2.0</v>
      </c>
      <c r="H119" s="5">
        <v>2.0</v>
      </c>
    </row>
    <row r="120" ht="15.75" customHeight="1">
      <c r="A120" s="22" t="str">
        <f t="shared" si="3"/>
        <v>miércoles</v>
      </c>
      <c r="B120" s="24" t="str">
        <f t="shared" si="4"/>
        <v>mayo</v>
      </c>
      <c r="C120" s="37">
        <v>46155.0</v>
      </c>
      <c r="D120" s="28" t="s">
        <v>65</v>
      </c>
      <c r="E120" s="5">
        <v>66.0</v>
      </c>
      <c r="F120" s="5">
        <v>58.0</v>
      </c>
      <c r="G120" s="5">
        <v>5.0</v>
      </c>
      <c r="H120" s="5">
        <v>2.0</v>
      </c>
    </row>
    <row r="121" ht="15.75" customHeight="1">
      <c r="A121" s="22" t="str">
        <f t="shared" si="3"/>
        <v>miércoles</v>
      </c>
      <c r="B121" s="24" t="str">
        <f t="shared" si="4"/>
        <v>mayo</v>
      </c>
      <c r="C121" s="37">
        <v>46155.0</v>
      </c>
      <c r="D121" s="28" t="s">
        <v>66</v>
      </c>
      <c r="E121" s="5">
        <v>112.0</v>
      </c>
      <c r="F121" s="5">
        <v>99.0</v>
      </c>
      <c r="G121" s="5">
        <v>0.0</v>
      </c>
      <c r="H121" s="5">
        <v>7.0</v>
      </c>
      <c r="J121" s="22"/>
      <c r="K121" s="24"/>
      <c r="L121" s="37"/>
    </row>
    <row r="122" ht="15.75" customHeight="1">
      <c r="A122" s="22" t="str">
        <f t="shared" si="3"/>
        <v>jueves</v>
      </c>
      <c r="B122" s="24" t="str">
        <f t="shared" si="4"/>
        <v>mayo</v>
      </c>
      <c r="C122" s="37">
        <v>46156.0</v>
      </c>
      <c r="D122" s="28" t="s">
        <v>39</v>
      </c>
      <c r="E122" s="5">
        <v>29.0</v>
      </c>
      <c r="F122" s="5">
        <v>18.0</v>
      </c>
      <c r="G122" s="5">
        <v>1.0</v>
      </c>
      <c r="H122" s="5">
        <v>4.0</v>
      </c>
      <c r="J122" s="22"/>
      <c r="K122" s="24"/>
      <c r="L122" s="37"/>
    </row>
    <row r="123" ht="15.75" customHeight="1">
      <c r="A123" s="22" t="str">
        <f t="shared" si="3"/>
        <v>jueves</v>
      </c>
      <c r="B123" s="24" t="str">
        <f t="shared" si="4"/>
        <v>mayo</v>
      </c>
      <c r="C123" s="37">
        <v>46156.0</v>
      </c>
      <c r="D123" s="28" t="s">
        <v>40</v>
      </c>
      <c r="E123" s="5">
        <v>54.0</v>
      </c>
      <c r="F123" s="5">
        <v>21.0</v>
      </c>
      <c r="G123" s="5">
        <v>4.0</v>
      </c>
      <c r="H123" s="5">
        <v>15.0</v>
      </c>
      <c r="J123" s="22"/>
      <c r="K123" s="24"/>
      <c r="L123" s="37"/>
    </row>
    <row r="124" ht="15.75" customHeight="1">
      <c r="A124" s="22" t="str">
        <f t="shared" si="3"/>
        <v>jueves</v>
      </c>
      <c r="B124" s="24" t="str">
        <f t="shared" si="4"/>
        <v>mayo</v>
      </c>
      <c r="C124" s="37">
        <v>46156.0</v>
      </c>
      <c r="D124" s="28" t="s">
        <v>41</v>
      </c>
      <c r="E124" s="5">
        <v>57.0</v>
      </c>
      <c r="F124" s="5">
        <v>50.0</v>
      </c>
      <c r="G124" s="5">
        <v>0.0</v>
      </c>
      <c r="H124" s="5">
        <v>0.0</v>
      </c>
      <c r="J124" s="22"/>
      <c r="K124" s="24"/>
      <c r="L124" s="37"/>
    </row>
    <row r="125" ht="15.75" customHeight="1">
      <c r="A125" s="22" t="str">
        <f t="shared" si="3"/>
        <v>jueves</v>
      </c>
      <c r="B125" s="24" t="str">
        <f t="shared" si="4"/>
        <v>mayo</v>
      </c>
      <c r="C125" s="37">
        <v>46156.0</v>
      </c>
      <c r="D125" s="28" t="s">
        <v>42</v>
      </c>
      <c r="E125" s="5">
        <v>83.0</v>
      </c>
      <c r="F125" s="5">
        <v>57.0</v>
      </c>
      <c r="G125" s="5">
        <v>5.0</v>
      </c>
      <c r="H125" s="5">
        <v>3.0</v>
      </c>
      <c r="J125" s="22"/>
      <c r="K125" s="24"/>
      <c r="L125" s="37"/>
    </row>
    <row r="126" ht="15.75" customHeight="1">
      <c r="A126" s="22" t="str">
        <f t="shared" si="3"/>
        <v>jueves</v>
      </c>
      <c r="B126" s="24" t="str">
        <f t="shared" si="4"/>
        <v>mayo</v>
      </c>
      <c r="C126" s="37">
        <v>46156.0</v>
      </c>
      <c r="D126" s="28" t="s">
        <v>51</v>
      </c>
      <c r="E126" s="5">
        <v>97.0</v>
      </c>
      <c r="F126" s="5">
        <v>77.0</v>
      </c>
      <c r="G126" s="5">
        <v>12.0</v>
      </c>
      <c r="H126" s="5">
        <v>18.0</v>
      </c>
      <c r="J126" s="22"/>
      <c r="K126" s="24"/>
      <c r="L126" s="37"/>
    </row>
    <row r="127" ht="15.75" customHeight="1">
      <c r="A127" s="22" t="str">
        <f t="shared" si="3"/>
        <v>jueves</v>
      </c>
      <c r="B127" s="24" t="str">
        <f t="shared" si="4"/>
        <v>mayo</v>
      </c>
      <c r="C127" s="37">
        <v>46156.0</v>
      </c>
      <c r="D127" s="28" t="s">
        <v>67</v>
      </c>
      <c r="E127" s="5">
        <v>89.0</v>
      </c>
      <c r="F127" s="5">
        <v>68.0</v>
      </c>
      <c r="G127" s="5">
        <v>0.0</v>
      </c>
      <c r="H127" s="5">
        <v>0.0</v>
      </c>
      <c r="J127" s="22"/>
      <c r="K127" s="24"/>
      <c r="L127" s="37"/>
    </row>
    <row r="128" ht="15.75" customHeight="1">
      <c r="A128" s="22" t="str">
        <f t="shared" si="3"/>
        <v>jueves</v>
      </c>
      <c r="B128" s="24" t="str">
        <f t="shared" si="4"/>
        <v>mayo</v>
      </c>
      <c r="C128" s="37">
        <v>46156.0</v>
      </c>
      <c r="D128" s="28" t="s">
        <v>58</v>
      </c>
      <c r="E128" s="5">
        <v>58.0</v>
      </c>
      <c r="F128" s="5">
        <v>23.0</v>
      </c>
      <c r="G128" s="5">
        <v>6.0</v>
      </c>
      <c r="H128" s="5">
        <v>0.0</v>
      </c>
      <c r="J128" s="22"/>
      <c r="K128" s="24"/>
      <c r="L128" s="37"/>
    </row>
    <row r="129" ht="15.75" customHeight="1">
      <c r="A129" s="22" t="str">
        <f t="shared" si="3"/>
        <v>jueves</v>
      </c>
      <c r="B129" s="24" t="str">
        <f t="shared" si="4"/>
        <v>mayo</v>
      </c>
      <c r="C129" s="37">
        <v>46156.0</v>
      </c>
      <c r="D129" s="28" t="s">
        <v>52</v>
      </c>
      <c r="E129" s="5">
        <v>24.0</v>
      </c>
      <c r="F129" s="5">
        <v>26.0</v>
      </c>
      <c r="G129" s="5">
        <v>3.0</v>
      </c>
      <c r="H129" s="5">
        <v>4.0</v>
      </c>
      <c r="J129" s="22"/>
      <c r="K129" s="24"/>
      <c r="L129" s="37"/>
    </row>
    <row r="130" ht="15.75" customHeight="1">
      <c r="A130" s="22" t="str">
        <f t="shared" si="3"/>
        <v>jueves</v>
      </c>
      <c r="B130" s="24" t="str">
        <f t="shared" si="4"/>
        <v>mayo</v>
      </c>
      <c r="C130" s="37">
        <v>46156.0</v>
      </c>
      <c r="D130" s="28" t="s">
        <v>53</v>
      </c>
      <c r="E130" s="5">
        <v>63.0</v>
      </c>
      <c r="F130" s="5">
        <v>41.0</v>
      </c>
      <c r="G130" s="5">
        <v>2.0</v>
      </c>
      <c r="H130" s="5">
        <v>3.0</v>
      </c>
      <c r="J130" s="22"/>
      <c r="K130" s="24"/>
      <c r="L130" s="37"/>
    </row>
    <row r="131" ht="15.75" customHeight="1">
      <c r="A131" s="22" t="str">
        <f t="shared" si="3"/>
        <v>jueves</v>
      </c>
      <c r="B131" s="24" t="str">
        <f t="shared" si="4"/>
        <v>mayo</v>
      </c>
      <c r="C131" s="37">
        <v>46156.0</v>
      </c>
      <c r="D131" s="28" t="s">
        <v>64</v>
      </c>
      <c r="E131" s="5">
        <v>150.0</v>
      </c>
      <c r="F131" s="5">
        <v>86.0</v>
      </c>
      <c r="G131" s="5">
        <v>7.0</v>
      </c>
      <c r="H131" s="5">
        <v>17.0</v>
      </c>
      <c r="J131" s="22"/>
      <c r="K131" s="24"/>
      <c r="L131" s="37"/>
    </row>
    <row r="132" ht="15.75" customHeight="1">
      <c r="A132" s="22" t="str">
        <f t="shared" si="3"/>
        <v>jueves</v>
      </c>
      <c r="B132" s="24" t="str">
        <f t="shared" si="4"/>
        <v>mayo</v>
      </c>
      <c r="C132" s="37">
        <v>46156.0</v>
      </c>
      <c r="D132" s="28" t="s">
        <v>65</v>
      </c>
      <c r="E132" s="5">
        <v>42.0</v>
      </c>
      <c r="F132" s="5">
        <v>33.0</v>
      </c>
      <c r="G132" s="5">
        <v>2.0</v>
      </c>
      <c r="H132" s="5">
        <v>2.0</v>
      </c>
      <c r="J132" s="22"/>
      <c r="K132" s="24"/>
      <c r="L132" s="37"/>
    </row>
    <row r="133" ht="15.75" customHeight="1">
      <c r="A133" s="22" t="str">
        <f t="shared" si="3"/>
        <v>jueves</v>
      </c>
      <c r="B133" s="24" t="str">
        <f t="shared" si="4"/>
        <v>mayo</v>
      </c>
      <c r="C133" s="37">
        <v>46156.0</v>
      </c>
      <c r="D133" s="28" t="s">
        <v>66</v>
      </c>
      <c r="E133" s="5">
        <v>133.0</v>
      </c>
      <c r="F133" s="5">
        <v>107.0</v>
      </c>
      <c r="G133" s="5">
        <v>0.0</v>
      </c>
      <c r="H133" s="5">
        <v>4.0</v>
      </c>
      <c r="J133" s="22"/>
      <c r="K133" s="24"/>
      <c r="L133" s="37"/>
    </row>
    <row r="134" ht="15.75" customHeight="1">
      <c r="A134" s="22" t="str">
        <f t="shared" si="3"/>
        <v>viernes</v>
      </c>
      <c r="B134" s="24" t="str">
        <f t="shared" si="4"/>
        <v>mayo</v>
      </c>
      <c r="C134" s="37">
        <v>46157.0</v>
      </c>
      <c r="D134" s="28" t="s">
        <v>40</v>
      </c>
      <c r="E134" s="5">
        <v>53.0</v>
      </c>
      <c r="F134" s="5">
        <v>30.0</v>
      </c>
      <c r="G134" s="5">
        <v>4.0</v>
      </c>
      <c r="H134" s="5">
        <v>6.0</v>
      </c>
      <c r="J134" s="22"/>
      <c r="K134" s="24"/>
      <c r="L134" s="37"/>
    </row>
    <row r="135" ht="15.75" customHeight="1">
      <c r="A135" s="22" t="str">
        <f t="shared" si="3"/>
        <v>viernes</v>
      </c>
      <c r="B135" s="24" t="str">
        <f t="shared" si="4"/>
        <v>mayo</v>
      </c>
      <c r="C135" s="37">
        <v>46157.0</v>
      </c>
      <c r="D135" s="28" t="s">
        <v>51</v>
      </c>
      <c r="E135" s="5">
        <v>82.0</v>
      </c>
      <c r="F135" s="5">
        <v>66.0</v>
      </c>
      <c r="G135" s="5">
        <v>12.0</v>
      </c>
      <c r="H135" s="5">
        <v>18.0</v>
      </c>
      <c r="J135" s="22"/>
      <c r="K135" s="24"/>
      <c r="L135" s="37"/>
    </row>
    <row r="136" ht="15.75" customHeight="1">
      <c r="A136" s="22" t="str">
        <f t="shared" si="3"/>
        <v>viernes</v>
      </c>
      <c r="B136" s="24" t="str">
        <f t="shared" si="4"/>
        <v>mayo</v>
      </c>
      <c r="C136" s="37">
        <v>46157.0</v>
      </c>
      <c r="D136" s="28" t="s">
        <v>52</v>
      </c>
      <c r="E136" s="5">
        <v>51.0</v>
      </c>
      <c r="F136" s="5">
        <v>40.0</v>
      </c>
      <c r="G136" s="5">
        <v>6.0</v>
      </c>
      <c r="H136" s="5">
        <v>6.0</v>
      </c>
      <c r="J136" s="22"/>
      <c r="K136" s="24"/>
      <c r="L136" s="37"/>
    </row>
    <row r="137" ht="15.75" customHeight="1">
      <c r="A137" s="22" t="str">
        <f t="shared" si="3"/>
        <v>viernes</v>
      </c>
      <c r="B137" s="24" t="str">
        <f t="shared" si="4"/>
        <v>mayo</v>
      </c>
      <c r="C137" s="37">
        <v>46157.0</v>
      </c>
      <c r="D137" s="28" t="s">
        <v>58</v>
      </c>
      <c r="E137" s="5">
        <v>39.0</v>
      </c>
      <c r="F137" s="5">
        <v>20.0</v>
      </c>
      <c r="G137" s="5">
        <v>4.0</v>
      </c>
      <c r="H137" s="5">
        <v>3.0</v>
      </c>
      <c r="J137" s="22"/>
      <c r="K137" s="24"/>
      <c r="L137" s="37"/>
    </row>
    <row r="138" ht="15.75" customHeight="1">
      <c r="A138" s="22" t="str">
        <f t="shared" si="3"/>
        <v>viernes</v>
      </c>
      <c r="B138" s="24" t="str">
        <f t="shared" si="4"/>
        <v>mayo</v>
      </c>
      <c r="C138" s="37">
        <v>46157.0</v>
      </c>
      <c r="D138" s="28" t="s">
        <v>53</v>
      </c>
      <c r="E138" s="5">
        <v>71.0</v>
      </c>
      <c r="F138" s="5">
        <v>34.0</v>
      </c>
      <c r="G138" s="5">
        <v>7.0</v>
      </c>
      <c r="H138" s="5">
        <v>4.0</v>
      </c>
      <c r="J138" s="22"/>
      <c r="K138" s="24"/>
      <c r="L138" s="37"/>
    </row>
    <row r="139" ht="15.75" customHeight="1">
      <c r="A139" s="22" t="str">
        <f t="shared" si="3"/>
        <v>viernes</v>
      </c>
      <c r="B139" s="24" t="str">
        <f t="shared" si="4"/>
        <v>mayo</v>
      </c>
      <c r="C139" s="37">
        <v>46157.0</v>
      </c>
      <c r="D139" s="28" t="s">
        <v>65</v>
      </c>
      <c r="E139" s="5">
        <v>61.0</v>
      </c>
      <c r="F139" s="5">
        <v>53.0</v>
      </c>
      <c r="G139" s="5">
        <v>4.0</v>
      </c>
      <c r="H139" s="5">
        <v>1.0</v>
      </c>
      <c r="J139" s="22"/>
      <c r="K139" s="24"/>
      <c r="L139" s="37"/>
    </row>
    <row r="140" ht="15.75" customHeight="1">
      <c r="A140" s="22" t="str">
        <f t="shared" si="3"/>
        <v>viernes</v>
      </c>
      <c r="B140" s="24" t="str">
        <f t="shared" si="4"/>
        <v>mayo</v>
      </c>
      <c r="C140" s="37">
        <v>46157.0</v>
      </c>
      <c r="D140" s="28" t="s">
        <v>64</v>
      </c>
      <c r="E140" s="5">
        <v>128.0</v>
      </c>
      <c r="F140" s="5">
        <v>75.0</v>
      </c>
      <c r="G140" s="5">
        <v>6.0</v>
      </c>
      <c r="H140" s="5">
        <v>10.0</v>
      </c>
      <c r="J140" s="22"/>
      <c r="K140" s="24"/>
      <c r="L140" s="37"/>
    </row>
    <row r="141" ht="15.75" customHeight="1">
      <c r="A141" s="22" t="str">
        <f t="shared" si="3"/>
        <v>viernes</v>
      </c>
      <c r="B141" s="24" t="str">
        <f t="shared" si="4"/>
        <v>mayo</v>
      </c>
      <c r="C141" s="37">
        <v>46157.0</v>
      </c>
      <c r="D141" s="28" t="s">
        <v>66</v>
      </c>
      <c r="E141" s="5">
        <v>132.0</v>
      </c>
      <c r="F141" s="5">
        <v>99.0</v>
      </c>
      <c r="G141" s="5">
        <v>0.0</v>
      </c>
      <c r="H141" s="5">
        <v>16.0</v>
      </c>
      <c r="J141" s="22"/>
      <c r="K141" s="24"/>
      <c r="L141" s="37"/>
    </row>
    <row r="142" ht="15.75" customHeight="1">
      <c r="A142" s="22" t="str">
        <f t="shared" si="3"/>
        <v>sábado</v>
      </c>
      <c r="B142" s="24" t="str">
        <f t="shared" si="4"/>
        <v>mayo</v>
      </c>
      <c r="C142" s="37">
        <v>46158.0</v>
      </c>
      <c r="D142" s="28" t="s">
        <v>40</v>
      </c>
      <c r="E142" s="5">
        <v>57.0</v>
      </c>
      <c r="F142" s="5">
        <v>28.0</v>
      </c>
      <c r="G142" s="5">
        <v>9.0</v>
      </c>
      <c r="H142" s="5">
        <v>9.0</v>
      </c>
      <c r="J142" s="22"/>
      <c r="K142" s="24"/>
      <c r="L142" s="37"/>
    </row>
    <row r="143" ht="15.75" customHeight="1">
      <c r="A143" s="22" t="str">
        <f t="shared" si="3"/>
        <v>sábado</v>
      </c>
      <c r="B143" s="24" t="str">
        <f t="shared" si="4"/>
        <v>mayo</v>
      </c>
      <c r="C143" s="37">
        <v>46158.0</v>
      </c>
      <c r="D143" s="5" t="s">
        <v>43</v>
      </c>
      <c r="E143" s="5">
        <v>43.0</v>
      </c>
      <c r="F143" s="5">
        <v>24.0</v>
      </c>
      <c r="G143" s="5">
        <v>6.0</v>
      </c>
      <c r="H143" s="5">
        <v>7.0</v>
      </c>
      <c r="J143" s="22"/>
      <c r="K143" s="24"/>
      <c r="L143" s="37"/>
    </row>
    <row r="144" ht="15.75" customHeight="1">
      <c r="A144" s="22" t="str">
        <f t="shared" si="3"/>
        <v>sábado</v>
      </c>
      <c r="B144" s="24" t="str">
        <f t="shared" si="4"/>
        <v>mayo</v>
      </c>
      <c r="C144" s="37">
        <v>46158.0</v>
      </c>
      <c r="D144" s="28" t="s">
        <v>51</v>
      </c>
      <c r="E144" s="5">
        <v>86.0</v>
      </c>
      <c r="F144" s="5">
        <v>67.0</v>
      </c>
      <c r="G144" s="5">
        <v>4.0</v>
      </c>
      <c r="H144" s="5">
        <v>17.0</v>
      </c>
      <c r="J144" s="22"/>
      <c r="K144" s="24"/>
      <c r="L144" s="37"/>
    </row>
    <row r="145" ht="15.75" customHeight="1">
      <c r="A145" s="22" t="str">
        <f t="shared" si="3"/>
        <v>sábado</v>
      </c>
      <c r="B145" s="24" t="str">
        <f t="shared" si="4"/>
        <v>mayo</v>
      </c>
      <c r="C145" s="37">
        <v>46158.0</v>
      </c>
      <c r="D145" s="28" t="s">
        <v>59</v>
      </c>
      <c r="E145" s="5">
        <v>147.0</v>
      </c>
      <c r="F145" s="5">
        <v>145.0</v>
      </c>
      <c r="G145" s="5">
        <v>4.0</v>
      </c>
      <c r="H145" s="5">
        <v>0.0</v>
      </c>
      <c r="J145" s="22"/>
      <c r="K145" s="24"/>
      <c r="L145" s="37"/>
    </row>
    <row r="146" ht="15.75" customHeight="1">
      <c r="A146" s="22" t="str">
        <f t="shared" si="3"/>
        <v>sábado</v>
      </c>
      <c r="B146" s="24" t="str">
        <f t="shared" si="4"/>
        <v>mayo</v>
      </c>
      <c r="C146" s="37">
        <v>46158.0</v>
      </c>
      <c r="D146" s="28" t="s">
        <v>52</v>
      </c>
      <c r="E146" s="5">
        <v>68.0</v>
      </c>
      <c r="F146" s="5">
        <v>35.0</v>
      </c>
      <c r="G146" s="5">
        <v>4.0</v>
      </c>
      <c r="H146" s="5">
        <v>9.0</v>
      </c>
      <c r="J146" s="22"/>
      <c r="K146" s="24"/>
      <c r="L146" s="37"/>
    </row>
    <row r="147" ht="15.75" customHeight="1">
      <c r="A147" s="22" t="str">
        <f t="shared" si="3"/>
        <v>sábado</v>
      </c>
      <c r="B147" s="24" t="str">
        <f t="shared" si="4"/>
        <v>mayo</v>
      </c>
      <c r="C147" s="37">
        <v>46158.0</v>
      </c>
      <c r="D147" s="28" t="s">
        <v>53</v>
      </c>
      <c r="E147" s="5">
        <v>115.0</v>
      </c>
      <c r="F147" s="5">
        <v>54.0</v>
      </c>
      <c r="G147" s="5">
        <v>8.0</v>
      </c>
      <c r="H147" s="5">
        <v>1.0</v>
      </c>
      <c r="J147" s="22"/>
      <c r="K147" s="24"/>
      <c r="L147" s="37"/>
    </row>
    <row r="148" ht="15.75" customHeight="1">
      <c r="A148" s="22" t="str">
        <f t="shared" si="3"/>
        <v>domingo</v>
      </c>
      <c r="B148" s="24" t="str">
        <f t="shared" si="4"/>
        <v>mayo</v>
      </c>
      <c r="C148" s="37">
        <v>46159.0</v>
      </c>
      <c r="D148" s="28" t="s">
        <v>39</v>
      </c>
      <c r="E148" s="5">
        <v>69.0</v>
      </c>
      <c r="F148" s="5">
        <v>42.0</v>
      </c>
      <c r="G148" s="5">
        <v>7.0</v>
      </c>
      <c r="H148" s="5">
        <v>3.0</v>
      </c>
      <c r="J148" s="22"/>
      <c r="K148" s="24"/>
      <c r="L148" s="37"/>
    </row>
    <row r="149" ht="15.75" customHeight="1">
      <c r="A149" s="22" t="str">
        <f t="shared" si="3"/>
        <v>domingo</v>
      </c>
      <c r="B149" s="24" t="str">
        <f t="shared" si="4"/>
        <v>mayo</v>
      </c>
      <c r="C149" s="37">
        <v>46159.0</v>
      </c>
      <c r="D149" s="28" t="s">
        <v>40</v>
      </c>
      <c r="E149" s="5">
        <v>86.0</v>
      </c>
      <c r="F149" s="5">
        <v>40.0</v>
      </c>
      <c r="G149" s="5">
        <v>4.0</v>
      </c>
      <c r="H149" s="5">
        <v>10.0</v>
      </c>
      <c r="J149" s="22"/>
      <c r="K149" s="24"/>
      <c r="L149" s="37"/>
    </row>
    <row r="150" ht="15.75" customHeight="1">
      <c r="A150" s="22" t="str">
        <f t="shared" si="3"/>
        <v>domingo</v>
      </c>
      <c r="B150" s="24" t="str">
        <f t="shared" si="4"/>
        <v>mayo</v>
      </c>
      <c r="C150" s="37">
        <v>46159.0</v>
      </c>
      <c r="D150" s="5" t="s">
        <v>43</v>
      </c>
      <c r="E150" s="5">
        <v>65.0</v>
      </c>
      <c r="F150" s="5">
        <v>42.0</v>
      </c>
      <c r="G150" s="5">
        <v>3.0</v>
      </c>
      <c r="H150" s="5">
        <v>5.0</v>
      </c>
      <c r="J150" s="22"/>
      <c r="K150" s="24"/>
      <c r="L150" s="37"/>
    </row>
    <row r="151" ht="15.75" customHeight="1">
      <c r="A151" s="22" t="str">
        <f t="shared" si="3"/>
        <v>domingo</v>
      </c>
      <c r="B151" s="24" t="str">
        <f t="shared" si="4"/>
        <v>mayo</v>
      </c>
      <c r="C151" s="37">
        <v>46159.0</v>
      </c>
      <c r="D151" s="28" t="s">
        <v>59</v>
      </c>
      <c r="E151" s="5">
        <v>125.0</v>
      </c>
      <c r="F151" s="5">
        <v>124.0</v>
      </c>
      <c r="G151" s="5">
        <v>6.0</v>
      </c>
      <c r="H151" s="5">
        <v>1.0</v>
      </c>
      <c r="J151" s="22"/>
      <c r="K151" s="24"/>
      <c r="L151" s="37"/>
    </row>
    <row r="152" ht="15.75" customHeight="1">
      <c r="A152" s="22" t="str">
        <f t="shared" si="3"/>
        <v>domingo</v>
      </c>
      <c r="B152" s="24" t="str">
        <f t="shared" si="4"/>
        <v>mayo</v>
      </c>
      <c r="C152" s="37">
        <v>46159.0</v>
      </c>
      <c r="D152" s="28" t="s">
        <v>52</v>
      </c>
      <c r="E152" s="5">
        <v>97.0</v>
      </c>
      <c r="F152" s="5">
        <v>75.0</v>
      </c>
      <c r="G152" s="5">
        <v>5.0</v>
      </c>
      <c r="H152" s="5">
        <v>10.0</v>
      </c>
      <c r="J152" s="22"/>
      <c r="K152" s="24"/>
      <c r="L152" s="37"/>
    </row>
    <row r="153" ht="15.75" customHeight="1">
      <c r="A153" s="22" t="str">
        <f t="shared" si="3"/>
        <v>domingo</v>
      </c>
      <c r="B153" s="24" t="str">
        <f t="shared" si="4"/>
        <v>mayo</v>
      </c>
      <c r="C153" s="37">
        <v>46159.0</v>
      </c>
      <c r="D153" s="28" t="s">
        <v>53</v>
      </c>
      <c r="E153" s="5">
        <v>101.0</v>
      </c>
      <c r="F153" s="5">
        <v>51.0</v>
      </c>
      <c r="G153" s="5">
        <v>5.0</v>
      </c>
      <c r="H153" s="5">
        <v>3.0</v>
      </c>
      <c r="J153" s="22"/>
      <c r="K153" s="24"/>
      <c r="L153" s="37"/>
    </row>
    <row r="154" ht="15.75" customHeight="1">
      <c r="A154" s="22" t="str">
        <f t="shared" si="3"/>
        <v>domingo</v>
      </c>
      <c r="B154" s="24" t="str">
        <f t="shared" si="4"/>
        <v>mayo</v>
      </c>
      <c r="C154" s="37">
        <v>46159.0</v>
      </c>
      <c r="D154" s="28" t="s">
        <v>60</v>
      </c>
      <c r="E154" s="5">
        <v>115.0</v>
      </c>
      <c r="F154" s="5">
        <v>54.0</v>
      </c>
      <c r="G154" s="5">
        <v>3.0</v>
      </c>
      <c r="H154" s="5">
        <v>1.0</v>
      </c>
      <c r="J154" s="22"/>
      <c r="K154" s="24"/>
      <c r="L154" s="37"/>
    </row>
    <row r="155" ht="15.75" customHeight="1">
      <c r="A155" s="22" t="str">
        <f t="shared" si="3"/>
        <v>lunes</v>
      </c>
      <c r="B155" s="24" t="str">
        <f t="shared" si="4"/>
        <v>mayo</v>
      </c>
      <c r="C155" s="37">
        <v>46160.0</v>
      </c>
      <c r="D155" s="28" t="s">
        <v>39</v>
      </c>
      <c r="E155" s="5">
        <v>44.0</v>
      </c>
      <c r="F155" s="5">
        <v>22.0</v>
      </c>
      <c r="G155" s="5">
        <v>1.0</v>
      </c>
      <c r="H155" s="5">
        <v>6.0</v>
      </c>
      <c r="J155" s="22"/>
      <c r="K155" s="24"/>
      <c r="L155" s="37"/>
    </row>
    <row r="156" ht="15.75" customHeight="1">
      <c r="A156" s="22" t="str">
        <f t="shared" si="3"/>
        <v>lunes</v>
      </c>
      <c r="B156" s="24" t="str">
        <f t="shared" si="4"/>
        <v>mayo</v>
      </c>
      <c r="C156" s="37">
        <v>46160.0</v>
      </c>
      <c r="D156" s="28" t="s">
        <v>41</v>
      </c>
      <c r="E156" s="5">
        <v>59.0</v>
      </c>
      <c r="F156" s="5">
        <v>52.0</v>
      </c>
      <c r="G156" s="5">
        <v>2.0</v>
      </c>
      <c r="H156" s="5">
        <v>7.0</v>
      </c>
      <c r="J156" s="22"/>
      <c r="K156" s="24"/>
      <c r="L156" s="37"/>
    </row>
    <row r="157" ht="15.75" customHeight="1">
      <c r="A157" s="22" t="str">
        <f t="shared" si="3"/>
        <v>lunes</v>
      </c>
      <c r="B157" s="24" t="str">
        <f t="shared" si="4"/>
        <v>mayo</v>
      </c>
      <c r="C157" s="37">
        <v>46160.0</v>
      </c>
      <c r="D157" s="28" t="s">
        <v>42</v>
      </c>
      <c r="E157" s="5">
        <v>82.0</v>
      </c>
      <c r="F157" s="5">
        <v>54.0</v>
      </c>
      <c r="G157" s="5">
        <v>5.0</v>
      </c>
      <c r="H157" s="5">
        <v>6.0</v>
      </c>
      <c r="J157" s="22"/>
      <c r="K157" s="24"/>
      <c r="L157" s="37"/>
    </row>
    <row r="158" ht="15.75" customHeight="1">
      <c r="A158" s="22" t="str">
        <f t="shared" si="3"/>
        <v>lunes</v>
      </c>
      <c r="B158" s="24" t="str">
        <f t="shared" si="4"/>
        <v>mayo</v>
      </c>
      <c r="C158" s="37">
        <v>46160.0</v>
      </c>
      <c r="D158" s="28" t="s">
        <v>44</v>
      </c>
      <c r="E158" s="5">
        <v>91.0</v>
      </c>
      <c r="F158" s="5">
        <v>90.0</v>
      </c>
      <c r="G158" s="5">
        <v>0.0</v>
      </c>
      <c r="H158" s="5">
        <v>0.0</v>
      </c>
      <c r="J158" s="22"/>
      <c r="K158" s="24"/>
      <c r="L158" s="37"/>
    </row>
    <row r="159" ht="15.75" customHeight="1">
      <c r="A159" s="22" t="str">
        <f t="shared" si="3"/>
        <v>lunes</v>
      </c>
      <c r="B159" s="24" t="str">
        <f t="shared" si="4"/>
        <v>mayo</v>
      </c>
      <c r="C159" s="37">
        <v>46160.0</v>
      </c>
      <c r="D159" s="28" t="s">
        <v>59</v>
      </c>
      <c r="E159" s="5">
        <v>57.0</v>
      </c>
      <c r="F159" s="5">
        <v>49.0</v>
      </c>
      <c r="G159" s="5">
        <v>2.0</v>
      </c>
      <c r="H159" s="5">
        <v>3.0</v>
      </c>
      <c r="J159" s="22"/>
      <c r="K159" s="24"/>
      <c r="L159" s="37"/>
    </row>
    <row r="160" ht="15.75" customHeight="1">
      <c r="A160" s="22" t="str">
        <f t="shared" si="3"/>
        <v>lunes</v>
      </c>
      <c r="B160" s="24" t="str">
        <f t="shared" si="4"/>
        <v>mayo</v>
      </c>
      <c r="C160" s="37">
        <v>46160.0</v>
      </c>
      <c r="D160" s="28" t="s">
        <v>58</v>
      </c>
      <c r="E160" s="5">
        <v>65.0</v>
      </c>
      <c r="F160" s="5">
        <v>31.0</v>
      </c>
      <c r="G160" s="5">
        <v>3.0</v>
      </c>
      <c r="H160" s="5">
        <v>2.0</v>
      </c>
      <c r="J160" s="22"/>
      <c r="K160" s="24"/>
      <c r="L160" s="37"/>
    </row>
    <row r="161" ht="15.75" customHeight="1">
      <c r="A161" s="22" t="str">
        <f t="shared" si="3"/>
        <v>lunes</v>
      </c>
      <c r="B161" s="24" t="str">
        <f t="shared" si="4"/>
        <v>mayo</v>
      </c>
      <c r="C161" s="37">
        <v>46160.0</v>
      </c>
      <c r="D161" s="28" t="s">
        <v>64</v>
      </c>
      <c r="E161" s="5">
        <v>160.0</v>
      </c>
      <c r="F161" s="5">
        <v>88.0</v>
      </c>
      <c r="G161" s="5">
        <v>9.0</v>
      </c>
      <c r="H161" s="5">
        <v>16.0</v>
      </c>
      <c r="J161" s="22"/>
      <c r="K161" s="24"/>
      <c r="L161" s="37"/>
    </row>
    <row r="162" ht="15.75" customHeight="1">
      <c r="A162" s="22" t="str">
        <f t="shared" si="3"/>
        <v>lunes</v>
      </c>
      <c r="B162" s="24" t="str">
        <f t="shared" si="4"/>
        <v>mayo</v>
      </c>
      <c r="C162" s="37">
        <v>46160.0</v>
      </c>
      <c r="D162" s="28" t="s">
        <v>65</v>
      </c>
      <c r="E162" s="5">
        <v>76.0</v>
      </c>
      <c r="F162" s="5">
        <v>66.0</v>
      </c>
      <c r="G162" s="5">
        <v>5.0</v>
      </c>
      <c r="H162" s="5">
        <v>0.0</v>
      </c>
      <c r="J162" s="22"/>
      <c r="K162" s="24"/>
      <c r="L162" s="37"/>
    </row>
    <row r="163" ht="15.75" customHeight="1">
      <c r="A163" s="22" t="str">
        <f t="shared" si="3"/>
        <v>lunes</v>
      </c>
      <c r="B163" s="24" t="str">
        <f t="shared" si="4"/>
        <v>mayo</v>
      </c>
      <c r="C163" s="37">
        <v>46160.0</v>
      </c>
      <c r="D163" s="28" t="s">
        <v>60</v>
      </c>
      <c r="E163" s="5">
        <v>144.0</v>
      </c>
      <c r="F163" s="5">
        <v>52.0</v>
      </c>
      <c r="G163" s="5">
        <v>5.0</v>
      </c>
      <c r="H163" s="5">
        <v>30.0</v>
      </c>
      <c r="J163" s="22"/>
      <c r="K163" s="24"/>
      <c r="L163" s="37"/>
    </row>
    <row r="164" ht="15.75" customHeight="1">
      <c r="A164" s="22" t="str">
        <f t="shared" si="3"/>
        <v>lunes</v>
      </c>
      <c r="B164" s="24" t="str">
        <f t="shared" si="4"/>
        <v>mayo</v>
      </c>
      <c r="C164" s="37">
        <v>46160.0</v>
      </c>
      <c r="D164" s="28" t="s">
        <v>66</v>
      </c>
      <c r="E164" s="5">
        <v>95.0</v>
      </c>
      <c r="F164" s="5">
        <v>79.0</v>
      </c>
      <c r="G164" s="5">
        <v>2.0</v>
      </c>
      <c r="H164" s="5">
        <v>5.0</v>
      </c>
      <c r="J164" s="22"/>
      <c r="K164" s="24"/>
      <c r="L164" s="37"/>
    </row>
    <row r="165" ht="15.75" customHeight="1">
      <c r="A165" s="22" t="str">
        <f t="shared" si="3"/>
        <v>martes</v>
      </c>
      <c r="B165" s="24" t="str">
        <f t="shared" si="4"/>
        <v>mayo</v>
      </c>
      <c r="C165" s="37">
        <v>46161.0</v>
      </c>
      <c r="D165" s="28" t="s">
        <v>39</v>
      </c>
      <c r="E165" s="5">
        <v>48.0</v>
      </c>
      <c r="F165" s="5">
        <v>37.0</v>
      </c>
      <c r="G165" s="5">
        <v>0.0</v>
      </c>
      <c r="H165" s="5">
        <v>9.0</v>
      </c>
      <c r="J165" s="22"/>
      <c r="K165" s="24"/>
      <c r="L165" s="37"/>
    </row>
    <row r="166" ht="15.75" customHeight="1">
      <c r="A166" s="22" t="str">
        <f t="shared" si="3"/>
        <v>martes</v>
      </c>
      <c r="B166" s="24" t="str">
        <f t="shared" si="4"/>
        <v>mayo</v>
      </c>
      <c r="C166" s="37">
        <v>46161.0</v>
      </c>
      <c r="D166" s="28" t="s">
        <v>41</v>
      </c>
      <c r="E166" s="5">
        <v>56.0</v>
      </c>
      <c r="F166" s="5">
        <v>45.0</v>
      </c>
      <c r="G166" s="5">
        <v>2.0</v>
      </c>
      <c r="H166" s="5">
        <v>2.0</v>
      </c>
      <c r="J166" s="22"/>
      <c r="K166" s="24"/>
      <c r="L166" s="37"/>
    </row>
    <row r="167" ht="15.75" customHeight="1">
      <c r="A167" s="22" t="str">
        <f t="shared" si="3"/>
        <v>martes</v>
      </c>
      <c r="B167" s="24" t="str">
        <f t="shared" si="4"/>
        <v>mayo</v>
      </c>
      <c r="C167" s="37">
        <v>46161.0</v>
      </c>
      <c r="D167" s="28" t="s">
        <v>42</v>
      </c>
      <c r="E167" s="5">
        <v>74.0</v>
      </c>
      <c r="F167" s="5">
        <v>47.0</v>
      </c>
      <c r="G167" s="5">
        <v>2.0</v>
      </c>
      <c r="H167" s="5">
        <v>5.0</v>
      </c>
      <c r="J167" s="22"/>
      <c r="K167" s="24"/>
      <c r="L167" s="37"/>
    </row>
    <row r="168" ht="15.75" customHeight="1">
      <c r="A168" s="22" t="str">
        <f t="shared" si="3"/>
        <v>martes</v>
      </c>
      <c r="B168" s="24" t="str">
        <f t="shared" si="4"/>
        <v>mayo</v>
      </c>
      <c r="C168" s="37">
        <v>46161.0</v>
      </c>
      <c r="D168" s="28" t="s">
        <v>59</v>
      </c>
      <c r="E168" s="5">
        <v>62.0</v>
      </c>
      <c r="F168" s="5">
        <v>45.0</v>
      </c>
      <c r="G168" s="5">
        <v>1.0</v>
      </c>
      <c r="H168" s="5">
        <v>1.0</v>
      </c>
      <c r="J168" s="22"/>
      <c r="K168" s="24"/>
      <c r="L168" s="37"/>
    </row>
    <row r="169" ht="15.75" customHeight="1">
      <c r="A169" s="22" t="str">
        <f t="shared" si="3"/>
        <v>martes</v>
      </c>
      <c r="B169" s="24" t="str">
        <f t="shared" si="4"/>
        <v>mayo</v>
      </c>
      <c r="C169" s="37">
        <v>46161.0</v>
      </c>
      <c r="D169" s="5" t="s">
        <v>46</v>
      </c>
      <c r="E169" s="5">
        <v>71.0</v>
      </c>
      <c r="F169" s="5">
        <v>53.0</v>
      </c>
      <c r="G169" s="5">
        <v>4.0</v>
      </c>
      <c r="H169" s="5">
        <v>7.0</v>
      </c>
      <c r="J169" s="22"/>
      <c r="K169" s="24"/>
      <c r="L169" s="37"/>
    </row>
    <row r="170" ht="15.75" customHeight="1">
      <c r="A170" s="22" t="str">
        <f t="shared" si="3"/>
        <v>martes</v>
      </c>
      <c r="B170" s="24" t="str">
        <f t="shared" si="4"/>
        <v>mayo</v>
      </c>
      <c r="C170" s="37">
        <v>46161.0</v>
      </c>
      <c r="D170" s="28" t="s">
        <v>67</v>
      </c>
      <c r="E170" s="5">
        <v>76.0</v>
      </c>
      <c r="F170" s="5">
        <v>61.0</v>
      </c>
      <c r="G170" s="5">
        <v>6.0</v>
      </c>
      <c r="H170" s="5">
        <v>1.0</v>
      </c>
      <c r="J170" s="22"/>
      <c r="K170" s="24"/>
      <c r="L170" s="37"/>
    </row>
    <row r="171" ht="15.75" customHeight="1">
      <c r="A171" s="22" t="str">
        <f t="shared" si="3"/>
        <v>martes</v>
      </c>
      <c r="B171" s="24" t="str">
        <f t="shared" si="4"/>
        <v>mayo</v>
      </c>
      <c r="C171" s="37">
        <v>46161.0</v>
      </c>
      <c r="D171" s="28" t="s">
        <v>58</v>
      </c>
      <c r="E171" s="5">
        <v>74.0</v>
      </c>
      <c r="F171" s="5">
        <v>37.0</v>
      </c>
      <c r="G171" s="5">
        <v>1.0</v>
      </c>
      <c r="H171" s="5">
        <v>2.0</v>
      </c>
      <c r="J171" s="22"/>
      <c r="K171" s="24"/>
      <c r="L171" s="37"/>
    </row>
    <row r="172" ht="15.75" customHeight="1">
      <c r="A172" s="22" t="str">
        <f t="shared" si="3"/>
        <v>martes</v>
      </c>
      <c r="B172" s="24" t="str">
        <f t="shared" si="4"/>
        <v>mayo</v>
      </c>
      <c r="C172" s="37">
        <v>46161.0</v>
      </c>
      <c r="D172" s="28" t="s">
        <v>64</v>
      </c>
      <c r="E172" s="5">
        <v>165.0</v>
      </c>
      <c r="F172" s="5">
        <v>99.0</v>
      </c>
      <c r="G172" s="5">
        <v>9.0</v>
      </c>
      <c r="H172" s="5">
        <v>10.0</v>
      </c>
      <c r="J172" s="22"/>
      <c r="K172" s="24"/>
      <c r="L172" s="37"/>
    </row>
    <row r="173" ht="15.75" customHeight="1">
      <c r="A173" s="22" t="str">
        <f t="shared" si="3"/>
        <v>martes</v>
      </c>
      <c r="B173" s="24" t="str">
        <f t="shared" si="4"/>
        <v>mayo</v>
      </c>
      <c r="C173" s="37">
        <v>46161.0</v>
      </c>
      <c r="D173" s="28" t="s">
        <v>65</v>
      </c>
      <c r="E173" s="5">
        <v>34.0</v>
      </c>
      <c r="F173" s="5">
        <v>27.0</v>
      </c>
      <c r="G173" s="5">
        <v>5.0</v>
      </c>
      <c r="H173" s="5">
        <v>0.0</v>
      </c>
      <c r="J173" s="22"/>
      <c r="K173" s="24"/>
      <c r="L173" s="37"/>
    </row>
    <row r="174" ht="15.75" customHeight="1">
      <c r="A174" s="22" t="str">
        <f t="shared" si="3"/>
        <v>martes</v>
      </c>
      <c r="B174" s="24" t="str">
        <f t="shared" si="4"/>
        <v>mayo</v>
      </c>
      <c r="C174" s="37">
        <v>46161.0</v>
      </c>
      <c r="D174" s="28" t="s">
        <v>66</v>
      </c>
      <c r="E174" s="5">
        <v>86.0</v>
      </c>
      <c r="F174" s="5">
        <v>83.0</v>
      </c>
      <c r="G174" s="5">
        <v>1.0</v>
      </c>
      <c r="H174" s="5">
        <v>6.0</v>
      </c>
      <c r="J174" s="22"/>
      <c r="K174" s="24"/>
      <c r="L174" s="37"/>
    </row>
    <row r="175" ht="15.75" customHeight="1">
      <c r="A175" s="22" t="str">
        <f t="shared" si="3"/>
        <v>miércoles</v>
      </c>
      <c r="B175" s="24" t="str">
        <f t="shared" si="4"/>
        <v>mayo</v>
      </c>
      <c r="C175" s="37">
        <v>46162.0</v>
      </c>
      <c r="D175" s="28" t="s">
        <v>39</v>
      </c>
      <c r="E175" s="5">
        <v>70.0</v>
      </c>
      <c r="F175" s="5">
        <v>53.0</v>
      </c>
      <c r="G175" s="5">
        <v>1.0</v>
      </c>
      <c r="H175" s="5">
        <v>12.0</v>
      </c>
      <c r="J175" s="22"/>
      <c r="K175" s="24"/>
      <c r="L175" s="37"/>
    </row>
    <row r="176" ht="15.75" customHeight="1">
      <c r="A176" s="22" t="str">
        <f t="shared" si="3"/>
        <v>miércoles</v>
      </c>
      <c r="B176" s="24" t="str">
        <f t="shared" si="4"/>
        <v>mayo</v>
      </c>
      <c r="C176" s="37">
        <v>46162.0</v>
      </c>
      <c r="D176" s="28" t="s">
        <v>41</v>
      </c>
      <c r="E176" s="5">
        <v>95.0</v>
      </c>
      <c r="F176" s="5">
        <v>19.0</v>
      </c>
      <c r="G176" s="5">
        <v>1.0</v>
      </c>
      <c r="H176" s="5">
        <v>6.0</v>
      </c>
      <c r="J176" s="22"/>
      <c r="K176" s="24"/>
      <c r="L176" s="37"/>
    </row>
    <row r="177" ht="15.75" customHeight="1">
      <c r="A177" s="22" t="str">
        <f t="shared" si="3"/>
        <v>miércoles</v>
      </c>
      <c r="B177" s="24" t="str">
        <f t="shared" si="4"/>
        <v>mayo</v>
      </c>
      <c r="C177" s="37">
        <v>46162.0</v>
      </c>
      <c r="D177" s="28" t="s">
        <v>42</v>
      </c>
      <c r="E177" s="5">
        <v>93.0</v>
      </c>
      <c r="F177" s="5">
        <v>56.0</v>
      </c>
      <c r="G177" s="5">
        <v>2.0</v>
      </c>
      <c r="H177" s="5">
        <v>4.0</v>
      </c>
      <c r="J177" s="22"/>
      <c r="K177" s="24"/>
      <c r="L177" s="37"/>
    </row>
    <row r="178" ht="15.75" customHeight="1">
      <c r="A178" s="22" t="str">
        <f t="shared" si="3"/>
        <v>miércoles</v>
      </c>
      <c r="B178" s="24" t="str">
        <f t="shared" si="4"/>
        <v>mayo</v>
      </c>
      <c r="C178" s="37">
        <v>46162.0</v>
      </c>
      <c r="D178" s="28" t="s">
        <v>51</v>
      </c>
      <c r="E178" s="5">
        <v>112.0</v>
      </c>
      <c r="F178" s="5">
        <v>92.0</v>
      </c>
      <c r="G178" s="5">
        <v>4.0</v>
      </c>
      <c r="H178" s="5">
        <v>18.0</v>
      </c>
      <c r="J178" s="22"/>
      <c r="K178" s="24"/>
      <c r="L178" s="37"/>
    </row>
    <row r="179" ht="15.75" customHeight="1">
      <c r="A179" s="22" t="str">
        <f t="shared" si="3"/>
        <v>miércoles</v>
      </c>
      <c r="B179" s="24" t="str">
        <f t="shared" si="4"/>
        <v>mayo</v>
      </c>
      <c r="C179" s="37">
        <v>46162.0</v>
      </c>
      <c r="D179" s="5" t="s">
        <v>46</v>
      </c>
      <c r="E179" s="5">
        <v>78.0</v>
      </c>
      <c r="F179" s="5">
        <v>32.0</v>
      </c>
      <c r="G179" s="5">
        <v>3.0</v>
      </c>
      <c r="H179" s="5">
        <v>6.0</v>
      </c>
      <c r="J179" s="22"/>
      <c r="K179" s="24"/>
      <c r="L179" s="37"/>
    </row>
    <row r="180" ht="15.75" customHeight="1">
      <c r="A180" s="22" t="str">
        <f t="shared" si="3"/>
        <v>miércoles</v>
      </c>
      <c r="B180" s="24" t="str">
        <f t="shared" si="4"/>
        <v>mayo</v>
      </c>
      <c r="C180" s="37">
        <v>46162.0</v>
      </c>
      <c r="D180" s="28" t="s">
        <v>67</v>
      </c>
      <c r="E180" s="5">
        <v>66.0</v>
      </c>
      <c r="F180" s="5">
        <v>59.0</v>
      </c>
      <c r="G180" s="5">
        <v>3.0</v>
      </c>
      <c r="H180" s="5">
        <v>4.0</v>
      </c>
      <c r="J180" s="22"/>
      <c r="K180" s="24"/>
      <c r="L180" s="37"/>
    </row>
    <row r="181" ht="15.75" customHeight="1">
      <c r="A181" s="22" t="str">
        <f t="shared" si="3"/>
        <v>miércoles</v>
      </c>
      <c r="B181" s="24" t="str">
        <f t="shared" si="4"/>
        <v>mayo</v>
      </c>
      <c r="C181" s="37">
        <v>46162.0</v>
      </c>
      <c r="D181" s="28" t="s">
        <v>58</v>
      </c>
      <c r="E181" s="5">
        <v>78.0</v>
      </c>
      <c r="F181" s="5">
        <v>40.0</v>
      </c>
      <c r="G181" s="5">
        <v>6.0</v>
      </c>
      <c r="H181" s="5">
        <v>6.0</v>
      </c>
      <c r="J181" s="22"/>
      <c r="K181" s="24"/>
      <c r="L181" s="37"/>
    </row>
    <row r="182" ht="15.75" customHeight="1">
      <c r="A182" s="22" t="str">
        <f t="shared" si="3"/>
        <v>miércoles</v>
      </c>
      <c r="B182" s="24" t="str">
        <f t="shared" si="4"/>
        <v>mayo</v>
      </c>
      <c r="C182" s="37">
        <v>46162.0</v>
      </c>
      <c r="D182" s="28" t="s">
        <v>64</v>
      </c>
      <c r="E182" s="5">
        <v>189.0</v>
      </c>
      <c r="F182" s="5">
        <v>119.0</v>
      </c>
      <c r="G182" s="5">
        <v>1.0</v>
      </c>
      <c r="H182" s="5">
        <v>11.0</v>
      </c>
    </row>
    <row r="183" ht="15.75" customHeight="1">
      <c r="A183" s="22" t="str">
        <f t="shared" si="3"/>
        <v>miércoles</v>
      </c>
      <c r="B183" s="24" t="str">
        <f t="shared" si="4"/>
        <v>mayo</v>
      </c>
      <c r="C183" s="37">
        <v>46162.0</v>
      </c>
      <c r="D183" s="28" t="s">
        <v>65</v>
      </c>
      <c r="E183" s="5">
        <v>87.0</v>
      </c>
      <c r="F183" s="5">
        <v>81.0</v>
      </c>
      <c r="G183" s="5">
        <v>1.0</v>
      </c>
      <c r="H183" s="5">
        <v>8.0</v>
      </c>
    </row>
    <row r="184" ht="15.75" customHeight="1">
      <c r="A184" s="22" t="str">
        <f t="shared" si="3"/>
        <v>miércoles</v>
      </c>
      <c r="B184" s="24" t="str">
        <f t="shared" si="4"/>
        <v>mayo</v>
      </c>
      <c r="C184" s="37">
        <v>46162.0</v>
      </c>
      <c r="D184" s="28" t="s">
        <v>66</v>
      </c>
      <c r="E184" s="5">
        <v>128.0</v>
      </c>
      <c r="F184" s="5">
        <v>107.0</v>
      </c>
      <c r="G184" s="5">
        <v>0.0</v>
      </c>
      <c r="H184" s="5">
        <v>6.0</v>
      </c>
    </row>
    <row r="185" ht="15.75" customHeight="1">
      <c r="A185" s="22" t="str">
        <f t="shared" si="3"/>
        <v>jueves</v>
      </c>
      <c r="B185" s="24" t="str">
        <f t="shared" si="4"/>
        <v>mayo</v>
      </c>
      <c r="C185" s="37">
        <v>46163.0</v>
      </c>
      <c r="D185" s="28" t="s">
        <v>40</v>
      </c>
      <c r="E185" s="5">
        <v>91.0</v>
      </c>
      <c r="F185" s="5">
        <v>39.0</v>
      </c>
      <c r="G185" s="5">
        <v>0.0</v>
      </c>
      <c r="H185" s="5">
        <v>15.0</v>
      </c>
    </row>
    <row r="186" ht="15.75" customHeight="1">
      <c r="A186" s="22" t="str">
        <f t="shared" si="3"/>
        <v>jueves</v>
      </c>
      <c r="B186" s="24" t="str">
        <f t="shared" si="4"/>
        <v>mayo</v>
      </c>
      <c r="C186" s="37">
        <v>46163.0</v>
      </c>
      <c r="D186" s="28" t="s">
        <v>41</v>
      </c>
      <c r="E186" s="5">
        <v>138.0</v>
      </c>
      <c r="F186" s="5">
        <v>121.0</v>
      </c>
      <c r="G186" s="5">
        <v>0.0</v>
      </c>
      <c r="H186" s="5">
        <v>0.0</v>
      </c>
    </row>
    <row r="187" ht="15.75" customHeight="1">
      <c r="A187" s="22" t="str">
        <f t="shared" si="3"/>
        <v>jueves</v>
      </c>
      <c r="B187" s="24" t="str">
        <f t="shared" si="4"/>
        <v>mayo</v>
      </c>
      <c r="C187" s="37">
        <v>46163.0</v>
      </c>
      <c r="D187" s="28" t="s">
        <v>42</v>
      </c>
      <c r="E187" s="5">
        <v>152.0</v>
      </c>
      <c r="F187" s="5">
        <v>82.0</v>
      </c>
      <c r="G187" s="5">
        <v>1.0</v>
      </c>
      <c r="H187" s="5">
        <v>5.0</v>
      </c>
    </row>
    <row r="188" ht="15.75" customHeight="1">
      <c r="A188" s="22" t="str">
        <f t="shared" si="3"/>
        <v>jueves</v>
      </c>
      <c r="B188" s="24" t="str">
        <f t="shared" si="4"/>
        <v>mayo</v>
      </c>
      <c r="C188" s="37">
        <v>46163.0</v>
      </c>
      <c r="D188" s="28" t="s">
        <v>51</v>
      </c>
      <c r="E188" s="5">
        <v>165.0</v>
      </c>
      <c r="F188" s="5">
        <v>145.0</v>
      </c>
      <c r="G188" s="5">
        <v>3.0</v>
      </c>
      <c r="H188" s="5">
        <v>11.0</v>
      </c>
    </row>
    <row r="189" ht="15.75" customHeight="1">
      <c r="A189" s="22" t="str">
        <f t="shared" si="3"/>
        <v>jueves</v>
      </c>
      <c r="B189" s="24" t="str">
        <f t="shared" si="4"/>
        <v>mayo</v>
      </c>
      <c r="C189" s="37">
        <v>46163.0</v>
      </c>
      <c r="D189" s="28" t="s">
        <v>67</v>
      </c>
      <c r="E189" s="5">
        <v>62.0</v>
      </c>
      <c r="F189" s="5">
        <v>23.0</v>
      </c>
      <c r="G189" s="5">
        <v>3.0</v>
      </c>
      <c r="H189" s="5">
        <v>0.0</v>
      </c>
    </row>
    <row r="190" ht="15.75" customHeight="1">
      <c r="A190" s="22" t="str">
        <f t="shared" si="3"/>
        <v>jueves</v>
      </c>
      <c r="B190" s="24" t="str">
        <f t="shared" si="4"/>
        <v>mayo</v>
      </c>
      <c r="C190" s="37">
        <v>46163.0</v>
      </c>
      <c r="D190" s="28" t="s">
        <v>58</v>
      </c>
      <c r="E190" s="5">
        <v>132.0</v>
      </c>
      <c r="F190" s="5">
        <v>61.0</v>
      </c>
      <c r="G190" s="5">
        <v>5.0</v>
      </c>
      <c r="H190" s="5">
        <v>2.0</v>
      </c>
    </row>
    <row r="191" ht="15.75" customHeight="1">
      <c r="A191" s="22" t="str">
        <f t="shared" si="3"/>
        <v>jueves</v>
      </c>
      <c r="B191" s="24" t="str">
        <f t="shared" si="4"/>
        <v>mayo</v>
      </c>
      <c r="C191" s="37">
        <v>46163.0</v>
      </c>
      <c r="D191" s="28" t="s">
        <v>52</v>
      </c>
      <c r="E191" s="5">
        <v>26.0</v>
      </c>
      <c r="F191" s="5">
        <v>23.0</v>
      </c>
      <c r="G191" s="5">
        <v>2.0</v>
      </c>
      <c r="H191" s="5">
        <v>5.0</v>
      </c>
    </row>
    <row r="192" ht="15.75" customHeight="1">
      <c r="A192" s="22" t="str">
        <f t="shared" si="3"/>
        <v>jueves</v>
      </c>
      <c r="B192" s="24" t="str">
        <f t="shared" si="4"/>
        <v>mayo</v>
      </c>
      <c r="C192" s="37">
        <v>46163.0</v>
      </c>
      <c r="D192" s="28" t="s">
        <v>53</v>
      </c>
      <c r="E192" s="5">
        <v>43.0</v>
      </c>
      <c r="F192" s="5">
        <v>35.0</v>
      </c>
      <c r="G192" s="5">
        <v>2.0</v>
      </c>
      <c r="H192" s="5">
        <v>3.0</v>
      </c>
    </row>
    <row r="193" ht="15.75" customHeight="1">
      <c r="A193" s="22" t="str">
        <f t="shared" si="3"/>
        <v>jueves</v>
      </c>
      <c r="B193" s="24" t="str">
        <f t="shared" si="4"/>
        <v>mayo</v>
      </c>
      <c r="C193" s="37">
        <v>46163.0</v>
      </c>
      <c r="D193" s="28" t="s">
        <v>64</v>
      </c>
      <c r="E193" s="5">
        <v>338.0</v>
      </c>
      <c r="F193" s="5">
        <v>224.0</v>
      </c>
      <c r="G193" s="5">
        <v>13.0</v>
      </c>
      <c r="H193" s="5">
        <v>20.0</v>
      </c>
    </row>
    <row r="194" ht="15.75" customHeight="1">
      <c r="A194" s="22" t="str">
        <f t="shared" si="3"/>
        <v>jueves</v>
      </c>
      <c r="B194" s="24" t="str">
        <f t="shared" si="4"/>
        <v>mayo</v>
      </c>
      <c r="C194" s="37">
        <v>46163.0</v>
      </c>
      <c r="D194" s="28" t="s">
        <v>65</v>
      </c>
      <c r="E194" s="5">
        <v>173.0</v>
      </c>
      <c r="F194" s="5">
        <v>147.0</v>
      </c>
      <c r="G194" s="5">
        <v>2.0</v>
      </c>
      <c r="H194" s="5">
        <v>1.0</v>
      </c>
    </row>
    <row r="195" ht="15.75" customHeight="1">
      <c r="A195" s="22" t="str">
        <f t="shared" si="3"/>
        <v>jueves</v>
      </c>
      <c r="B195" s="24" t="str">
        <f t="shared" si="4"/>
        <v>mayo</v>
      </c>
      <c r="C195" s="37">
        <v>46163.0</v>
      </c>
      <c r="D195" s="28" t="s">
        <v>66</v>
      </c>
      <c r="E195" s="5">
        <v>247.0</v>
      </c>
      <c r="F195" s="5">
        <v>214.0</v>
      </c>
      <c r="G195" s="5">
        <v>0.0</v>
      </c>
      <c r="H195" s="5">
        <v>3.0</v>
      </c>
    </row>
    <row r="196" ht="15.75" customHeight="1">
      <c r="A196" s="22" t="str">
        <f t="shared" si="3"/>
        <v>viernes</v>
      </c>
      <c r="B196" s="24" t="str">
        <f t="shared" si="4"/>
        <v>mayo</v>
      </c>
      <c r="C196" s="37">
        <v>46164.0</v>
      </c>
      <c r="D196" s="28" t="s">
        <v>40</v>
      </c>
      <c r="E196" s="5">
        <v>158.0</v>
      </c>
      <c r="F196" s="5">
        <v>72.0</v>
      </c>
      <c r="G196" s="5">
        <v>6.0</v>
      </c>
      <c r="H196" s="5">
        <v>5.0</v>
      </c>
    </row>
    <row r="197" ht="15.75" customHeight="1">
      <c r="A197" s="22" t="str">
        <f t="shared" si="3"/>
        <v>viernes</v>
      </c>
      <c r="B197" s="24" t="str">
        <f t="shared" si="4"/>
        <v>mayo</v>
      </c>
      <c r="C197" s="37">
        <v>46164.0</v>
      </c>
      <c r="D197" s="28" t="s">
        <v>51</v>
      </c>
      <c r="E197" s="5">
        <v>129.0</v>
      </c>
      <c r="F197" s="5">
        <v>109.0</v>
      </c>
      <c r="G197" s="5">
        <v>3.0</v>
      </c>
      <c r="H197" s="5">
        <v>12.0</v>
      </c>
    </row>
    <row r="198" ht="15.75" customHeight="1">
      <c r="A198" s="22" t="str">
        <f t="shared" si="3"/>
        <v>viernes</v>
      </c>
      <c r="B198" s="24" t="str">
        <f t="shared" si="4"/>
        <v>mayo</v>
      </c>
      <c r="C198" s="37">
        <v>46164.0</v>
      </c>
      <c r="D198" s="28" t="s">
        <v>58</v>
      </c>
      <c r="E198" s="5">
        <v>107.0</v>
      </c>
      <c r="F198" s="5">
        <v>43.0</v>
      </c>
      <c r="G198" s="5">
        <v>5.0</v>
      </c>
      <c r="H198" s="5">
        <v>3.0</v>
      </c>
    </row>
    <row r="199" ht="15.75" customHeight="1">
      <c r="A199" s="22" t="str">
        <f t="shared" si="3"/>
        <v>viernes</v>
      </c>
      <c r="B199" s="24" t="str">
        <f t="shared" si="4"/>
        <v>mayo</v>
      </c>
      <c r="C199" s="37">
        <v>46164.0</v>
      </c>
      <c r="D199" s="28" t="s">
        <v>52</v>
      </c>
      <c r="E199" s="5">
        <v>89.0</v>
      </c>
      <c r="F199" s="5">
        <v>65.0</v>
      </c>
      <c r="G199" s="5">
        <v>6.0</v>
      </c>
      <c r="H199" s="5">
        <v>9.0</v>
      </c>
    </row>
    <row r="200" ht="15.75" customHeight="1">
      <c r="A200" s="22" t="str">
        <f t="shared" si="3"/>
        <v>viernes</v>
      </c>
      <c r="B200" s="24" t="str">
        <f t="shared" si="4"/>
        <v>mayo</v>
      </c>
      <c r="C200" s="37">
        <v>46164.0</v>
      </c>
      <c r="D200" s="28" t="s">
        <v>53</v>
      </c>
      <c r="E200" s="5">
        <v>71.0</v>
      </c>
      <c r="F200" s="5">
        <v>45.0</v>
      </c>
      <c r="G200" s="5">
        <v>3.0</v>
      </c>
      <c r="H200" s="5">
        <v>0.0</v>
      </c>
    </row>
    <row r="201" ht="15.75" customHeight="1">
      <c r="A201" s="22" t="str">
        <f t="shared" si="3"/>
        <v>viernes</v>
      </c>
      <c r="B201" s="24" t="str">
        <f t="shared" si="4"/>
        <v>mayo</v>
      </c>
      <c r="C201" s="37">
        <v>46164.0</v>
      </c>
      <c r="D201" s="28" t="s">
        <v>64</v>
      </c>
      <c r="E201" s="5">
        <v>277.0</v>
      </c>
      <c r="F201" s="5">
        <v>190.0</v>
      </c>
      <c r="G201" s="5">
        <v>4.0</v>
      </c>
      <c r="H201" s="5">
        <v>5.0</v>
      </c>
    </row>
    <row r="202" ht="15.75" customHeight="1">
      <c r="A202" s="22" t="str">
        <f t="shared" si="3"/>
        <v>viernes</v>
      </c>
      <c r="B202" s="24" t="str">
        <f t="shared" si="4"/>
        <v>mayo</v>
      </c>
      <c r="C202" s="37">
        <v>46164.0</v>
      </c>
      <c r="D202" s="28" t="s">
        <v>65</v>
      </c>
      <c r="E202" s="5">
        <v>161.0</v>
      </c>
      <c r="F202" s="5">
        <v>120.0</v>
      </c>
      <c r="G202" s="5">
        <v>0.0</v>
      </c>
      <c r="H202" s="5">
        <v>0.0</v>
      </c>
    </row>
    <row r="203" ht="15.75" customHeight="1">
      <c r="A203" s="22" t="str">
        <f t="shared" si="3"/>
        <v>viernes</v>
      </c>
      <c r="B203" s="24" t="str">
        <f t="shared" si="4"/>
        <v>mayo</v>
      </c>
      <c r="C203" s="37">
        <v>46164.0</v>
      </c>
      <c r="D203" s="28" t="s">
        <v>66</v>
      </c>
      <c r="E203" s="5">
        <v>220.0</v>
      </c>
      <c r="F203" s="5">
        <v>186.0</v>
      </c>
      <c r="G203" s="5">
        <v>2.0</v>
      </c>
      <c r="H203" s="5">
        <v>18.0</v>
      </c>
    </row>
    <row r="204" ht="15.75" customHeight="1">
      <c r="A204" s="22" t="str">
        <f t="shared" si="3"/>
        <v>sábado</v>
      </c>
      <c r="B204" s="24" t="str">
        <f t="shared" si="4"/>
        <v>mayo</v>
      </c>
      <c r="C204" s="37">
        <v>46165.0</v>
      </c>
      <c r="D204" s="28" t="s">
        <v>40</v>
      </c>
      <c r="E204" s="5">
        <v>136.0</v>
      </c>
      <c r="F204" s="5">
        <v>69.0</v>
      </c>
      <c r="G204" s="5">
        <v>6.0</v>
      </c>
      <c r="H204" s="5">
        <v>6.0</v>
      </c>
    </row>
    <row r="205" ht="15.75" customHeight="1">
      <c r="A205" s="22" t="str">
        <f t="shared" si="3"/>
        <v>sábado</v>
      </c>
      <c r="B205" s="24" t="str">
        <f t="shared" si="4"/>
        <v>mayo</v>
      </c>
      <c r="C205" s="37">
        <v>46165.0</v>
      </c>
      <c r="D205" s="5" t="s">
        <v>43</v>
      </c>
      <c r="E205" s="5">
        <v>83.0</v>
      </c>
      <c r="F205" s="5">
        <v>53.0</v>
      </c>
      <c r="G205" s="5">
        <v>7.0</v>
      </c>
      <c r="H205" s="5">
        <v>4.0</v>
      </c>
    </row>
    <row r="206" ht="15.75" customHeight="1">
      <c r="A206" s="22" t="str">
        <f t="shared" si="3"/>
        <v>sábado</v>
      </c>
      <c r="B206" s="24" t="str">
        <f t="shared" si="4"/>
        <v>mayo</v>
      </c>
      <c r="C206" s="37">
        <v>46165.0</v>
      </c>
      <c r="D206" s="28" t="s">
        <v>51</v>
      </c>
      <c r="E206" s="5">
        <v>154.0</v>
      </c>
      <c r="F206" s="5">
        <v>124.0</v>
      </c>
      <c r="G206" s="5">
        <v>5.0</v>
      </c>
      <c r="H206" s="5">
        <v>3.0</v>
      </c>
    </row>
    <row r="207" ht="15.75" customHeight="1">
      <c r="A207" s="22" t="str">
        <f t="shared" si="3"/>
        <v>sábado</v>
      </c>
      <c r="B207" s="24" t="str">
        <f t="shared" si="4"/>
        <v>mayo</v>
      </c>
      <c r="C207" s="37">
        <v>46165.0</v>
      </c>
      <c r="D207" s="28" t="s">
        <v>59</v>
      </c>
      <c r="E207" s="5">
        <v>113.0</v>
      </c>
      <c r="F207" s="5">
        <v>111.0</v>
      </c>
      <c r="G207" s="5">
        <v>4.0</v>
      </c>
      <c r="H207" s="5">
        <v>0.0</v>
      </c>
    </row>
    <row r="208" ht="15.75" customHeight="1">
      <c r="A208" s="22" t="str">
        <f t="shared" si="3"/>
        <v>sábado</v>
      </c>
      <c r="B208" s="24" t="str">
        <f t="shared" si="4"/>
        <v>mayo</v>
      </c>
      <c r="C208" s="37">
        <v>46165.0</v>
      </c>
      <c r="D208" s="28" t="s">
        <v>52</v>
      </c>
      <c r="E208" s="5">
        <v>103.0</v>
      </c>
      <c r="F208" s="5">
        <v>78.0</v>
      </c>
      <c r="G208" s="5">
        <v>6.0</v>
      </c>
      <c r="H208" s="5">
        <v>2.0</v>
      </c>
    </row>
    <row r="209" ht="15.75" customHeight="1">
      <c r="A209" s="22" t="str">
        <f t="shared" si="3"/>
        <v>sábado</v>
      </c>
      <c r="B209" s="24" t="str">
        <f t="shared" si="4"/>
        <v>mayo</v>
      </c>
      <c r="C209" s="37">
        <v>46165.0</v>
      </c>
      <c r="D209" s="28" t="s">
        <v>53</v>
      </c>
      <c r="E209" s="5">
        <v>93.0</v>
      </c>
      <c r="F209" s="5">
        <v>48.0</v>
      </c>
      <c r="G209" s="5">
        <v>5.0</v>
      </c>
      <c r="H209" s="5">
        <v>3.0</v>
      </c>
    </row>
    <row r="210" ht="15.75" customHeight="1">
      <c r="A210" s="22" t="str">
        <f t="shared" si="3"/>
        <v>sábado</v>
      </c>
      <c r="B210" s="24" t="str">
        <f t="shared" si="4"/>
        <v>mayo</v>
      </c>
      <c r="C210" s="37">
        <v>46165.0</v>
      </c>
      <c r="D210" s="28" t="s">
        <v>60</v>
      </c>
      <c r="E210" s="5">
        <v>77.0</v>
      </c>
      <c r="F210" s="5">
        <v>50.0</v>
      </c>
      <c r="G210" s="5">
        <v>10.0</v>
      </c>
      <c r="H210" s="5">
        <v>4.0</v>
      </c>
    </row>
    <row r="211" ht="15.75" customHeight="1">
      <c r="A211" s="22" t="str">
        <f t="shared" si="3"/>
        <v>domingo</v>
      </c>
      <c r="B211" s="24" t="str">
        <f t="shared" si="4"/>
        <v>mayo</v>
      </c>
      <c r="C211" s="37">
        <v>46166.0</v>
      </c>
      <c r="D211" s="28" t="s">
        <v>39</v>
      </c>
      <c r="E211" s="5">
        <v>26.0</v>
      </c>
      <c r="F211" s="5">
        <v>18.0</v>
      </c>
      <c r="G211" s="5">
        <v>0.0</v>
      </c>
      <c r="H211" s="5">
        <v>0.0</v>
      </c>
    </row>
    <row r="212" ht="15.75" customHeight="1">
      <c r="A212" s="22" t="str">
        <f t="shared" si="3"/>
        <v>domingo</v>
      </c>
      <c r="B212" s="24" t="str">
        <f t="shared" si="4"/>
        <v>mayo</v>
      </c>
      <c r="C212" s="37">
        <v>46166.0</v>
      </c>
      <c r="D212" s="28" t="s">
        <v>40</v>
      </c>
      <c r="E212" s="5">
        <v>107.0</v>
      </c>
      <c r="F212" s="5">
        <v>61.0</v>
      </c>
      <c r="G212" s="5">
        <v>2.0</v>
      </c>
      <c r="H212" s="5">
        <v>5.0</v>
      </c>
    </row>
    <row r="213" ht="15.75" customHeight="1">
      <c r="A213" s="22" t="str">
        <f t="shared" si="3"/>
        <v>domingo</v>
      </c>
      <c r="B213" s="24" t="str">
        <f t="shared" si="4"/>
        <v>mayo</v>
      </c>
      <c r="C213" s="37">
        <v>46166.0</v>
      </c>
      <c r="D213" s="5" t="s">
        <v>43</v>
      </c>
      <c r="E213" s="5">
        <v>117.0</v>
      </c>
      <c r="F213" s="5">
        <v>75.0</v>
      </c>
      <c r="G213" s="5">
        <v>2.0</v>
      </c>
      <c r="H213" s="5">
        <v>8.0</v>
      </c>
    </row>
    <row r="214" ht="15.75" customHeight="1">
      <c r="A214" s="22" t="str">
        <f t="shared" si="3"/>
        <v>domingo</v>
      </c>
      <c r="B214" s="24" t="str">
        <f t="shared" si="4"/>
        <v>mayo</v>
      </c>
      <c r="C214" s="37">
        <v>46166.0</v>
      </c>
      <c r="D214" s="28" t="s">
        <v>59</v>
      </c>
      <c r="E214" s="5">
        <v>214.0</v>
      </c>
      <c r="F214" s="5">
        <v>210.0</v>
      </c>
      <c r="G214" s="5">
        <v>16.0</v>
      </c>
      <c r="H214" s="5">
        <v>0.0</v>
      </c>
    </row>
    <row r="215" ht="15.75" customHeight="1">
      <c r="A215" s="22" t="str">
        <f t="shared" si="3"/>
        <v>domingo</v>
      </c>
      <c r="B215" s="24" t="str">
        <f t="shared" si="4"/>
        <v>mayo</v>
      </c>
      <c r="C215" s="37">
        <v>46166.0</v>
      </c>
      <c r="D215" s="28" t="s">
        <v>52</v>
      </c>
      <c r="E215" s="5">
        <v>81.0</v>
      </c>
      <c r="F215" s="5">
        <v>60.0</v>
      </c>
      <c r="G215" s="5">
        <v>0.0</v>
      </c>
      <c r="H215" s="5">
        <v>3.0</v>
      </c>
    </row>
    <row r="216" ht="15.75" customHeight="1">
      <c r="A216" s="22" t="str">
        <f t="shared" si="3"/>
        <v>domingo</v>
      </c>
      <c r="B216" s="24" t="str">
        <f t="shared" si="4"/>
        <v>mayo</v>
      </c>
      <c r="C216" s="37">
        <v>46166.0</v>
      </c>
      <c r="D216" s="28" t="s">
        <v>53</v>
      </c>
      <c r="E216" s="5">
        <v>98.0</v>
      </c>
      <c r="F216" s="5">
        <v>44.0</v>
      </c>
      <c r="G216" s="5">
        <v>1.0</v>
      </c>
      <c r="H216" s="5">
        <v>4.0</v>
      </c>
    </row>
    <row r="217" ht="15.75" customHeight="1">
      <c r="A217" s="22" t="str">
        <f t="shared" si="3"/>
        <v>domingo</v>
      </c>
      <c r="B217" s="24" t="str">
        <f t="shared" si="4"/>
        <v>mayo</v>
      </c>
      <c r="C217" s="37">
        <v>46166.0</v>
      </c>
      <c r="D217" s="28" t="s">
        <v>60</v>
      </c>
      <c r="E217" s="5">
        <v>144.0</v>
      </c>
      <c r="F217" s="5">
        <v>76.0</v>
      </c>
      <c r="G217" s="5">
        <v>7.0</v>
      </c>
      <c r="H217" s="5">
        <v>1.0</v>
      </c>
    </row>
    <row r="218" ht="15.75" customHeight="1">
      <c r="A218" s="22" t="str">
        <f t="shared" si="3"/>
        <v>lunes</v>
      </c>
      <c r="B218" s="24" t="str">
        <f t="shared" si="4"/>
        <v>mayo</v>
      </c>
      <c r="C218" s="37">
        <v>46167.0</v>
      </c>
      <c r="D218" s="22" t="s">
        <v>77</v>
      </c>
      <c r="E218" s="22" t="s">
        <v>77</v>
      </c>
      <c r="F218" s="22" t="s">
        <v>77</v>
      </c>
      <c r="G218" s="22" t="s">
        <v>77</v>
      </c>
      <c r="H218" s="22" t="s">
        <v>77</v>
      </c>
      <c r="I218" s="5" t="s">
        <v>100</v>
      </c>
    </row>
    <row r="219" ht="15.75" customHeight="1">
      <c r="A219" s="22" t="str">
        <f t="shared" si="3"/>
        <v>martes</v>
      </c>
      <c r="B219" s="24" t="str">
        <f t="shared" si="4"/>
        <v>mayo</v>
      </c>
      <c r="C219" s="37">
        <v>46168.0</v>
      </c>
      <c r="D219" s="28" t="s">
        <v>39</v>
      </c>
      <c r="E219" s="5">
        <v>65.0</v>
      </c>
      <c r="F219" s="5">
        <v>42.0</v>
      </c>
      <c r="G219" s="5">
        <v>1.0</v>
      </c>
      <c r="H219" s="5">
        <v>4.0</v>
      </c>
    </row>
    <row r="220" ht="15.75" customHeight="1">
      <c r="A220" s="22" t="str">
        <f t="shared" si="3"/>
        <v>martes</v>
      </c>
      <c r="B220" s="24" t="str">
        <f t="shared" si="4"/>
        <v>mayo</v>
      </c>
      <c r="C220" s="37">
        <v>46168.0</v>
      </c>
      <c r="D220" s="28" t="s">
        <v>41</v>
      </c>
      <c r="E220" s="5">
        <v>110.0</v>
      </c>
      <c r="F220" s="5">
        <v>81.0</v>
      </c>
      <c r="G220" s="5">
        <v>2.0</v>
      </c>
      <c r="H220" s="5">
        <v>2.0</v>
      </c>
    </row>
    <row r="221" ht="15.75" customHeight="1">
      <c r="A221" s="22" t="str">
        <f t="shared" si="3"/>
        <v>martes</v>
      </c>
      <c r="B221" s="24" t="str">
        <f t="shared" si="4"/>
        <v>mayo</v>
      </c>
      <c r="C221" s="37">
        <v>46168.0</v>
      </c>
      <c r="D221" s="28" t="s">
        <v>42</v>
      </c>
      <c r="E221" s="5">
        <v>168.0</v>
      </c>
      <c r="F221" s="5">
        <v>107.0</v>
      </c>
      <c r="G221" s="5">
        <v>3.0</v>
      </c>
      <c r="H221" s="5">
        <v>2.0</v>
      </c>
    </row>
    <row r="222" ht="15.75" customHeight="1">
      <c r="A222" s="22" t="str">
        <f t="shared" si="3"/>
        <v>martes</v>
      </c>
      <c r="B222" s="24" t="str">
        <f t="shared" si="4"/>
        <v>mayo</v>
      </c>
      <c r="C222" s="37">
        <v>46168.0</v>
      </c>
      <c r="D222" s="28" t="s">
        <v>59</v>
      </c>
      <c r="E222" s="5">
        <v>71.0</v>
      </c>
      <c r="F222" s="5">
        <v>61.0</v>
      </c>
      <c r="G222" s="5">
        <v>1.0</v>
      </c>
      <c r="H222" s="5">
        <v>0.0</v>
      </c>
    </row>
    <row r="223" ht="15.75" customHeight="1">
      <c r="A223" s="22" t="str">
        <f t="shared" si="3"/>
        <v>martes</v>
      </c>
      <c r="B223" s="24" t="str">
        <f t="shared" si="4"/>
        <v>mayo</v>
      </c>
      <c r="C223" s="37">
        <v>46168.0</v>
      </c>
      <c r="D223" s="5" t="s">
        <v>46</v>
      </c>
      <c r="E223" s="5">
        <v>102.0</v>
      </c>
      <c r="F223" s="5">
        <v>63.0</v>
      </c>
      <c r="G223" s="5">
        <v>1.0</v>
      </c>
      <c r="H223" s="5">
        <v>4.0</v>
      </c>
    </row>
    <row r="224" ht="15.75" customHeight="1">
      <c r="A224" s="22" t="str">
        <f t="shared" si="3"/>
        <v>martes</v>
      </c>
      <c r="B224" s="24" t="str">
        <f t="shared" si="4"/>
        <v>mayo</v>
      </c>
      <c r="C224" s="37">
        <v>46168.0</v>
      </c>
      <c r="D224" s="28" t="s">
        <v>67</v>
      </c>
      <c r="E224" s="5">
        <v>79.0</v>
      </c>
      <c r="F224" s="5">
        <v>68.0</v>
      </c>
      <c r="G224" s="5">
        <v>7.0</v>
      </c>
      <c r="H224" s="5">
        <v>0.0</v>
      </c>
    </row>
    <row r="225" ht="15.75" customHeight="1">
      <c r="A225" s="22" t="str">
        <f t="shared" si="3"/>
        <v>martes</v>
      </c>
      <c r="B225" s="24" t="str">
        <f t="shared" si="4"/>
        <v>mayo</v>
      </c>
      <c r="C225" s="37">
        <v>46168.0</v>
      </c>
      <c r="D225" s="28" t="s">
        <v>58</v>
      </c>
      <c r="E225" s="5">
        <v>93.0</v>
      </c>
      <c r="F225" s="5">
        <v>46.0</v>
      </c>
      <c r="G225" s="5">
        <v>7.0</v>
      </c>
      <c r="H225" s="5">
        <v>1.0</v>
      </c>
    </row>
    <row r="226" ht="15.75" customHeight="1">
      <c r="A226" s="22" t="str">
        <f t="shared" si="3"/>
        <v>martes</v>
      </c>
      <c r="B226" s="24" t="str">
        <f t="shared" si="4"/>
        <v>mayo</v>
      </c>
      <c r="C226" s="37">
        <v>46168.0</v>
      </c>
      <c r="D226" s="28" t="s">
        <v>65</v>
      </c>
      <c r="E226" s="5">
        <v>148.0</v>
      </c>
      <c r="F226" s="5">
        <v>127.0</v>
      </c>
      <c r="G226" s="5">
        <v>5.0</v>
      </c>
      <c r="H226" s="5">
        <v>4.0</v>
      </c>
    </row>
    <row r="227" ht="15.75" customHeight="1">
      <c r="A227" s="22" t="str">
        <f t="shared" si="3"/>
        <v>martes</v>
      </c>
      <c r="B227" s="24" t="str">
        <f t="shared" si="4"/>
        <v>mayo</v>
      </c>
      <c r="C227" s="37">
        <v>46168.0</v>
      </c>
      <c r="D227" s="28" t="s">
        <v>66</v>
      </c>
      <c r="E227" s="5">
        <v>155.0</v>
      </c>
      <c r="F227" s="5">
        <v>151.0</v>
      </c>
      <c r="G227" s="5">
        <v>5.0</v>
      </c>
      <c r="H227" s="5">
        <v>0.0</v>
      </c>
    </row>
    <row r="228" ht="15.75" customHeight="1">
      <c r="A228" s="22" t="str">
        <f t="shared" si="3"/>
        <v>miércoles</v>
      </c>
      <c r="B228" s="24" t="str">
        <f t="shared" si="4"/>
        <v>mayo</v>
      </c>
      <c r="C228" s="37">
        <v>46169.0</v>
      </c>
      <c r="D228" s="28" t="s">
        <v>39</v>
      </c>
      <c r="E228" s="5">
        <v>128.0</v>
      </c>
      <c r="F228" s="5">
        <v>79.0</v>
      </c>
      <c r="G228" s="5">
        <v>1.0</v>
      </c>
      <c r="H228" s="5">
        <v>8.0</v>
      </c>
    </row>
    <row r="229" ht="15.75" customHeight="1">
      <c r="A229" s="22" t="str">
        <f t="shared" si="3"/>
        <v>miércoles</v>
      </c>
      <c r="B229" s="24" t="str">
        <f t="shared" si="4"/>
        <v>mayo</v>
      </c>
      <c r="C229" s="37">
        <v>46169.0</v>
      </c>
      <c r="D229" s="28" t="s">
        <v>41</v>
      </c>
      <c r="E229" s="5">
        <v>125.0</v>
      </c>
      <c r="F229" s="5">
        <v>93.0</v>
      </c>
      <c r="G229" s="5">
        <v>3.0</v>
      </c>
      <c r="H229" s="5">
        <v>5.0</v>
      </c>
    </row>
    <row r="230" ht="15.75" customHeight="1">
      <c r="A230" s="22" t="str">
        <f t="shared" si="3"/>
        <v>miércoles</v>
      </c>
      <c r="B230" s="24" t="str">
        <f t="shared" si="4"/>
        <v>mayo</v>
      </c>
      <c r="C230" s="37">
        <v>46169.0</v>
      </c>
      <c r="D230" s="28" t="s">
        <v>42</v>
      </c>
      <c r="E230" s="5">
        <v>188.0</v>
      </c>
      <c r="F230" s="5">
        <v>114.0</v>
      </c>
      <c r="G230" s="5">
        <v>3.0</v>
      </c>
      <c r="H230" s="5">
        <v>10.0</v>
      </c>
    </row>
    <row r="231" ht="15.75" customHeight="1">
      <c r="A231" s="22" t="str">
        <f t="shared" si="3"/>
        <v>miércoles</v>
      </c>
      <c r="B231" s="24" t="str">
        <f t="shared" si="4"/>
        <v>mayo</v>
      </c>
      <c r="C231" s="37">
        <v>46169.0</v>
      </c>
      <c r="D231" s="28" t="s">
        <v>51</v>
      </c>
      <c r="E231" s="5">
        <v>152.0</v>
      </c>
      <c r="F231" s="5">
        <v>100.0</v>
      </c>
      <c r="G231" s="5">
        <v>10.0</v>
      </c>
      <c r="H231" s="5">
        <v>37.0</v>
      </c>
    </row>
    <row r="232" ht="15.75" customHeight="1">
      <c r="A232" s="22" t="str">
        <f t="shared" si="3"/>
        <v>miércoles</v>
      </c>
      <c r="B232" s="24" t="str">
        <f t="shared" si="4"/>
        <v>mayo</v>
      </c>
      <c r="C232" s="37">
        <v>46169.0</v>
      </c>
      <c r="D232" s="5" t="s">
        <v>46</v>
      </c>
      <c r="E232" s="5">
        <v>207.0</v>
      </c>
      <c r="F232" s="5">
        <v>108.0</v>
      </c>
      <c r="G232" s="5">
        <v>3.0</v>
      </c>
      <c r="H232" s="5">
        <v>3.0</v>
      </c>
    </row>
    <row r="233" ht="15.75" customHeight="1">
      <c r="A233" s="22" t="str">
        <f t="shared" si="3"/>
        <v>miércoles</v>
      </c>
      <c r="B233" s="24" t="str">
        <f t="shared" si="4"/>
        <v>mayo</v>
      </c>
      <c r="C233" s="37">
        <v>46169.0</v>
      </c>
      <c r="D233" s="28" t="s">
        <v>67</v>
      </c>
      <c r="E233" s="5">
        <v>126.0</v>
      </c>
      <c r="F233" s="5">
        <v>103.0</v>
      </c>
      <c r="G233" s="5">
        <v>5.0</v>
      </c>
      <c r="H233" s="5">
        <v>8.0</v>
      </c>
    </row>
    <row r="234" ht="15.75" customHeight="1">
      <c r="A234" s="22" t="str">
        <f t="shared" si="3"/>
        <v>miércoles</v>
      </c>
      <c r="B234" s="24" t="str">
        <f t="shared" si="4"/>
        <v>mayo</v>
      </c>
      <c r="C234" s="37">
        <v>46169.0</v>
      </c>
      <c r="D234" s="28" t="s">
        <v>58</v>
      </c>
      <c r="E234" s="5">
        <v>144.0</v>
      </c>
      <c r="F234" s="5">
        <v>83.0</v>
      </c>
      <c r="G234" s="5">
        <v>6.0</v>
      </c>
      <c r="H234" s="5">
        <v>10.0</v>
      </c>
    </row>
    <row r="235" ht="15.75" customHeight="1">
      <c r="A235" s="22" t="str">
        <f t="shared" si="3"/>
        <v>miércoles</v>
      </c>
      <c r="B235" s="24" t="str">
        <f t="shared" si="4"/>
        <v>mayo</v>
      </c>
      <c r="C235" s="37">
        <v>46169.0</v>
      </c>
      <c r="D235" s="28" t="s">
        <v>64</v>
      </c>
      <c r="E235" s="5">
        <v>204.0</v>
      </c>
      <c r="F235" s="5">
        <v>130.0</v>
      </c>
      <c r="G235" s="5">
        <v>12.0</v>
      </c>
      <c r="H235" s="5">
        <v>15.0</v>
      </c>
    </row>
    <row r="236" ht="15.75" customHeight="1">
      <c r="A236" s="22" t="str">
        <f t="shared" si="3"/>
        <v>miércoles</v>
      </c>
      <c r="B236" s="24" t="str">
        <f t="shared" si="4"/>
        <v>mayo</v>
      </c>
      <c r="C236" s="37">
        <v>46169.0</v>
      </c>
      <c r="D236" s="28" t="s">
        <v>65</v>
      </c>
      <c r="E236" s="5">
        <v>177.0</v>
      </c>
      <c r="F236" s="5">
        <v>145.0</v>
      </c>
      <c r="G236" s="5">
        <v>1.0</v>
      </c>
      <c r="H236" s="5">
        <v>7.0</v>
      </c>
    </row>
    <row r="237" ht="15.75" customHeight="1">
      <c r="A237" s="22" t="str">
        <f t="shared" si="3"/>
        <v>miércoles</v>
      </c>
      <c r="B237" s="24" t="str">
        <f t="shared" si="4"/>
        <v>mayo</v>
      </c>
      <c r="C237" s="37">
        <v>46169.0</v>
      </c>
      <c r="D237" s="28" t="s">
        <v>66</v>
      </c>
      <c r="E237" s="5">
        <v>131.0</v>
      </c>
      <c r="F237" s="5">
        <v>131.0</v>
      </c>
      <c r="G237" s="5">
        <v>0.0</v>
      </c>
      <c r="H237" s="5">
        <v>5.0</v>
      </c>
    </row>
    <row r="238" ht="15.75" customHeight="1">
      <c r="A238" s="22" t="str">
        <f t="shared" si="3"/>
        <v>jueves</v>
      </c>
      <c r="B238" s="24" t="str">
        <f t="shared" si="4"/>
        <v>mayo</v>
      </c>
      <c r="C238" s="37">
        <v>46170.0</v>
      </c>
      <c r="D238" s="28" t="s">
        <v>41</v>
      </c>
      <c r="E238" s="5">
        <v>139.0</v>
      </c>
      <c r="F238" s="5">
        <v>112.0</v>
      </c>
      <c r="G238" s="5">
        <v>0.0</v>
      </c>
      <c r="H238" s="5">
        <v>0.0</v>
      </c>
    </row>
    <row r="239" ht="15.75" customHeight="1">
      <c r="A239" s="22" t="str">
        <f t="shared" si="3"/>
        <v>jueves</v>
      </c>
      <c r="B239" s="24" t="str">
        <f t="shared" si="4"/>
        <v>mayo</v>
      </c>
      <c r="C239" s="37">
        <v>46170.0</v>
      </c>
      <c r="D239" s="28" t="s">
        <v>42</v>
      </c>
      <c r="E239" s="5">
        <v>183.0</v>
      </c>
      <c r="F239" s="5">
        <v>106.0</v>
      </c>
      <c r="G239" s="5">
        <v>3.0</v>
      </c>
      <c r="H239" s="5">
        <v>2.0</v>
      </c>
    </row>
    <row r="240" ht="15.75" customHeight="1">
      <c r="A240" s="22" t="str">
        <f t="shared" si="3"/>
        <v>jueves</v>
      </c>
      <c r="B240" s="24" t="str">
        <f t="shared" si="4"/>
        <v>mayo</v>
      </c>
      <c r="C240" s="37">
        <v>46170.0</v>
      </c>
      <c r="D240" s="28" t="s">
        <v>51</v>
      </c>
      <c r="E240" s="5">
        <v>193.0</v>
      </c>
      <c r="F240" s="5">
        <v>147.0</v>
      </c>
      <c r="G240" s="5">
        <v>2.0</v>
      </c>
      <c r="H240" s="5">
        <v>15.0</v>
      </c>
    </row>
    <row r="241" ht="15.75" customHeight="1">
      <c r="A241" s="22" t="str">
        <f t="shared" si="3"/>
        <v>jueves</v>
      </c>
      <c r="B241" s="24" t="str">
        <f t="shared" si="4"/>
        <v>mayo</v>
      </c>
      <c r="C241" s="37">
        <v>46170.0</v>
      </c>
      <c r="D241" s="28" t="s">
        <v>67</v>
      </c>
      <c r="E241" s="5">
        <v>183.0</v>
      </c>
      <c r="F241" s="5">
        <v>118.0</v>
      </c>
      <c r="G241" s="5">
        <v>2.0</v>
      </c>
      <c r="H241" s="5">
        <v>15.0</v>
      </c>
    </row>
    <row r="242" ht="15.75" customHeight="1">
      <c r="A242" s="22" t="str">
        <f t="shared" si="3"/>
        <v>jueves</v>
      </c>
      <c r="B242" s="24" t="str">
        <f t="shared" si="4"/>
        <v>mayo</v>
      </c>
      <c r="C242" s="37">
        <v>46170.0</v>
      </c>
      <c r="D242" s="28" t="s">
        <v>58</v>
      </c>
      <c r="E242" s="5">
        <v>146.0</v>
      </c>
      <c r="F242" s="5">
        <v>79.0</v>
      </c>
      <c r="G242" s="5">
        <v>3.0</v>
      </c>
      <c r="H242" s="5">
        <v>1.0</v>
      </c>
    </row>
    <row r="243" ht="15.75" customHeight="1">
      <c r="A243" s="22" t="str">
        <f t="shared" si="3"/>
        <v>jueves</v>
      </c>
      <c r="B243" s="24" t="str">
        <f t="shared" si="4"/>
        <v>mayo</v>
      </c>
      <c r="C243" s="37">
        <v>46170.0</v>
      </c>
      <c r="D243" s="28" t="s">
        <v>52</v>
      </c>
      <c r="E243" s="5">
        <v>36.0</v>
      </c>
      <c r="F243" s="5">
        <v>33.0</v>
      </c>
      <c r="G243" s="5">
        <v>4.0</v>
      </c>
      <c r="H243" s="5">
        <v>5.0</v>
      </c>
    </row>
    <row r="244" ht="15.75" customHeight="1">
      <c r="A244" s="22" t="str">
        <f t="shared" si="3"/>
        <v>jueves</v>
      </c>
      <c r="B244" s="24" t="str">
        <f t="shared" si="4"/>
        <v>mayo</v>
      </c>
      <c r="C244" s="37">
        <v>46170.0</v>
      </c>
      <c r="D244" s="28" t="s">
        <v>53</v>
      </c>
      <c r="E244" s="5">
        <v>40.0</v>
      </c>
      <c r="F244" s="5">
        <v>34.0</v>
      </c>
      <c r="G244" s="5">
        <v>3.0</v>
      </c>
      <c r="H244" s="5">
        <v>0.0</v>
      </c>
    </row>
    <row r="245" ht="15.75" customHeight="1">
      <c r="A245" s="22" t="str">
        <f t="shared" si="3"/>
        <v>jueves</v>
      </c>
      <c r="B245" s="24" t="str">
        <f t="shared" si="4"/>
        <v>mayo</v>
      </c>
      <c r="C245" s="37">
        <v>46170.0</v>
      </c>
      <c r="D245" s="28" t="s">
        <v>64</v>
      </c>
      <c r="E245" s="5">
        <v>342.0</v>
      </c>
      <c r="F245" s="5">
        <v>236.0</v>
      </c>
      <c r="G245" s="5">
        <v>7.0</v>
      </c>
      <c r="H245" s="5">
        <v>9.0</v>
      </c>
    </row>
    <row r="246" ht="15.75" customHeight="1">
      <c r="A246" s="22" t="str">
        <f t="shared" si="3"/>
        <v>jueves</v>
      </c>
      <c r="B246" s="24" t="str">
        <f t="shared" si="4"/>
        <v>mayo</v>
      </c>
      <c r="C246" s="37">
        <v>46170.0</v>
      </c>
      <c r="D246" s="28" t="s">
        <v>65</v>
      </c>
      <c r="E246" s="5">
        <v>153.0</v>
      </c>
      <c r="F246" s="5">
        <v>112.0</v>
      </c>
      <c r="G246" s="5">
        <v>3.0</v>
      </c>
      <c r="H246" s="5">
        <v>8.0</v>
      </c>
    </row>
    <row r="247" ht="15.75" customHeight="1">
      <c r="A247" s="22" t="str">
        <f t="shared" si="3"/>
        <v>jueves</v>
      </c>
      <c r="B247" s="24" t="str">
        <f t="shared" si="4"/>
        <v>mayo</v>
      </c>
      <c r="C247" s="37">
        <v>46170.0</v>
      </c>
      <c r="D247" s="28" t="s">
        <v>66</v>
      </c>
      <c r="E247" s="5">
        <v>133.0</v>
      </c>
      <c r="F247" s="5">
        <v>132.0</v>
      </c>
      <c r="G247" s="5">
        <v>0.0</v>
      </c>
      <c r="H247" s="5">
        <v>3.0</v>
      </c>
    </row>
    <row r="248" ht="15.75" customHeight="1">
      <c r="A248" s="22" t="str">
        <f t="shared" si="3"/>
        <v>viernes</v>
      </c>
      <c r="B248" s="24" t="str">
        <f t="shared" si="4"/>
        <v>mayo</v>
      </c>
      <c r="C248" s="37">
        <v>46171.0</v>
      </c>
      <c r="D248" s="28" t="s">
        <v>51</v>
      </c>
      <c r="E248" s="5">
        <v>202.0</v>
      </c>
      <c r="F248" s="5">
        <v>188.0</v>
      </c>
      <c r="G248" s="5">
        <v>2.0</v>
      </c>
      <c r="H248" s="5">
        <v>18.0</v>
      </c>
    </row>
    <row r="249" ht="15.75" customHeight="1">
      <c r="A249" s="22" t="str">
        <f t="shared" si="3"/>
        <v>viernes</v>
      </c>
      <c r="B249" s="24" t="str">
        <f t="shared" si="4"/>
        <v>mayo</v>
      </c>
      <c r="C249" s="37">
        <v>46171.0</v>
      </c>
      <c r="D249" s="28" t="s">
        <v>58</v>
      </c>
      <c r="E249" s="5">
        <v>114.0</v>
      </c>
      <c r="F249" s="5">
        <v>64.0</v>
      </c>
      <c r="G249" s="5">
        <v>5.0</v>
      </c>
      <c r="H249" s="5">
        <v>0.0</v>
      </c>
    </row>
    <row r="250" ht="15.75" customHeight="1">
      <c r="A250" s="22" t="str">
        <f t="shared" si="3"/>
        <v>viernes</v>
      </c>
      <c r="B250" s="24" t="str">
        <f t="shared" si="4"/>
        <v>mayo</v>
      </c>
      <c r="C250" s="37">
        <v>46171.0</v>
      </c>
      <c r="D250" s="28" t="s">
        <v>52</v>
      </c>
      <c r="E250" s="5">
        <v>82.0</v>
      </c>
      <c r="F250" s="5">
        <v>70.0</v>
      </c>
      <c r="G250" s="5">
        <v>4.0</v>
      </c>
      <c r="H250" s="5">
        <v>5.0</v>
      </c>
    </row>
    <row r="251" ht="15.75" customHeight="1">
      <c r="A251" s="22" t="str">
        <f t="shared" si="3"/>
        <v>viernes</v>
      </c>
      <c r="B251" s="24" t="str">
        <f t="shared" si="4"/>
        <v>mayo</v>
      </c>
      <c r="C251" s="37">
        <v>46171.0</v>
      </c>
      <c r="D251" s="28" t="s">
        <v>53</v>
      </c>
      <c r="E251" s="5">
        <v>95.0</v>
      </c>
      <c r="F251" s="5">
        <v>62.0</v>
      </c>
      <c r="G251" s="5">
        <v>4.0</v>
      </c>
      <c r="H251" s="5">
        <v>11.0</v>
      </c>
    </row>
    <row r="252" ht="15.75" customHeight="1">
      <c r="A252" s="22" t="str">
        <f t="shared" si="3"/>
        <v>viernes</v>
      </c>
      <c r="B252" s="24" t="str">
        <f t="shared" si="4"/>
        <v>mayo</v>
      </c>
      <c r="C252" s="37">
        <v>46171.0</v>
      </c>
      <c r="D252" s="28" t="s">
        <v>64</v>
      </c>
      <c r="E252" s="5">
        <v>0.0</v>
      </c>
      <c r="F252" s="5">
        <v>0.0</v>
      </c>
      <c r="G252" s="5">
        <v>4.0</v>
      </c>
      <c r="H252" s="5">
        <v>11.0</v>
      </c>
    </row>
    <row r="253" ht="15.75" customHeight="1">
      <c r="A253" s="22" t="str">
        <f t="shared" si="3"/>
        <v>viernes</v>
      </c>
      <c r="B253" s="24" t="str">
        <f t="shared" si="4"/>
        <v>mayo</v>
      </c>
      <c r="C253" s="37">
        <v>46171.0</v>
      </c>
      <c r="D253" s="28" t="s">
        <v>65</v>
      </c>
      <c r="E253" s="5">
        <v>174.0</v>
      </c>
      <c r="F253" s="5">
        <v>124.0</v>
      </c>
      <c r="G253" s="5">
        <v>6.0</v>
      </c>
      <c r="H253" s="5">
        <v>17.0</v>
      </c>
    </row>
    <row r="254" ht="15.75" customHeight="1">
      <c r="A254" s="22" t="str">
        <f t="shared" si="3"/>
        <v>viernes</v>
      </c>
      <c r="B254" s="24" t="str">
        <f t="shared" si="4"/>
        <v>mayo</v>
      </c>
      <c r="C254" s="37">
        <v>46171.0</v>
      </c>
      <c r="D254" s="28" t="s">
        <v>66</v>
      </c>
      <c r="E254" s="5">
        <v>183.0</v>
      </c>
      <c r="F254" s="5">
        <v>162.0</v>
      </c>
      <c r="G254" s="5">
        <v>0.0</v>
      </c>
      <c r="H254" s="5">
        <v>26.0</v>
      </c>
    </row>
    <row r="255" ht="15.75" customHeight="1">
      <c r="A255" s="22" t="str">
        <f t="shared" si="3"/>
        <v>sábado</v>
      </c>
      <c r="B255" s="24" t="str">
        <f t="shared" si="4"/>
        <v>mayo</v>
      </c>
      <c r="C255" s="37">
        <v>46172.0</v>
      </c>
      <c r="D255" s="5" t="s">
        <v>43</v>
      </c>
      <c r="E255" s="5">
        <v>76.0</v>
      </c>
      <c r="F255" s="5">
        <v>43.0</v>
      </c>
      <c r="G255" s="5">
        <v>4.0</v>
      </c>
      <c r="H255" s="5">
        <v>3.0</v>
      </c>
    </row>
    <row r="256" ht="15.75" customHeight="1">
      <c r="A256" s="22" t="str">
        <f t="shared" si="3"/>
        <v>sábado</v>
      </c>
      <c r="B256" s="24" t="str">
        <f t="shared" si="4"/>
        <v>mayo</v>
      </c>
      <c r="C256" s="37">
        <v>46172.0</v>
      </c>
      <c r="D256" s="28" t="s">
        <v>51</v>
      </c>
      <c r="E256" s="5">
        <v>256.0</v>
      </c>
      <c r="F256" s="5">
        <v>225.0</v>
      </c>
      <c r="G256" s="5">
        <v>8.0</v>
      </c>
      <c r="H256" s="5">
        <v>14.0</v>
      </c>
    </row>
    <row r="257" ht="15.75" customHeight="1">
      <c r="A257" s="22" t="str">
        <f t="shared" si="3"/>
        <v>sábado</v>
      </c>
      <c r="B257" s="24" t="str">
        <f t="shared" si="4"/>
        <v>mayo</v>
      </c>
      <c r="C257" s="37">
        <v>46172.0</v>
      </c>
      <c r="D257" s="28" t="s">
        <v>59</v>
      </c>
      <c r="E257" s="5">
        <v>116.0</v>
      </c>
      <c r="F257" s="5">
        <v>95.0</v>
      </c>
      <c r="G257" s="5">
        <v>3.0</v>
      </c>
      <c r="H257" s="5">
        <v>0.0</v>
      </c>
    </row>
    <row r="258" ht="15.75" customHeight="1">
      <c r="A258" s="22" t="str">
        <f t="shared" si="3"/>
        <v>sábado</v>
      </c>
      <c r="B258" s="24" t="str">
        <f t="shared" si="4"/>
        <v>mayo</v>
      </c>
      <c r="C258" s="37">
        <v>46172.0</v>
      </c>
      <c r="D258" s="28" t="s">
        <v>52</v>
      </c>
      <c r="E258" s="5">
        <v>115.0</v>
      </c>
      <c r="F258" s="5">
        <v>93.0</v>
      </c>
      <c r="G258" s="5">
        <v>3.0</v>
      </c>
      <c r="H258" s="5">
        <v>1.0</v>
      </c>
    </row>
    <row r="259" ht="15.75" customHeight="1">
      <c r="A259" s="22" t="str">
        <f t="shared" si="3"/>
        <v>sábado</v>
      </c>
      <c r="B259" s="24" t="str">
        <f t="shared" si="4"/>
        <v>mayo</v>
      </c>
      <c r="C259" s="37">
        <v>46172.0</v>
      </c>
      <c r="D259" s="28" t="s">
        <v>53</v>
      </c>
      <c r="E259" s="5">
        <v>170.0</v>
      </c>
      <c r="F259" s="5">
        <v>104.0</v>
      </c>
      <c r="G259" s="5">
        <v>5.0</v>
      </c>
      <c r="H259" s="5">
        <v>2.0</v>
      </c>
    </row>
    <row r="260" ht="15.75" customHeight="1">
      <c r="A260" s="22" t="str">
        <f t="shared" si="3"/>
        <v>sábado</v>
      </c>
      <c r="B260" s="24" t="str">
        <f t="shared" si="4"/>
        <v>mayo</v>
      </c>
      <c r="C260" s="37">
        <v>46172.0</v>
      </c>
      <c r="D260" s="28" t="s">
        <v>60</v>
      </c>
      <c r="E260" s="5">
        <v>109.0</v>
      </c>
      <c r="F260" s="5">
        <v>53.0</v>
      </c>
      <c r="G260" s="5">
        <v>9.0</v>
      </c>
      <c r="H260" s="5">
        <v>6.0</v>
      </c>
    </row>
    <row r="261" ht="15.75" customHeight="1">
      <c r="A261" s="22" t="str">
        <f t="shared" si="3"/>
        <v>domingo</v>
      </c>
      <c r="B261" s="24" t="str">
        <f t="shared" si="4"/>
        <v>mayo</v>
      </c>
      <c r="C261" s="37">
        <v>46173.0</v>
      </c>
      <c r="D261" s="28" t="s">
        <v>39</v>
      </c>
      <c r="E261" s="5">
        <v>85.0</v>
      </c>
      <c r="F261" s="5">
        <v>46.0</v>
      </c>
      <c r="G261" s="5">
        <v>9.0</v>
      </c>
      <c r="H261" s="5">
        <v>2.0</v>
      </c>
    </row>
    <row r="262" ht="15.75" customHeight="1">
      <c r="A262" s="22" t="str">
        <f t="shared" si="3"/>
        <v>domingo</v>
      </c>
      <c r="B262" s="24" t="str">
        <f t="shared" si="4"/>
        <v>mayo</v>
      </c>
      <c r="C262" s="37">
        <v>46173.0</v>
      </c>
      <c r="D262" s="28" t="s">
        <v>40</v>
      </c>
      <c r="E262" s="5">
        <v>64.0</v>
      </c>
      <c r="F262" s="5">
        <v>40.0</v>
      </c>
      <c r="G262" s="5">
        <v>4.0</v>
      </c>
      <c r="H262" s="5">
        <v>5.0</v>
      </c>
    </row>
    <row r="263" ht="15.75" customHeight="1">
      <c r="A263" s="22" t="str">
        <f t="shared" si="3"/>
        <v>domingo</v>
      </c>
      <c r="B263" s="24" t="str">
        <f t="shared" si="4"/>
        <v>mayo</v>
      </c>
      <c r="C263" s="37">
        <v>46173.0</v>
      </c>
      <c r="D263" s="5" t="s">
        <v>43</v>
      </c>
      <c r="E263" s="5">
        <v>134.0</v>
      </c>
      <c r="F263" s="5">
        <v>74.0</v>
      </c>
      <c r="G263" s="5">
        <v>3.0</v>
      </c>
      <c r="H263" s="5">
        <v>4.0</v>
      </c>
    </row>
    <row r="264" ht="15.75" customHeight="1">
      <c r="A264" s="22" t="str">
        <f t="shared" si="3"/>
        <v>domingo</v>
      </c>
      <c r="B264" s="24" t="str">
        <f t="shared" si="4"/>
        <v>mayo</v>
      </c>
      <c r="C264" s="37">
        <v>46173.0</v>
      </c>
      <c r="D264" s="28" t="s">
        <v>59</v>
      </c>
      <c r="E264" s="5">
        <v>229.0</v>
      </c>
      <c r="F264" s="5">
        <v>194.0</v>
      </c>
      <c r="G264" s="5">
        <v>0.0</v>
      </c>
      <c r="H264" s="5">
        <v>0.0</v>
      </c>
    </row>
    <row r="265" ht="15.75" customHeight="1">
      <c r="A265" s="22" t="str">
        <f t="shared" si="3"/>
        <v>domingo</v>
      </c>
      <c r="B265" s="24" t="str">
        <f t="shared" si="4"/>
        <v>mayo</v>
      </c>
      <c r="C265" s="37">
        <v>46173.0</v>
      </c>
      <c r="D265" s="28" t="s">
        <v>52</v>
      </c>
      <c r="E265" s="5">
        <v>136.0</v>
      </c>
      <c r="F265" s="5">
        <v>107.0</v>
      </c>
      <c r="G265" s="5">
        <v>3.0</v>
      </c>
      <c r="H265" s="5">
        <v>3.0</v>
      </c>
    </row>
    <row r="266" ht="15.75" customHeight="1">
      <c r="A266" s="22" t="str">
        <f t="shared" si="3"/>
        <v>domingo</v>
      </c>
      <c r="B266" s="24" t="str">
        <f t="shared" si="4"/>
        <v>mayo</v>
      </c>
      <c r="C266" s="37">
        <v>46173.0</v>
      </c>
      <c r="D266" s="28" t="s">
        <v>53</v>
      </c>
      <c r="E266" s="5">
        <v>204.0</v>
      </c>
      <c r="F266" s="5">
        <v>126.0</v>
      </c>
      <c r="G266" s="5">
        <v>3.0</v>
      </c>
      <c r="H266" s="5">
        <v>2.0</v>
      </c>
    </row>
    <row r="267" ht="15.75" customHeight="1">
      <c r="A267" s="22" t="str">
        <f t="shared" si="3"/>
        <v>domingo</v>
      </c>
      <c r="B267" s="24" t="str">
        <f t="shared" si="4"/>
        <v>mayo</v>
      </c>
      <c r="C267" s="37">
        <v>46173.0</v>
      </c>
      <c r="D267" s="28" t="s">
        <v>60</v>
      </c>
      <c r="E267" s="5">
        <v>237.0</v>
      </c>
      <c r="F267" s="5">
        <v>103.0</v>
      </c>
      <c r="G267" s="5">
        <v>6.0</v>
      </c>
      <c r="H267" s="5">
        <v>5.0</v>
      </c>
    </row>
    <row r="268" ht="15.75" customHeight="1">
      <c r="A268" s="22"/>
      <c r="B268" s="24"/>
      <c r="C268" s="37"/>
    </row>
    <row r="269" ht="15.75" customHeight="1">
      <c r="A269" s="22"/>
      <c r="B269" s="24"/>
      <c r="C269" s="37"/>
    </row>
    <row r="270" ht="15.75" customHeight="1">
      <c r="A270" s="22"/>
      <c r="B270" s="24"/>
      <c r="C270" s="37"/>
    </row>
    <row r="271" ht="15.75" customHeight="1">
      <c r="A271" s="22"/>
      <c r="B271" s="24"/>
      <c r="C271" s="37"/>
    </row>
    <row r="272" ht="15.75" customHeight="1">
      <c r="A272" s="22"/>
      <c r="B272" s="24"/>
      <c r="C272" s="37"/>
    </row>
    <row r="273" ht="15.75" customHeight="1">
      <c r="A273" s="22"/>
      <c r="B273" s="24"/>
      <c r="C273" s="37"/>
    </row>
    <row r="274" ht="15.75" customHeight="1">
      <c r="A274" s="22"/>
      <c r="B274" s="24"/>
      <c r="C274" s="37"/>
    </row>
    <row r="275" ht="15.75" customHeight="1">
      <c r="A275" s="22"/>
      <c r="B275" s="24"/>
      <c r="C275" s="37"/>
    </row>
    <row r="276" ht="15.75" customHeight="1">
      <c r="A276" s="22"/>
      <c r="B276" s="24"/>
      <c r="C276" s="37"/>
    </row>
    <row r="277" ht="15.75" customHeight="1">
      <c r="A277" s="22"/>
      <c r="B277" s="24"/>
      <c r="C277" s="37"/>
    </row>
    <row r="278" ht="15.75" customHeight="1">
      <c r="A278" s="22"/>
      <c r="B278" s="24"/>
      <c r="C278" s="37"/>
    </row>
    <row r="279" ht="15.75" customHeight="1">
      <c r="A279" s="22"/>
      <c r="B279" s="24"/>
      <c r="C279" s="37"/>
    </row>
    <row r="280" ht="15.75" customHeight="1">
      <c r="A280" s="22"/>
      <c r="B280" s="24"/>
      <c r="C280" s="37"/>
    </row>
    <row r="281" ht="15.75" customHeight="1">
      <c r="A281" s="22"/>
      <c r="B281" s="24"/>
      <c r="C281" s="37"/>
    </row>
    <row r="282" ht="15.75" customHeight="1">
      <c r="A282" s="22"/>
      <c r="B282" s="24"/>
      <c r="C282" s="37"/>
    </row>
    <row r="283" ht="15.75" customHeight="1">
      <c r="A283" s="22"/>
      <c r="B283" s="24"/>
      <c r="C283" s="37"/>
    </row>
    <row r="284" ht="15.75" customHeight="1">
      <c r="A284" s="22"/>
      <c r="B284" s="24"/>
      <c r="C284" s="37"/>
    </row>
    <row r="285" ht="15.75" customHeight="1">
      <c r="A285" s="22"/>
      <c r="B285" s="24"/>
      <c r="C285" s="37"/>
    </row>
    <row r="286" ht="15.75" customHeight="1">
      <c r="A286" s="22"/>
      <c r="B286" s="24"/>
      <c r="C286" s="37"/>
    </row>
    <row r="287" ht="15.75" customHeight="1">
      <c r="A287" s="22"/>
      <c r="B287" s="24"/>
      <c r="C287" s="37"/>
    </row>
    <row r="288" ht="15.75" customHeight="1">
      <c r="A288" s="22"/>
      <c r="B288" s="24"/>
      <c r="C288" s="37"/>
    </row>
    <row r="289" ht="15.75" customHeight="1">
      <c r="A289" s="22"/>
      <c r="B289" s="24"/>
      <c r="C289" s="37"/>
    </row>
    <row r="290" ht="15.75" customHeight="1">
      <c r="A290" s="22"/>
      <c r="B290" s="24"/>
      <c r="C290" s="37"/>
    </row>
    <row r="291" ht="15.75" customHeight="1">
      <c r="A291" s="22"/>
      <c r="B291" s="24"/>
      <c r="C291" s="37"/>
    </row>
    <row r="292" ht="15.75" customHeight="1">
      <c r="A292" s="22"/>
      <c r="B292" s="24"/>
      <c r="C292" s="37"/>
    </row>
    <row r="293" ht="15.75" customHeight="1">
      <c r="A293" s="22"/>
      <c r="B293" s="24"/>
      <c r="C293" s="37"/>
    </row>
    <row r="294" ht="15.75" customHeight="1">
      <c r="A294" s="22"/>
      <c r="B294" s="24"/>
      <c r="C294" s="37"/>
    </row>
    <row r="295" ht="15.75" customHeight="1">
      <c r="A295" s="22"/>
      <c r="B295" s="24"/>
      <c r="C295" s="37"/>
    </row>
    <row r="296" ht="15.75" customHeight="1">
      <c r="A296" s="22"/>
      <c r="B296" s="24"/>
      <c r="C296" s="37"/>
    </row>
    <row r="297" ht="15.75" customHeight="1">
      <c r="A297" s="22"/>
      <c r="B297" s="24"/>
      <c r="C297" s="37"/>
    </row>
    <row r="298" ht="15.75" customHeight="1">
      <c r="A298" s="22"/>
      <c r="B298" s="24"/>
      <c r="C298" s="37"/>
    </row>
    <row r="299" ht="15.75" customHeight="1">
      <c r="A299" s="22"/>
      <c r="B299" s="24"/>
      <c r="C299" s="37"/>
    </row>
    <row r="300" ht="15.75" customHeight="1">
      <c r="A300" s="22"/>
      <c r="B300" s="24"/>
      <c r="C300" s="37"/>
    </row>
    <row r="301" ht="15.75" customHeight="1">
      <c r="A301" s="22"/>
      <c r="B301" s="24"/>
      <c r="C301" s="37"/>
    </row>
    <row r="302" ht="15.75" customHeight="1">
      <c r="A302" s="22"/>
      <c r="B302" s="24"/>
      <c r="C302" s="37"/>
    </row>
    <row r="303" ht="15.75" customHeight="1">
      <c r="A303" s="22"/>
      <c r="B303" s="24"/>
      <c r="C303" s="37"/>
    </row>
    <row r="304" ht="15.75" customHeight="1">
      <c r="A304" s="22"/>
      <c r="B304" s="24"/>
      <c r="C304" s="37"/>
    </row>
    <row r="305" ht="15.75" customHeight="1">
      <c r="A305" s="22"/>
      <c r="B305" s="24"/>
      <c r="C305" s="37"/>
    </row>
    <row r="306" ht="15.75" customHeight="1">
      <c r="A306" s="22"/>
      <c r="B306" s="24"/>
      <c r="C306" s="37"/>
    </row>
    <row r="307" ht="15.75" customHeight="1">
      <c r="A307" s="22"/>
      <c r="B307" s="24"/>
      <c r="C307" s="37"/>
    </row>
    <row r="308" ht="15.75" customHeight="1">
      <c r="A308" s="22"/>
      <c r="B308" s="24"/>
      <c r="C308" s="37"/>
    </row>
    <row r="309" ht="15.75" customHeight="1">
      <c r="A309" s="22"/>
      <c r="B309" s="24"/>
      <c r="C309" s="37"/>
    </row>
    <row r="310" ht="15.75" customHeight="1">
      <c r="A310" s="22"/>
      <c r="B310" s="24"/>
      <c r="C310" s="37"/>
    </row>
    <row r="311" ht="15.75" customHeight="1">
      <c r="A311" s="22"/>
      <c r="B311" s="24"/>
      <c r="C311" s="37"/>
    </row>
    <row r="312" ht="15.75" customHeight="1">
      <c r="A312" s="22"/>
      <c r="B312" s="24"/>
      <c r="C312" s="37"/>
    </row>
    <row r="313" ht="15.75" customHeight="1">
      <c r="A313" s="22"/>
      <c r="B313" s="24"/>
      <c r="C313" s="37"/>
    </row>
    <row r="314" ht="15.75" customHeight="1">
      <c r="A314" s="22"/>
      <c r="B314" s="24"/>
      <c r="C314" s="37"/>
    </row>
    <row r="315" ht="15.75" customHeight="1">
      <c r="A315" s="22"/>
      <c r="B315" s="24"/>
      <c r="C315" s="37"/>
    </row>
    <row r="316" ht="15.75" customHeight="1">
      <c r="A316" s="22"/>
      <c r="B316" s="24"/>
      <c r="C316" s="37"/>
    </row>
    <row r="317" ht="15.75" customHeight="1">
      <c r="A317" s="22"/>
      <c r="B317" s="24"/>
      <c r="C317" s="37"/>
    </row>
    <row r="318" ht="15.75" customHeight="1">
      <c r="A318" s="22"/>
      <c r="B318" s="24"/>
      <c r="C318" s="37"/>
    </row>
    <row r="319" ht="15.75" customHeight="1">
      <c r="A319" s="22"/>
      <c r="B319" s="24"/>
      <c r="C319" s="37"/>
    </row>
    <row r="320" ht="15.75" customHeight="1">
      <c r="A320" s="22"/>
      <c r="B320" s="24"/>
      <c r="C320" s="37"/>
    </row>
    <row r="321" ht="15.75" customHeight="1">
      <c r="A321" s="22"/>
      <c r="B321" s="24"/>
      <c r="C321" s="37"/>
    </row>
    <row r="322" ht="15.75" customHeight="1">
      <c r="A322" s="22"/>
      <c r="B322" s="24"/>
      <c r="C322" s="37"/>
    </row>
    <row r="323" ht="15.75" customHeight="1">
      <c r="A323" s="22"/>
      <c r="B323" s="24"/>
      <c r="C323" s="37"/>
    </row>
    <row r="324" ht="15.75" customHeight="1">
      <c r="A324" s="22"/>
      <c r="B324" s="24"/>
      <c r="C324" s="37"/>
    </row>
    <row r="325" ht="15.75" customHeight="1">
      <c r="A325" s="22"/>
      <c r="B325" s="24"/>
      <c r="C325" s="37"/>
    </row>
    <row r="326" ht="15.75" customHeight="1">
      <c r="A326" s="22"/>
      <c r="B326" s="24"/>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U$50:$AB$65">
    <sortState ref="U50:AB65">
      <sortCondition descending="1" ref="AB50:AB65"/>
    </sortState>
  </autoFilter>
  <mergeCells count="18">
    <mergeCell ref="K23:N23"/>
    <mergeCell ref="O23:P23"/>
    <mergeCell ref="Q23:R23"/>
    <mergeCell ref="U23:X23"/>
    <mergeCell ref="Y23:Z23"/>
    <mergeCell ref="AA23:AB23"/>
    <mergeCell ref="J49:N49"/>
    <mergeCell ref="O49:P49"/>
    <mergeCell ref="Q49:R49"/>
    <mergeCell ref="AA49:AB49"/>
    <mergeCell ref="V68:Y68"/>
    <mergeCell ref="J1:K1"/>
    <mergeCell ref="J2:N2"/>
    <mergeCell ref="O2:P2"/>
    <mergeCell ref="Q2:R2"/>
    <mergeCell ref="S2:S3"/>
    <mergeCell ref="Z2:AA2"/>
    <mergeCell ref="J22:R22"/>
  </mergeCells>
  <conditionalFormatting sqref="P4:P18">
    <cfRule type="colorScale" priority="1">
      <colorScale>
        <cfvo type="min"/>
        <cfvo type="percentile" val="50"/>
        <cfvo type="max"/>
        <color rgb="FFEA9999"/>
        <color rgb="FFFFD666"/>
        <color rgb="FF93C47D"/>
      </colorScale>
    </cfRule>
  </conditionalFormatting>
  <conditionalFormatting sqref="Q4:Q18">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93C47D"/>
      </colorScale>
    </cfRule>
  </conditionalFormatting>
  <conditionalFormatting sqref="R4:R18">
    <cfRule type="colorScale" priority="4">
      <colorScale>
        <cfvo type="min"/>
        <cfvo type="percentile" val="50"/>
        <cfvo type="max"/>
        <color rgb="FFEA9999"/>
        <color rgb="FFFFD666"/>
        <color rgb="FF93C47D"/>
      </colorScale>
    </cfRule>
  </conditionalFormatting>
  <conditionalFormatting sqref="M4:M18">
    <cfRule type="colorScale" priority="5">
      <colorScale>
        <cfvo type="min"/>
        <cfvo type="percentile" val="50"/>
        <cfvo type="max"/>
        <color rgb="FFDD7E6B"/>
        <color rgb="FFFFD666"/>
        <color rgb="FF6AA84F"/>
      </colorScale>
    </cfRule>
  </conditionalFormatting>
  <conditionalFormatting sqref="N4:N18">
    <cfRule type="colorScale" priority="6">
      <colorScale>
        <cfvo type="min"/>
        <cfvo type="percentile" val="50"/>
        <cfvo type="max"/>
        <color rgb="FFEA9999"/>
        <color rgb="FFFFD666"/>
        <color rgb="FF6AA84F"/>
      </colorScale>
    </cfRule>
  </conditionalFormatting>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5" t="s">
        <v>101</v>
      </c>
      <c r="D1" s="6" t="s">
        <v>102</v>
      </c>
      <c r="F1" s="5">
        <v>289.0</v>
      </c>
      <c r="J1" s="9">
        <v>46082.0</v>
      </c>
      <c r="AA1" s="10" t="s">
        <v>9</v>
      </c>
    </row>
    <row r="2" ht="15.75" customHeight="1">
      <c r="D2" s="6" t="s">
        <v>103</v>
      </c>
      <c r="J2" s="12" t="s">
        <v>104</v>
      </c>
      <c r="O2" s="13" t="s">
        <v>18</v>
      </c>
      <c r="Q2" s="13" t="s">
        <v>19</v>
      </c>
      <c r="S2" s="14" t="s">
        <v>20</v>
      </c>
      <c r="AA2" s="20" t="s">
        <v>25</v>
      </c>
      <c r="AB2" s="20" t="s">
        <v>37</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AA3" s="23">
        <f t="shared" ref="AA3:AB3" si="1">W3/4</f>
        <v>187.75</v>
      </c>
      <c r="AB3" s="23">
        <f t="shared" si="1"/>
        <v>99.5</v>
      </c>
    </row>
    <row r="4" ht="15.75" customHeight="1">
      <c r="A4" s="22" t="str">
        <f t="shared" ref="A4:A325" si="3">TEXT(C4,"dddd")</f>
        <v>miércoles</v>
      </c>
      <c r="B4" s="24" t="str">
        <f t="shared" ref="B4:B325" si="4">TEXT(C4,"mmmm")</f>
        <v>abril</v>
      </c>
      <c r="C4" s="37">
        <v>46113.0</v>
      </c>
      <c r="D4" s="26" t="s">
        <v>39</v>
      </c>
      <c r="E4" s="27">
        <v>65.0</v>
      </c>
      <c r="F4" s="27">
        <v>47.0</v>
      </c>
      <c r="G4" s="27">
        <v>1.0</v>
      </c>
      <c r="H4" s="27">
        <v>13.0</v>
      </c>
      <c r="J4" s="28" t="s">
        <v>39</v>
      </c>
      <c r="K4" s="23">
        <f t="shared" ref="K4:K18" si="5">AVERAGEIF($D$4:$D$350,J4,$E$4:$E$350)</f>
        <v>62.16666667</v>
      </c>
      <c r="L4" s="23">
        <f t="shared" ref="L4:L18" si="6">AVERAGEIF($D$4:$D$350,J4,$F$4:$F$350)</f>
        <v>39.22222222</v>
      </c>
      <c r="M4" s="23">
        <f t="shared" ref="M4:M18" si="7">AVERAGEIF($D$4:$D$350,J4,$G$4:$G$350)</f>
        <v>1.833333333</v>
      </c>
      <c r="N4" s="23">
        <f t="shared" ref="N4:N18" si="8">AVERAGEIF($D$4:$D$350,J4,$H$4:$H$350)</f>
        <v>4.777777778</v>
      </c>
      <c r="O4" s="29">
        <f t="shared" ref="O4:O18" si="9">K4/S4</f>
        <v>7.770833333</v>
      </c>
      <c r="P4" s="29">
        <f t="shared" ref="P4:P18" si="10">L4/S4</f>
        <v>4.902777778</v>
      </c>
      <c r="Q4" s="23">
        <f t="shared" ref="Q4:Q18" si="11">K4*T4</f>
        <v>310.8333333</v>
      </c>
      <c r="R4" s="23">
        <f t="shared" ref="R4:R18" si="12">L4*T4</f>
        <v>196.1111111</v>
      </c>
      <c r="S4" s="30">
        <v>8.0</v>
      </c>
      <c r="T4" s="30">
        <v>5.0</v>
      </c>
      <c r="AA4" s="23">
        <f t="shared" ref="AA4:AB4" si="2">W4/4</f>
        <v>187.75</v>
      </c>
      <c r="AB4" s="23">
        <f t="shared" si="2"/>
        <v>99.5</v>
      </c>
      <c r="AC4" s="23"/>
      <c r="AD4" s="23"/>
      <c r="AE4" s="23"/>
      <c r="AF4" s="23"/>
      <c r="AG4" s="23"/>
    </row>
    <row r="5" ht="15.75" customHeight="1">
      <c r="A5" s="22" t="str">
        <f t="shared" si="3"/>
        <v>miércoles</v>
      </c>
      <c r="B5" s="24" t="str">
        <f t="shared" si="4"/>
        <v>abril</v>
      </c>
      <c r="C5" s="37">
        <v>46113.0</v>
      </c>
      <c r="D5" s="5" t="s">
        <v>107</v>
      </c>
      <c r="E5" s="5">
        <v>66.0</v>
      </c>
      <c r="F5" s="5">
        <v>37.0</v>
      </c>
      <c r="G5" s="5">
        <v>0.0</v>
      </c>
      <c r="H5" s="5">
        <v>0.0</v>
      </c>
      <c r="J5" s="28" t="s">
        <v>40</v>
      </c>
      <c r="K5" s="23">
        <f t="shared" si="5"/>
        <v>71.22222222</v>
      </c>
      <c r="L5" s="23">
        <f t="shared" si="6"/>
        <v>39.72222222</v>
      </c>
      <c r="M5" s="23">
        <f t="shared" si="7"/>
        <v>3.833333333</v>
      </c>
      <c r="N5" s="23">
        <f t="shared" si="8"/>
        <v>9.111111111</v>
      </c>
      <c r="O5" s="29">
        <f t="shared" si="9"/>
        <v>7.122222222</v>
      </c>
      <c r="P5" s="29">
        <f t="shared" si="10"/>
        <v>3.972222222</v>
      </c>
      <c r="Q5" s="23">
        <f t="shared" si="11"/>
        <v>284.8888889</v>
      </c>
      <c r="R5" s="23">
        <f t="shared" si="12"/>
        <v>158.8888889</v>
      </c>
      <c r="S5" s="30">
        <v>10.0</v>
      </c>
      <c r="T5" s="30">
        <v>4.0</v>
      </c>
      <c r="AA5" s="23">
        <f t="shared" ref="AA5:AB5" si="13">W5/4</f>
        <v>0</v>
      </c>
      <c r="AB5" s="23">
        <f t="shared" si="13"/>
        <v>0</v>
      </c>
      <c r="AC5" s="23"/>
      <c r="AD5" s="23"/>
      <c r="AE5" s="23"/>
      <c r="AF5" s="23"/>
      <c r="AG5" s="23"/>
    </row>
    <row r="6" ht="15.75" customHeight="1">
      <c r="A6" s="22" t="str">
        <f t="shared" si="3"/>
        <v>miércoles</v>
      </c>
      <c r="B6" s="24" t="str">
        <f t="shared" si="4"/>
        <v>abril</v>
      </c>
      <c r="C6" s="37">
        <v>46113.0</v>
      </c>
      <c r="D6" s="28" t="s">
        <v>41</v>
      </c>
      <c r="E6" s="5">
        <v>92.0</v>
      </c>
      <c r="F6" s="5">
        <v>65.0</v>
      </c>
      <c r="G6" s="5">
        <v>0.0</v>
      </c>
      <c r="H6" s="5">
        <v>8.0</v>
      </c>
      <c r="J6" s="28" t="s">
        <v>44</v>
      </c>
      <c r="K6" s="23">
        <f t="shared" si="5"/>
        <v>47.75</v>
      </c>
      <c r="L6" s="23">
        <f t="shared" si="6"/>
        <v>49.25</v>
      </c>
      <c r="M6" s="23">
        <f t="shared" si="7"/>
        <v>0</v>
      </c>
      <c r="N6" s="23">
        <f t="shared" si="8"/>
        <v>0</v>
      </c>
      <c r="O6" s="29">
        <f t="shared" si="9"/>
        <v>4.340909091</v>
      </c>
      <c r="P6" s="29">
        <f t="shared" si="10"/>
        <v>4.477272727</v>
      </c>
      <c r="Q6" s="23">
        <f t="shared" si="11"/>
        <v>191</v>
      </c>
      <c r="R6" s="23">
        <f t="shared" si="12"/>
        <v>197</v>
      </c>
      <c r="S6" s="30">
        <v>11.0</v>
      </c>
      <c r="T6" s="30">
        <v>4.0</v>
      </c>
      <c r="AA6" s="23">
        <f t="shared" ref="AA6:AB6" si="14">W6/4</f>
        <v>0</v>
      </c>
      <c r="AB6" s="23">
        <f t="shared" si="14"/>
        <v>0</v>
      </c>
      <c r="AC6" s="23"/>
      <c r="AD6" s="23"/>
      <c r="AE6" s="23"/>
      <c r="AF6" s="23"/>
      <c r="AG6" s="23"/>
    </row>
    <row r="7" ht="15.75" customHeight="1">
      <c r="A7" s="22" t="str">
        <f t="shared" si="3"/>
        <v>miércoles</v>
      </c>
      <c r="B7" s="24" t="str">
        <f t="shared" si="4"/>
        <v>abril</v>
      </c>
      <c r="C7" s="37">
        <v>46113.0</v>
      </c>
      <c r="D7" s="28" t="s">
        <v>42</v>
      </c>
      <c r="E7" s="5">
        <v>88.0</v>
      </c>
      <c r="F7" s="5">
        <v>47.0</v>
      </c>
      <c r="G7" s="5">
        <v>2.0</v>
      </c>
      <c r="H7" s="5">
        <v>12.0</v>
      </c>
      <c r="J7" s="28" t="s">
        <v>59</v>
      </c>
      <c r="K7" s="23">
        <f t="shared" si="5"/>
        <v>106.6666667</v>
      </c>
      <c r="L7" s="23">
        <f t="shared" si="6"/>
        <v>94.73333333</v>
      </c>
      <c r="M7" s="23">
        <f t="shared" si="7"/>
        <v>1.8</v>
      </c>
      <c r="N7" s="23">
        <f t="shared" si="8"/>
        <v>1.266666667</v>
      </c>
      <c r="O7" s="29">
        <f t="shared" si="9"/>
        <v>9.696969697</v>
      </c>
      <c r="P7" s="29">
        <f t="shared" si="10"/>
        <v>8.612121212</v>
      </c>
      <c r="Q7" s="23">
        <f t="shared" si="11"/>
        <v>426.6666667</v>
      </c>
      <c r="R7" s="23">
        <f t="shared" si="12"/>
        <v>378.9333333</v>
      </c>
      <c r="S7" s="30">
        <v>11.0</v>
      </c>
      <c r="T7" s="30">
        <v>4.0</v>
      </c>
      <c r="AA7" s="23">
        <f t="shared" ref="AA7:AB7" si="15">W7/4</f>
        <v>0</v>
      </c>
      <c r="AB7" s="23">
        <f t="shared" si="15"/>
        <v>0</v>
      </c>
      <c r="AC7" s="23"/>
      <c r="AD7" s="23"/>
      <c r="AE7" s="23"/>
      <c r="AF7" s="23"/>
      <c r="AG7" s="23"/>
    </row>
    <row r="8" ht="15.75" customHeight="1">
      <c r="A8" s="22" t="str">
        <f t="shared" si="3"/>
        <v>miércoles</v>
      </c>
      <c r="B8" s="24" t="str">
        <f t="shared" si="4"/>
        <v>abril</v>
      </c>
      <c r="C8" s="37">
        <v>46113.0</v>
      </c>
      <c r="D8" s="5" t="s">
        <v>108</v>
      </c>
      <c r="E8" s="5">
        <v>85.0</v>
      </c>
      <c r="F8" s="5">
        <v>42.0</v>
      </c>
      <c r="G8" s="5">
        <v>0.0</v>
      </c>
      <c r="H8" s="5">
        <v>0.0</v>
      </c>
      <c r="J8" s="28" t="s">
        <v>52</v>
      </c>
      <c r="K8" s="23">
        <f t="shared" si="5"/>
        <v>47.42857143</v>
      </c>
      <c r="L8" s="23">
        <f t="shared" si="6"/>
        <v>30.85714286</v>
      </c>
      <c r="M8" s="23">
        <f t="shared" si="7"/>
        <v>4.142857143</v>
      </c>
      <c r="N8" s="23">
        <f t="shared" si="8"/>
        <v>5.142857143</v>
      </c>
      <c r="O8" s="29">
        <f t="shared" si="9"/>
        <v>4.742857143</v>
      </c>
      <c r="P8" s="29">
        <f t="shared" si="10"/>
        <v>3.085714286</v>
      </c>
      <c r="Q8" s="23">
        <f t="shared" si="11"/>
        <v>189.7142857</v>
      </c>
      <c r="R8" s="23">
        <f t="shared" si="12"/>
        <v>123.4285714</v>
      </c>
      <c r="S8" s="30">
        <v>10.0</v>
      </c>
      <c r="T8" s="30">
        <v>4.0</v>
      </c>
      <c r="AA8" s="23">
        <f t="shared" ref="AA8:AB8" si="16">W8/4</f>
        <v>0</v>
      </c>
      <c r="AB8" s="23">
        <f t="shared" si="16"/>
        <v>0</v>
      </c>
      <c r="AC8" s="23"/>
      <c r="AD8" s="23"/>
      <c r="AE8" s="23"/>
      <c r="AF8" s="23"/>
      <c r="AG8" s="23"/>
    </row>
    <row r="9" ht="15.75" customHeight="1">
      <c r="A9" s="22" t="str">
        <f t="shared" si="3"/>
        <v>miércoles</v>
      </c>
      <c r="B9" s="24" t="str">
        <f t="shared" si="4"/>
        <v>abril</v>
      </c>
      <c r="C9" s="37">
        <v>46113.0</v>
      </c>
      <c r="D9" s="28" t="s">
        <v>51</v>
      </c>
      <c r="E9" s="5">
        <v>108.0</v>
      </c>
      <c r="F9" s="5">
        <v>89.0</v>
      </c>
      <c r="G9" s="5">
        <v>1.0</v>
      </c>
      <c r="H9" s="5">
        <v>24.0</v>
      </c>
      <c r="J9" s="28" t="s">
        <v>53</v>
      </c>
      <c r="K9" s="23">
        <f t="shared" si="5"/>
        <v>71.42857143</v>
      </c>
      <c r="L9" s="23">
        <f t="shared" si="6"/>
        <v>36.85714286</v>
      </c>
      <c r="M9" s="23">
        <f t="shared" si="7"/>
        <v>1.857142857</v>
      </c>
      <c r="N9" s="23">
        <f t="shared" si="8"/>
        <v>3.571428571</v>
      </c>
      <c r="O9" s="29">
        <f t="shared" si="9"/>
        <v>7.142857143</v>
      </c>
      <c r="P9" s="29">
        <f t="shared" si="10"/>
        <v>3.685714286</v>
      </c>
      <c r="Q9" s="23">
        <f t="shared" si="11"/>
        <v>285.7142857</v>
      </c>
      <c r="R9" s="23">
        <f t="shared" si="12"/>
        <v>147.4285714</v>
      </c>
      <c r="S9" s="30">
        <v>10.0</v>
      </c>
      <c r="T9" s="30">
        <v>4.0</v>
      </c>
      <c r="AA9" s="23">
        <f t="shared" ref="AA9:AB9" si="17">W9/4</f>
        <v>0</v>
      </c>
      <c r="AB9" s="23">
        <f t="shared" si="17"/>
        <v>0</v>
      </c>
      <c r="AC9" s="23"/>
      <c r="AD9" s="23"/>
      <c r="AE9" s="23"/>
      <c r="AF9" s="23"/>
      <c r="AG9" s="23"/>
    </row>
    <row r="10" ht="15.75" customHeight="1">
      <c r="A10" s="22" t="str">
        <f t="shared" si="3"/>
        <v>miércoles</v>
      </c>
      <c r="B10" s="24" t="str">
        <f t="shared" si="4"/>
        <v>abril</v>
      </c>
      <c r="C10" s="37">
        <v>46113.0</v>
      </c>
      <c r="D10" s="5" t="s">
        <v>89</v>
      </c>
      <c r="E10" s="5">
        <v>145.0</v>
      </c>
      <c r="F10" s="5">
        <v>84.0</v>
      </c>
      <c r="G10" s="5">
        <v>0.0</v>
      </c>
      <c r="H10" s="5">
        <v>0.0</v>
      </c>
      <c r="J10" s="28" t="s">
        <v>60</v>
      </c>
      <c r="K10" s="23">
        <f t="shared" si="5"/>
        <v>116.3636364</v>
      </c>
      <c r="L10" s="23">
        <f t="shared" si="6"/>
        <v>60.72727273</v>
      </c>
      <c r="M10" s="23">
        <f t="shared" si="7"/>
        <v>3.181818182</v>
      </c>
      <c r="N10" s="23">
        <f t="shared" si="8"/>
        <v>6.272727273</v>
      </c>
      <c r="O10" s="29">
        <f t="shared" si="9"/>
        <v>11.63636364</v>
      </c>
      <c r="P10" s="29">
        <f t="shared" si="10"/>
        <v>6.072727273</v>
      </c>
      <c r="Q10" s="23">
        <f t="shared" si="11"/>
        <v>465.4545455</v>
      </c>
      <c r="R10" s="23">
        <f t="shared" si="12"/>
        <v>242.9090909</v>
      </c>
      <c r="S10" s="30">
        <v>10.0</v>
      </c>
      <c r="T10" s="30">
        <v>4.0</v>
      </c>
      <c r="AA10" s="23">
        <f t="shared" ref="AA10:AB10" si="18">W10/4</f>
        <v>0</v>
      </c>
      <c r="AB10" s="23">
        <f t="shared" si="18"/>
        <v>0</v>
      </c>
      <c r="AC10" s="23"/>
      <c r="AD10" s="23"/>
      <c r="AE10" s="23"/>
      <c r="AF10" s="23"/>
      <c r="AG10" s="23"/>
    </row>
    <row r="11" ht="15.75" customHeight="1">
      <c r="A11" s="22" t="str">
        <f t="shared" si="3"/>
        <v>miércoles</v>
      </c>
      <c r="B11" s="24" t="str">
        <f t="shared" si="4"/>
        <v>abril</v>
      </c>
      <c r="C11" s="37">
        <v>46113.0</v>
      </c>
      <c r="D11" s="5" t="s">
        <v>46</v>
      </c>
      <c r="E11" s="5">
        <v>93.0</v>
      </c>
      <c r="F11" s="5">
        <v>45.0</v>
      </c>
      <c r="G11" s="5">
        <v>5.0</v>
      </c>
      <c r="H11" s="5">
        <v>11.0</v>
      </c>
      <c r="J11" s="28" t="s">
        <v>41</v>
      </c>
      <c r="K11" s="23">
        <f t="shared" si="5"/>
        <v>72.46666667</v>
      </c>
      <c r="L11" s="23">
        <f t="shared" si="6"/>
        <v>53.2</v>
      </c>
      <c r="M11" s="23">
        <f t="shared" si="7"/>
        <v>1.466666667</v>
      </c>
      <c r="N11" s="23">
        <f t="shared" si="8"/>
        <v>5.066666667</v>
      </c>
      <c r="O11" s="29">
        <f t="shared" si="9"/>
        <v>6.587878788</v>
      </c>
      <c r="P11" s="29">
        <f t="shared" si="10"/>
        <v>4.836363636</v>
      </c>
      <c r="Q11" s="23">
        <f t="shared" si="11"/>
        <v>289.8666667</v>
      </c>
      <c r="R11" s="23">
        <f t="shared" si="12"/>
        <v>212.8</v>
      </c>
      <c r="S11" s="30">
        <v>11.0</v>
      </c>
      <c r="T11" s="30">
        <v>4.0</v>
      </c>
      <c r="AA11" s="23">
        <f t="shared" ref="AA11:AB11" si="19">W11/4</f>
        <v>0</v>
      </c>
      <c r="AB11" s="23">
        <f t="shared" si="19"/>
        <v>0</v>
      </c>
      <c r="AC11" s="23"/>
      <c r="AD11" s="23"/>
      <c r="AE11" s="23"/>
      <c r="AF11" s="23"/>
      <c r="AG11" s="23"/>
    </row>
    <row r="12" ht="15.75" customHeight="1">
      <c r="A12" s="22" t="str">
        <f t="shared" si="3"/>
        <v>miércoles</v>
      </c>
      <c r="B12" s="24" t="str">
        <f t="shared" si="4"/>
        <v>abril</v>
      </c>
      <c r="C12" s="37">
        <v>46113.0</v>
      </c>
      <c r="D12" s="28" t="s">
        <v>58</v>
      </c>
      <c r="E12" s="5">
        <v>75.0</v>
      </c>
      <c r="F12" s="5">
        <v>38.0</v>
      </c>
      <c r="G12" s="5">
        <v>4.0</v>
      </c>
      <c r="H12" s="5">
        <v>12.0</v>
      </c>
      <c r="J12" s="28" t="s">
        <v>42</v>
      </c>
      <c r="K12" s="23">
        <f t="shared" si="5"/>
        <v>74.27777778</v>
      </c>
      <c r="L12" s="23">
        <f t="shared" si="6"/>
        <v>45.72222222</v>
      </c>
      <c r="M12" s="23">
        <f t="shared" si="7"/>
        <v>2.611111111</v>
      </c>
      <c r="N12" s="23">
        <f t="shared" si="8"/>
        <v>7.111111111</v>
      </c>
      <c r="O12" s="29">
        <f t="shared" si="9"/>
        <v>7.427777778</v>
      </c>
      <c r="P12" s="29">
        <f t="shared" si="10"/>
        <v>4.572222222</v>
      </c>
      <c r="Q12" s="23">
        <f t="shared" si="11"/>
        <v>297.1111111</v>
      </c>
      <c r="R12" s="23">
        <f t="shared" si="12"/>
        <v>182.8888889</v>
      </c>
      <c r="S12" s="30">
        <v>10.0</v>
      </c>
      <c r="T12" s="30">
        <v>4.0</v>
      </c>
      <c r="AA12" s="23">
        <f t="shared" ref="AA12:AB12" si="20">W12/4</f>
        <v>0</v>
      </c>
      <c r="AB12" s="23">
        <f t="shared" si="20"/>
        <v>0</v>
      </c>
      <c r="AC12" s="23"/>
      <c r="AD12" s="23"/>
      <c r="AE12" s="23"/>
      <c r="AF12" s="23"/>
      <c r="AG12" s="23"/>
    </row>
    <row r="13" ht="15.75" customHeight="1">
      <c r="A13" s="22" t="str">
        <f t="shared" si="3"/>
        <v>miércoles</v>
      </c>
      <c r="B13" s="24" t="str">
        <f t="shared" si="4"/>
        <v>abril</v>
      </c>
      <c r="C13" s="37">
        <v>46113.0</v>
      </c>
      <c r="D13" s="28" t="s">
        <v>64</v>
      </c>
      <c r="E13" s="5">
        <v>127.0</v>
      </c>
      <c r="F13" s="5">
        <v>90.0</v>
      </c>
      <c r="G13" s="5">
        <v>8.0</v>
      </c>
      <c r="H13" s="5">
        <v>9.0</v>
      </c>
      <c r="J13" s="28" t="s">
        <v>67</v>
      </c>
      <c r="K13" s="23">
        <f t="shared" si="5"/>
        <v>82.06666667</v>
      </c>
      <c r="L13" s="23">
        <f t="shared" si="6"/>
        <v>69.66666667</v>
      </c>
      <c r="M13" s="23">
        <f t="shared" si="7"/>
        <v>2.133333333</v>
      </c>
      <c r="N13" s="23">
        <f t="shared" si="8"/>
        <v>1.6</v>
      </c>
      <c r="O13" s="29">
        <f t="shared" si="9"/>
        <v>8.206666667</v>
      </c>
      <c r="P13" s="29">
        <f t="shared" si="10"/>
        <v>6.966666667</v>
      </c>
      <c r="Q13" s="23">
        <f t="shared" si="11"/>
        <v>328.2666667</v>
      </c>
      <c r="R13" s="23">
        <f t="shared" si="12"/>
        <v>278.6666667</v>
      </c>
      <c r="S13" s="30">
        <v>10.0</v>
      </c>
      <c r="T13" s="30">
        <v>4.0</v>
      </c>
      <c r="AA13" s="23">
        <f t="shared" ref="AA13:AB13" si="21">W13/4</f>
        <v>0</v>
      </c>
      <c r="AB13" s="23">
        <f t="shared" si="21"/>
        <v>0</v>
      </c>
      <c r="AC13" s="23"/>
      <c r="AD13" s="23"/>
      <c r="AE13" s="23"/>
      <c r="AF13" s="23"/>
      <c r="AG13" s="23"/>
    </row>
    <row r="14" ht="15.75" customHeight="1">
      <c r="A14" s="22" t="str">
        <f t="shared" si="3"/>
        <v>miércoles</v>
      </c>
      <c r="B14" s="24" t="str">
        <f t="shared" si="4"/>
        <v>abril</v>
      </c>
      <c r="C14" s="37">
        <v>46113.0</v>
      </c>
      <c r="D14" s="28" t="s">
        <v>65</v>
      </c>
      <c r="E14" s="5">
        <v>85.0</v>
      </c>
      <c r="F14" s="5">
        <v>72.0</v>
      </c>
      <c r="G14" s="5">
        <v>2.0</v>
      </c>
      <c r="H14" s="5">
        <v>0.0</v>
      </c>
      <c r="J14" s="28" t="s">
        <v>58</v>
      </c>
      <c r="K14" s="23">
        <f t="shared" si="5"/>
        <v>69.45454545</v>
      </c>
      <c r="L14" s="23">
        <f t="shared" si="6"/>
        <v>34.59090909</v>
      </c>
      <c r="M14" s="23">
        <f t="shared" si="7"/>
        <v>3.045454545</v>
      </c>
      <c r="N14" s="23">
        <f t="shared" si="8"/>
        <v>4.863636364</v>
      </c>
      <c r="O14" s="29">
        <f t="shared" si="9"/>
        <v>8.681818182</v>
      </c>
      <c r="P14" s="29">
        <f t="shared" si="10"/>
        <v>4.323863636</v>
      </c>
      <c r="Q14" s="23">
        <f t="shared" si="11"/>
        <v>347.2727273</v>
      </c>
      <c r="R14" s="23">
        <f t="shared" si="12"/>
        <v>172.9545455</v>
      </c>
      <c r="S14" s="30">
        <v>8.0</v>
      </c>
      <c r="T14" s="30">
        <v>5.0</v>
      </c>
      <c r="AA14" s="23">
        <f t="shared" ref="AA14:AB14" si="22">W14/4</f>
        <v>0</v>
      </c>
      <c r="AB14" s="23">
        <f t="shared" si="22"/>
        <v>0</v>
      </c>
      <c r="AC14" s="23"/>
      <c r="AD14" s="23"/>
      <c r="AE14" s="23"/>
      <c r="AF14" s="23"/>
      <c r="AG14" s="23"/>
    </row>
    <row r="15" ht="15.75" customHeight="1">
      <c r="A15" s="22" t="str">
        <f t="shared" si="3"/>
        <v>miércoles</v>
      </c>
      <c r="B15" s="24" t="str">
        <f t="shared" si="4"/>
        <v>abril</v>
      </c>
      <c r="C15" s="37">
        <v>46113.0</v>
      </c>
      <c r="D15" s="28" t="s">
        <v>66</v>
      </c>
      <c r="E15" s="5">
        <v>126.0</v>
      </c>
      <c r="F15" s="5">
        <v>114.0</v>
      </c>
      <c r="G15" s="5">
        <v>3.0</v>
      </c>
      <c r="H15" s="5">
        <v>0.0</v>
      </c>
      <c r="J15" s="28" t="s">
        <v>64</v>
      </c>
      <c r="K15" s="23">
        <f t="shared" si="5"/>
        <v>114.0952381</v>
      </c>
      <c r="L15" s="23">
        <f t="shared" si="6"/>
        <v>68.9047619</v>
      </c>
      <c r="M15" s="23">
        <f t="shared" si="7"/>
        <v>6</v>
      </c>
      <c r="N15" s="23">
        <f t="shared" si="8"/>
        <v>6.619047619</v>
      </c>
      <c r="O15" s="29">
        <f t="shared" si="9"/>
        <v>14.26190476</v>
      </c>
      <c r="P15" s="29">
        <f t="shared" si="10"/>
        <v>8.613095238</v>
      </c>
      <c r="Q15" s="23">
        <f t="shared" si="11"/>
        <v>570.4761905</v>
      </c>
      <c r="R15" s="23">
        <f t="shared" si="12"/>
        <v>344.5238095</v>
      </c>
      <c r="S15" s="30">
        <v>8.0</v>
      </c>
      <c r="T15" s="30">
        <v>5.0</v>
      </c>
      <c r="AA15" s="23">
        <f t="shared" ref="AA15:AB15" si="23">W15/4</f>
        <v>0</v>
      </c>
      <c r="AB15" s="23">
        <f t="shared" si="23"/>
        <v>0</v>
      </c>
      <c r="AC15" s="23"/>
      <c r="AD15" s="23"/>
      <c r="AE15" s="23"/>
      <c r="AF15" s="23"/>
      <c r="AG15" s="23"/>
    </row>
    <row r="16" ht="15.75" customHeight="1">
      <c r="A16" s="22" t="str">
        <f t="shared" si="3"/>
        <v>jueves</v>
      </c>
      <c r="B16" s="24" t="str">
        <f t="shared" si="4"/>
        <v>abril</v>
      </c>
      <c r="C16" s="37">
        <v>46114.0</v>
      </c>
      <c r="D16" s="5" t="s">
        <v>107</v>
      </c>
      <c r="E16" s="5">
        <v>93.0</v>
      </c>
      <c r="F16" s="5">
        <v>50.0</v>
      </c>
      <c r="G16" s="5">
        <v>0.0</v>
      </c>
      <c r="H16" s="5">
        <v>0.0</v>
      </c>
      <c r="J16" s="28" t="s">
        <v>65</v>
      </c>
      <c r="K16" s="23">
        <f t="shared" si="5"/>
        <v>68.63636364</v>
      </c>
      <c r="L16" s="23">
        <f t="shared" si="6"/>
        <v>55.5</v>
      </c>
      <c r="M16" s="23">
        <f t="shared" si="7"/>
        <v>2.909090909</v>
      </c>
      <c r="N16" s="23">
        <f t="shared" si="8"/>
        <v>2.909090909</v>
      </c>
      <c r="O16" s="29">
        <f t="shared" si="9"/>
        <v>8.579545455</v>
      </c>
      <c r="P16" s="29">
        <f t="shared" si="10"/>
        <v>6.9375</v>
      </c>
      <c r="Q16" s="23">
        <f t="shared" si="11"/>
        <v>343.1818182</v>
      </c>
      <c r="R16" s="23">
        <f t="shared" si="12"/>
        <v>277.5</v>
      </c>
      <c r="S16" s="30">
        <v>8.0</v>
      </c>
      <c r="T16" s="30">
        <v>5.0</v>
      </c>
      <c r="AA16" s="23">
        <f t="shared" ref="AA16:AB16" si="24">W16/4</f>
        <v>0</v>
      </c>
      <c r="AB16" s="23">
        <f t="shared" si="24"/>
        <v>0</v>
      </c>
      <c r="AC16" s="23"/>
      <c r="AD16" s="23"/>
      <c r="AE16" s="23"/>
      <c r="AF16" s="23"/>
      <c r="AG16" s="23"/>
    </row>
    <row r="17" ht="15.75" customHeight="1">
      <c r="A17" s="22" t="str">
        <f t="shared" si="3"/>
        <v>jueves</v>
      </c>
      <c r="B17" s="24" t="str">
        <f t="shared" si="4"/>
        <v>abril</v>
      </c>
      <c r="C17" s="37">
        <v>46114.0</v>
      </c>
      <c r="D17" s="28" t="s">
        <v>40</v>
      </c>
      <c r="E17" s="5">
        <v>78.0</v>
      </c>
      <c r="F17" s="5">
        <v>35.0</v>
      </c>
      <c r="G17" s="5">
        <v>6.0</v>
      </c>
      <c r="H17" s="5">
        <v>17.0</v>
      </c>
      <c r="J17" s="28" t="s">
        <v>51</v>
      </c>
      <c r="K17" s="23">
        <f t="shared" si="5"/>
        <v>63.77777778</v>
      </c>
      <c r="L17" s="23">
        <f t="shared" si="6"/>
        <v>54.61111111</v>
      </c>
      <c r="M17" s="23">
        <f t="shared" si="7"/>
        <v>2.333333333</v>
      </c>
      <c r="N17" s="23">
        <f t="shared" si="8"/>
        <v>9</v>
      </c>
      <c r="O17" s="29">
        <f t="shared" si="9"/>
        <v>5.797979798</v>
      </c>
      <c r="P17" s="29">
        <f t="shared" si="10"/>
        <v>4.964646465</v>
      </c>
      <c r="Q17" s="23">
        <f t="shared" si="11"/>
        <v>255.1111111</v>
      </c>
      <c r="R17" s="23">
        <f t="shared" si="12"/>
        <v>218.4444444</v>
      </c>
      <c r="S17" s="30">
        <v>11.0</v>
      </c>
      <c r="T17" s="30">
        <v>4.0</v>
      </c>
      <c r="AA17" s="23">
        <f t="shared" ref="AA17:AB17" si="25">W17/4</f>
        <v>0</v>
      </c>
      <c r="AB17" s="23">
        <f t="shared" si="25"/>
        <v>0</v>
      </c>
      <c r="AC17" s="23"/>
      <c r="AD17" s="23"/>
      <c r="AE17" s="23"/>
      <c r="AF17" s="23"/>
      <c r="AG17" s="23"/>
    </row>
    <row r="18" ht="15.75" customHeight="1">
      <c r="A18" s="22" t="str">
        <f t="shared" si="3"/>
        <v>jueves</v>
      </c>
      <c r="B18" s="24" t="str">
        <f t="shared" si="4"/>
        <v>abril</v>
      </c>
      <c r="C18" s="37">
        <v>46114.0</v>
      </c>
      <c r="D18" s="28" t="s">
        <v>42</v>
      </c>
      <c r="E18" s="5">
        <v>90.0</v>
      </c>
      <c r="F18" s="5">
        <v>61.0</v>
      </c>
      <c r="G18" s="5">
        <v>1.0</v>
      </c>
      <c r="H18" s="5">
        <v>16.0</v>
      </c>
      <c r="J18" s="28" t="s">
        <v>66</v>
      </c>
      <c r="K18" s="23">
        <f t="shared" si="5"/>
        <v>106.8636364</v>
      </c>
      <c r="L18" s="23">
        <f t="shared" si="6"/>
        <v>90.63636364</v>
      </c>
      <c r="M18" s="23">
        <f t="shared" si="7"/>
        <v>0.5909090909</v>
      </c>
      <c r="N18" s="23">
        <f t="shared" si="8"/>
        <v>4.909090909</v>
      </c>
      <c r="O18" s="29">
        <f t="shared" si="9"/>
        <v>13.35795455</v>
      </c>
      <c r="P18" s="29">
        <f t="shared" si="10"/>
        <v>11.32954545</v>
      </c>
      <c r="Q18" s="23">
        <f t="shared" si="11"/>
        <v>534.3181818</v>
      </c>
      <c r="R18" s="23">
        <f t="shared" si="12"/>
        <v>453.1818182</v>
      </c>
      <c r="S18" s="30">
        <v>8.0</v>
      </c>
      <c r="T18" s="30">
        <v>5.0</v>
      </c>
      <c r="AA18" s="23">
        <f t="shared" ref="AA18:AB18" si="26">W18/4</f>
        <v>0</v>
      </c>
      <c r="AB18" s="23">
        <f t="shared" si="26"/>
        <v>0</v>
      </c>
      <c r="AC18" s="23"/>
      <c r="AD18" s="23"/>
      <c r="AE18" s="23"/>
      <c r="AF18" s="23"/>
      <c r="AG18" s="23"/>
    </row>
    <row r="19" ht="15.75" customHeight="1">
      <c r="A19" s="22" t="str">
        <f t="shared" si="3"/>
        <v>jueves</v>
      </c>
      <c r="B19" s="24" t="str">
        <f t="shared" si="4"/>
        <v>abril</v>
      </c>
      <c r="C19" s="37">
        <v>46114.0</v>
      </c>
      <c r="D19" s="5" t="s">
        <v>117</v>
      </c>
      <c r="E19" s="5">
        <v>123.0</v>
      </c>
      <c r="F19" s="5">
        <v>55.0</v>
      </c>
      <c r="G19" s="5">
        <v>0.0</v>
      </c>
      <c r="H19" s="5">
        <v>0.0</v>
      </c>
      <c r="AO19" s="38"/>
    </row>
    <row r="20" ht="15.75" customHeight="1">
      <c r="A20" s="22" t="str">
        <f t="shared" si="3"/>
        <v>jueves</v>
      </c>
      <c r="B20" s="24" t="str">
        <f t="shared" si="4"/>
        <v>abril</v>
      </c>
      <c r="C20" s="37">
        <v>46114.0</v>
      </c>
      <c r="D20" s="28" t="s">
        <v>51</v>
      </c>
      <c r="E20" s="5">
        <v>109.0</v>
      </c>
      <c r="F20" s="5">
        <v>96.0</v>
      </c>
      <c r="G20" s="5">
        <v>3.0</v>
      </c>
      <c r="H20" s="5">
        <v>12.0</v>
      </c>
      <c r="J20" s="39" t="s">
        <v>69</v>
      </c>
      <c r="K20" s="40">
        <f t="shared" ref="K20:R20" si="27">AVERAGE(K4:K18)</f>
        <v>78.31100048</v>
      </c>
      <c r="L20" s="40">
        <f t="shared" si="27"/>
        <v>54.94675806</v>
      </c>
      <c r="M20" s="40">
        <f t="shared" si="27"/>
        <v>2.515892256</v>
      </c>
      <c r="N20" s="40">
        <f t="shared" si="27"/>
        <v>4.814747475</v>
      </c>
      <c r="O20" s="39">
        <f t="shared" si="27"/>
        <v>8.356969216</v>
      </c>
      <c r="P20" s="39">
        <f t="shared" si="27"/>
        <v>5.823496873</v>
      </c>
      <c r="Q20" s="39">
        <f t="shared" si="27"/>
        <v>341.3250986</v>
      </c>
      <c r="R20" s="39">
        <f t="shared" si="27"/>
        <v>239.0439827</v>
      </c>
      <c r="Y20" s="23"/>
      <c r="Z20" s="23"/>
      <c r="AA20" s="23"/>
      <c r="AB20" s="23"/>
      <c r="AC20" s="23"/>
      <c r="AD20" s="23"/>
      <c r="AE20" s="23"/>
      <c r="AF20" s="23"/>
      <c r="AG20" s="23"/>
      <c r="AN20" s="38"/>
      <c r="AO20" s="38"/>
    </row>
    <row r="21" ht="15.75" customHeight="1">
      <c r="A21" s="22" t="str">
        <f t="shared" si="3"/>
        <v>jueves</v>
      </c>
      <c r="B21" s="24" t="str">
        <f t="shared" si="4"/>
        <v>abril</v>
      </c>
      <c r="C21" s="37">
        <v>46114.0</v>
      </c>
      <c r="D21" s="5" t="s">
        <v>89</v>
      </c>
      <c r="E21" s="5">
        <v>49.0</v>
      </c>
      <c r="F21" s="5">
        <v>30.0</v>
      </c>
      <c r="G21" s="5">
        <v>0.0</v>
      </c>
      <c r="H21" s="5">
        <v>0.0</v>
      </c>
      <c r="J21" s="5" t="s">
        <v>119</v>
      </c>
      <c r="AN21" s="38"/>
      <c r="AO21" s="38"/>
    </row>
    <row r="22" ht="15.75" customHeight="1">
      <c r="A22" s="22" t="str">
        <f t="shared" si="3"/>
        <v>jueves</v>
      </c>
      <c r="B22" s="24" t="str">
        <f t="shared" si="4"/>
        <v>abril</v>
      </c>
      <c r="C22" s="37">
        <v>46114.0</v>
      </c>
      <c r="D22" s="28" t="s">
        <v>58</v>
      </c>
      <c r="E22" s="5">
        <v>91.0</v>
      </c>
      <c r="F22" s="5">
        <v>41.0</v>
      </c>
      <c r="G22" s="5">
        <v>6.0</v>
      </c>
      <c r="H22" s="5">
        <v>10.0</v>
      </c>
      <c r="J22" s="42" t="s">
        <v>73</v>
      </c>
      <c r="AN22" s="38"/>
      <c r="AO22" s="30"/>
    </row>
    <row r="23" ht="15.75" customHeight="1">
      <c r="A23" s="22" t="str">
        <f t="shared" si="3"/>
        <v>jueves</v>
      </c>
      <c r="B23" s="24" t="str">
        <f t="shared" si="4"/>
        <v>abril</v>
      </c>
      <c r="C23" s="37">
        <v>46114.0</v>
      </c>
      <c r="D23" s="28" t="s">
        <v>52</v>
      </c>
      <c r="E23" s="5">
        <v>56.0</v>
      </c>
      <c r="F23" s="5">
        <v>37.0</v>
      </c>
      <c r="G23" s="5">
        <v>4.0</v>
      </c>
      <c r="H23" s="5">
        <v>8.0</v>
      </c>
      <c r="K23" s="44" t="s">
        <v>74</v>
      </c>
      <c r="O23" s="45" t="s">
        <v>75</v>
      </c>
      <c r="Q23" s="45" t="s">
        <v>76</v>
      </c>
      <c r="U23" s="44" t="s">
        <v>74</v>
      </c>
      <c r="Y23" s="45" t="s">
        <v>75</v>
      </c>
      <c r="AA23" s="45" t="s">
        <v>76</v>
      </c>
      <c r="AN23" s="30"/>
      <c r="AO23" s="30"/>
    </row>
    <row r="24" ht="15.75" customHeight="1">
      <c r="A24" s="22" t="str">
        <f t="shared" si="3"/>
        <v>jueves</v>
      </c>
      <c r="B24" s="24" t="str">
        <f t="shared" si="4"/>
        <v>abril</v>
      </c>
      <c r="C24" s="37">
        <v>46114.0</v>
      </c>
      <c r="D24" s="28" t="s">
        <v>53</v>
      </c>
      <c r="E24" s="5">
        <v>68.0</v>
      </c>
      <c r="F24" s="5">
        <v>38.0</v>
      </c>
      <c r="G24" s="5">
        <v>0.0</v>
      </c>
      <c r="H24" s="5">
        <v>8.0</v>
      </c>
      <c r="K24" s="47" t="s">
        <v>25</v>
      </c>
      <c r="L24" s="47" t="s">
        <v>26</v>
      </c>
      <c r="M24" s="48" t="s">
        <v>79</v>
      </c>
      <c r="N24" s="47" t="s">
        <v>31</v>
      </c>
      <c r="O24" s="47" t="s">
        <v>25</v>
      </c>
      <c r="P24" s="47" t="s">
        <v>26</v>
      </c>
      <c r="Q24" s="47" t="s">
        <v>25</v>
      </c>
      <c r="R24" s="47" t="s">
        <v>26</v>
      </c>
      <c r="U24" s="47" t="s">
        <v>25</v>
      </c>
      <c r="V24" s="47" t="s">
        <v>26</v>
      </c>
      <c r="W24" s="48" t="s">
        <v>79</v>
      </c>
      <c r="X24" s="47" t="s">
        <v>31</v>
      </c>
      <c r="Y24" s="47"/>
      <c r="Z24" s="47"/>
      <c r="AA24" s="47" t="s">
        <v>25</v>
      </c>
      <c r="AB24" s="47" t="s">
        <v>26</v>
      </c>
      <c r="AN24" s="30"/>
      <c r="AO24" s="30"/>
    </row>
    <row r="25" ht="15.75" customHeight="1">
      <c r="A25" s="22" t="str">
        <f t="shared" si="3"/>
        <v>jueves</v>
      </c>
      <c r="B25" s="24" t="str">
        <f t="shared" si="4"/>
        <v>abril</v>
      </c>
      <c r="C25" s="37">
        <v>46114.0</v>
      </c>
      <c r="D25" s="28" t="s">
        <v>64</v>
      </c>
      <c r="E25" s="5">
        <v>111.0</v>
      </c>
      <c r="F25" s="5">
        <v>60.0</v>
      </c>
      <c r="G25" s="5">
        <v>6.0</v>
      </c>
      <c r="H25" s="5">
        <v>12.0</v>
      </c>
      <c r="K25" s="49" t="s">
        <v>60</v>
      </c>
      <c r="L25" s="49" t="s">
        <v>59</v>
      </c>
      <c r="M25" s="49" t="s">
        <v>64</v>
      </c>
      <c r="N25" s="49" t="s">
        <v>40</v>
      </c>
      <c r="O25" s="49" t="s">
        <v>64</v>
      </c>
      <c r="P25" s="49" t="s">
        <v>66</v>
      </c>
      <c r="Q25" s="49" t="s">
        <v>64</v>
      </c>
      <c r="R25" s="50" t="s">
        <v>66</v>
      </c>
      <c r="U25" s="49" t="s">
        <v>64</v>
      </c>
      <c r="V25" s="49" t="s">
        <v>66</v>
      </c>
      <c r="W25" s="49" t="s">
        <v>64</v>
      </c>
      <c r="X25" s="49" t="s">
        <v>40</v>
      </c>
      <c r="Y25" s="16"/>
      <c r="Z25" s="16"/>
      <c r="AA25" s="49" t="s">
        <v>64</v>
      </c>
      <c r="AB25" s="50" t="s">
        <v>66</v>
      </c>
      <c r="AN25" s="30"/>
      <c r="AO25" s="51"/>
    </row>
    <row r="26" ht="15.75" customHeight="1">
      <c r="A26" s="22" t="str">
        <f t="shared" si="3"/>
        <v>jueves</v>
      </c>
      <c r="B26" s="24" t="str">
        <f t="shared" si="4"/>
        <v>abril</v>
      </c>
      <c r="C26" s="37">
        <v>46114.0</v>
      </c>
      <c r="D26" s="28" t="s">
        <v>65</v>
      </c>
      <c r="E26" s="5">
        <v>60.0</v>
      </c>
      <c r="F26" s="5">
        <v>51.0</v>
      </c>
      <c r="G26" s="5">
        <v>3.0</v>
      </c>
      <c r="H26" s="5">
        <v>2.0</v>
      </c>
      <c r="K26" s="49" t="s">
        <v>64</v>
      </c>
      <c r="L26" s="49" t="s">
        <v>66</v>
      </c>
      <c r="M26" s="49" t="s">
        <v>52</v>
      </c>
      <c r="N26" s="49" t="s">
        <v>51</v>
      </c>
      <c r="O26" s="49" t="s">
        <v>66</v>
      </c>
      <c r="P26" s="49" t="s">
        <v>64</v>
      </c>
      <c r="Q26" s="49" t="s">
        <v>66</v>
      </c>
      <c r="R26" s="50" t="s">
        <v>59</v>
      </c>
      <c r="U26" s="49" t="s">
        <v>66</v>
      </c>
      <c r="V26" s="49" t="s">
        <v>64</v>
      </c>
      <c r="W26" s="49" t="s">
        <v>40</v>
      </c>
      <c r="X26" s="49" t="s">
        <v>51</v>
      </c>
      <c r="Y26" s="16"/>
      <c r="Z26" s="16"/>
      <c r="AA26" s="49" t="s">
        <v>66</v>
      </c>
      <c r="AB26" s="50" t="s">
        <v>64</v>
      </c>
      <c r="AN26" s="51"/>
      <c r="AO26" s="51"/>
    </row>
    <row r="27" ht="15.75" customHeight="1">
      <c r="A27" s="22" t="str">
        <f t="shared" si="3"/>
        <v>jueves</v>
      </c>
      <c r="B27" s="24" t="str">
        <f t="shared" si="4"/>
        <v>abril</v>
      </c>
      <c r="C27" s="37">
        <v>46114.0</v>
      </c>
      <c r="D27" s="28" t="s">
        <v>66</v>
      </c>
      <c r="E27" s="5">
        <v>129.0</v>
      </c>
      <c r="F27" s="5">
        <v>110.0</v>
      </c>
      <c r="G27" s="5">
        <v>0.0</v>
      </c>
      <c r="H27" s="5">
        <v>3.0</v>
      </c>
      <c r="K27" s="49" t="s">
        <v>59</v>
      </c>
      <c r="L27" s="49" t="s">
        <v>67</v>
      </c>
      <c r="M27" s="49" t="s">
        <v>40</v>
      </c>
      <c r="N27" s="49" t="s">
        <v>42</v>
      </c>
      <c r="O27" s="49" t="s">
        <v>60</v>
      </c>
      <c r="P27" s="49" t="s">
        <v>59</v>
      </c>
      <c r="Q27" s="49" t="s">
        <v>60</v>
      </c>
      <c r="R27" s="50" t="s">
        <v>64</v>
      </c>
      <c r="U27" s="49" t="s">
        <v>59</v>
      </c>
      <c r="V27" s="49" t="s">
        <v>59</v>
      </c>
      <c r="W27" s="49" t="s">
        <v>58</v>
      </c>
      <c r="X27" s="49" t="s">
        <v>64</v>
      </c>
      <c r="Y27" s="16"/>
      <c r="Z27" s="16"/>
      <c r="AA27" s="49" t="s">
        <v>59</v>
      </c>
      <c r="AB27" s="50" t="s">
        <v>59</v>
      </c>
    </row>
    <row r="28" ht="15.75" customHeight="1">
      <c r="A28" s="22" t="str">
        <f t="shared" si="3"/>
        <v>viernes</v>
      </c>
      <c r="B28" s="24" t="str">
        <f t="shared" si="4"/>
        <v>abril</v>
      </c>
      <c r="C28" s="37">
        <v>46115.0</v>
      </c>
      <c r="D28" s="28" t="s">
        <v>40</v>
      </c>
      <c r="E28" s="5">
        <v>54.0</v>
      </c>
      <c r="F28" s="5">
        <v>23.0</v>
      </c>
      <c r="G28" s="5">
        <v>5.0</v>
      </c>
      <c r="H28" s="5">
        <v>9.0</v>
      </c>
      <c r="K28" s="49" t="s">
        <v>66</v>
      </c>
      <c r="L28" s="49" t="s">
        <v>64</v>
      </c>
      <c r="M28" s="49" t="s">
        <v>60</v>
      </c>
      <c r="N28" s="49" t="s">
        <v>64</v>
      </c>
      <c r="O28" s="49" t="s">
        <v>59</v>
      </c>
      <c r="P28" s="49" t="s">
        <v>67</v>
      </c>
      <c r="Q28" s="49" t="s">
        <v>59</v>
      </c>
      <c r="R28" s="50" t="s">
        <v>67</v>
      </c>
      <c r="U28" s="49" t="s">
        <v>58</v>
      </c>
      <c r="V28" s="49" t="s">
        <v>65</v>
      </c>
      <c r="W28" s="49" t="s">
        <v>65</v>
      </c>
      <c r="X28" s="49" t="s">
        <v>42</v>
      </c>
      <c r="Y28" s="16"/>
      <c r="Z28" s="16"/>
      <c r="AA28" s="49" t="s">
        <v>58</v>
      </c>
      <c r="AB28" s="50" t="s">
        <v>65</v>
      </c>
    </row>
    <row r="29" ht="15.75" customHeight="1">
      <c r="A29" s="22" t="str">
        <f t="shared" si="3"/>
        <v>viernes</v>
      </c>
      <c r="B29" s="24" t="str">
        <f t="shared" si="4"/>
        <v>abril</v>
      </c>
      <c r="C29" s="37">
        <v>46115.0</v>
      </c>
      <c r="D29" s="28" t="s">
        <v>51</v>
      </c>
      <c r="E29" s="5">
        <v>30.0</v>
      </c>
      <c r="F29" s="5">
        <v>25.0</v>
      </c>
      <c r="G29" s="5">
        <v>3.0</v>
      </c>
      <c r="H29" s="5">
        <v>7.0</v>
      </c>
      <c r="K29" s="49" t="s">
        <v>67</v>
      </c>
      <c r="L29" s="49" t="s">
        <v>60</v>
      </c>
      <c r="M29" s="49" t="s">
        <v>58</v>
      </c>
      <c r="N29" s="49" t="s">
        <v>60</v>
      </c>
      <c r="O29" s="49" t="s">
        <v>58</v>
      </c>
      <c r="P29" s="49" t="s">
        <v>65</v>
      </c>
      <c r="Q29" s="49" t="s">
        <v>58</v>
      </c>
      <c r="R29" s="50" t="s">
        <v>65</v>
      </c>
      <c r="U29" s="49" t="s">
        <v>65</v>
      </c>
      <c r="V29" s="49" t="s">
        <v>51</v>
      </c>
      <c r="W29" s="49" t="s">
        <v>52</v>
      </c>
      <c r="X29" s="49" t="s">
        <v>66</v>
      </c>
      <c r="Y29" s="16"/>
      <c r="Z29" s="16"/>
      <c r="AA29" s="49" t="s">
        <v>65</v>
      </c>
      <c r="AB29" s="50" t="s">
        <v>51</v>
      </c>
    </row>
    <row r="30" ht="15.75" customHeight="1">
      <c r="A30" s="22" t="str">
        <f t="shared" si="3"/>
        <v>viernes</v>
      </c>
      <c r="B30" s="24" t="str">
        <f t="shared" si="4"/>
        <v>abril</v>
      </c>
      <c r="C30" s="37">
        <v>46115.0</v>
      </c>
      <c r="D30" s="28" t="s">
        <v>58</v>
      </c>
      <c r="E30" s="5">
        <v>30.0</v>
      </c>
      <c r="F30" s="5">
        <v>18.0</v>
      </c>
      <c r="G30" s="5">
        <v>4.0</v>
      </c>
      <c r="H30" s="5">
        <v>1.0</v>
      </c>
      <c r="K30" s="52" t="s">
        <v>42</v>
      </c>
      <c r="L30" s="52" t="s">
        <v>65</v>
      </c>
      <c r="M30" s="52" t="s">
        <v>65</v>
      </c>
      <c r="N30" s="52" t="s">
        <v>52</v>
      </c>
      <c r="O30" s="52" t="s">
        <v>65</v>
      </c>
      <c r="P30" s="52" t="s">
        <v>60</v>
      </c>
      <c r="Q30" s="52" t="s">
        <v>65</v>
      </c>
      <c r="R30" s="52" t="s">
        <v>60</v>
      </c>
      <c r="U30" s="52" t="s">
        <v>42</v>
      </c>
      <c r="V30" s="52" t="s">
        <v>42</v>
      </c>
      <c r="W30" s="52" t="s">
        <v>42</v>
      </c>
      <c r="X30" s="52" t="s">
        <v>58</v>
      </c>
      <c r="Y30" s="53"/>
      <c r="Z30" s="53"/>
      <c r="AA30" s="52" t="s">
        <v>42</v>
      </c>
      <c r="AB30" s="52" t="s">
        <v>42</v>
      </c>
    </row>
    <row r="31" ht="15.75" customHeight="1">
      <c r="A31" s="22" t="str">
        <f t="shared" si="3"/>
        <v>viernes</v>
      </c>
      <c r="B31" s="24" t="str">
        <f t="shared" si="4"/>
        <v>abril</v>
      </c>
      <c r="C31" s="37">
        <v>46115.0</v>
      </c>
      <c r="D31" s="28" t="s">
        <v>52</v>
      </c>
      <c r="E31" s="5">
        <v>37.0</v>
      </c>
      <c r="F31" s="5">
        <v>23.0</v>
      </c>
      <c r="G31" s="5">
        <v>4.0</v>
      </c>
      <c r="H31" s="5">
        <v>4.0</v>
      </c>
      <c r="K31" s="52" t="s">
        <v>41</v>
      </c>
      <c r="L31" s="52" t="s">
        <v>51</v>
      </c>
      <c r="M31" s="52" t="s">
        <v>42</v>
      </c>
      <c r="N31" s="52" t="s">
        <v>41</v>
      </c>
      <c r="O31" s="52" t="s">
        <v>67</v>
      </c>
      <c r="P31" s="52" t="s">
        <v>51</v>
      </c>
      <c r="Q31" s="52" t="s">
        <v>67</v>
      </c>
      <c r="R31" s="52" t="s">
        <v>51</v>
      </c>
      <c r="U31" s="52" t="s">
        <v>40</v>
      </c>
      <c r="V31" s="52" t="s">
        <v>41</v>
      </c>
      <c r="W31" s="52" t="s">
        <v>51</v>
      </c>
      <c r="X31" s="52" t="s">
        <v>39</v>
      </c>
      <c r="Y31" s="53"/>
      <c r="Z31" s="53"/>
      <c r="AA31" s="52" t="s">
        <v>40</v>
      </c>
      <c r="AB31" s="52" t="s">
        <v>41</v>
      </c>
    </row>
    <row r="32" ht="15.75" customHeight="1">
      <c r="A32" s="22" t="str">
        <f t="shared" si="3"/>
        <v>viernes</v>
      </c>
      <c r="B32" s="24" t="str">
        <f t="shared" si="4"/>
        <v>abril</v>
      </c>
      <c r="C32" s="37">
        <v>46115.0</v>
      </c>
      <c r="D32" s="28" t="s">
        <v>53</v>
      </c>
      <c r="E32" s="5">
        <v>49.0</v>
      </c>
      <c r="F32" s="5">
        <v>24.0</v>
      </c>
      <c r="G32" s="5">
        <v>3.0</v>
      </c>
      <c r="H32" s="5">
        <v>2.0</v>
      </c>
      <c r="K32" s="52" t="s">
        <v>53</v>
      </c>
      <c r="L32" s="52" t="s">
        <v>41</v>
      </c>
      <c r="M32" s="52" t="s">
        <v>51</v>
      </c>
      <c r="N32" s="52" t="s">
        <v>58</v>
      </c>
      <c r="O32" s="52" t="s">
        <v>39</v>
      </c>
      <c r="P32" s="52" t="s">
        <v>39</v>
      </c>
      <c r="Q32" s="52" t="s">
        <v>39</v>
      </c>
      <c r="R32" s="52" t="s">
        <v>41</v>
      </c>
      <c r="U32" s="52" t="s">
        <v>60</v>
      </c>
      <c r="V32" s="52" t="s">
        <v>58</v>
      </c>
      <c r="W32" s="52" t="s">
        <v>60</v>
      </c>
      <c r="X32" s="53" t="s">
        <v>46</v>
      </c>
      <c r="Y32" s="53"/>
      <c r="Z32" s="53"/>
      <c r="AA32" s="52" t="s">
        <v>60</v>
      </c>
      <c r="AB32" s="52" t="s">
        <v>58</v>
      </c>
    </row>
    <row r="33" ht="15.75" customHeight="1">
      <c r="A33" s="22" t="str">
        <f t="shared" si="3"/>
        <v>viernes</v>
      </c>
      <c r="B33" s="24" t="str">
        <f t="shared" si="4"/>
        <v>abril</v>
      </c>
      <c r="C33" s="37">
        <v>46115.0</v>
      </c>
      <c r="D33" s="28" t="s">
        <v>64</v>
      </c>
      <c r="E33" s="5">
        <v>101.0</v>
      </c>
      <c r="F33" s="5">
        <v>51.0</v>
      </c>
      <c r="G33" s="5">
        <v>6.0</v>
      </c>
      <c r="H33" s="5">
        <v>8.0</v>
      </c>
      <c r="K33" s="52" t="s">
        <v>40</v>
      </c>
      <c r="L33" s="52" t="s">
        <v>44</v>
      </c>
      <c r="M33" s="52" t="s">
        <v>67</v>
      </c>
      <c r="N33" s="52" t="s">
        <v>39</v>
      </c>
      <c r="O33" s="52" t="s">
        <v>42</v>
      </c>
      <c r="P33" s="52" t="s">
        <v>41</v>
      </c>
      <c r="Q33" s="52" t="s">
        <v>42</v>
      </c>
      <c r="R33" s="52" t="s">
        <v>44</v>
      </c>
      <c r="U33" s="52" t="s">
        <v>51</v>
      </c>
      <c r="V33" s="52" t="s">
        <v>40</v>
      </c>
      <c r="W33" s="52" t="s">
        <v>39</v>
      </c>
      <c r="X33" s="52" t="s">
        <v>41</v>
      </c>
      <c r="Y33" s="53"/>
      <c r="Z33" s="53"/>
      <c r="AA33" s="52" t="s">
        <v>51</v>
      </c>
      <c r="AB33" s="52" t="s">
        <v>40</v>
      </c>
    </row>
    <row r="34" ht="15.75" customHeight="1">
      <c r="A34" s="22" t="str">
        <f t="shared" si="3"/>
        <v>viernes</v>
      </c>
      <c r="B34" s="24" t="str">
        <f t="shared" si="4"/>
        <v>abril</v>
      </c>
      <c r="C34" s="37">
        <v>46115.0</v>
      </c>
      <c r="D34" s="28" t="s">
        <v>65</v>
      </c>
      <c r="E34" s="5">
        <v>66.0</v>
      </c>
      <c r="F34" s="5">
        <v>51.0</v>
      </c>
      <c r="G34" s="5">
        <v>0.0</v>
      </c>
      <c r="H34" s="5">
        <v>0.0</v>
      </c>
      <c r="K34" s="52" t="s">
        <v>58</v>
      </c>
      <c r="L34" s="52" t="s">
        <v>42</v>
      </c>
      <c r="M34" s="52" t="s">
        <v>53</v>
      </c>
      <c r="N34" s="52" t="s">
        <v>53</v>
      </c>
      <c r="O34" s="52" t="s">
        <v>53</v>
      </c>
      <c r="P34" s="52" t="s">
        <v>42</v>
      </c>
      <c r="Q34" s="52" t="s">
        <v>41</v>
      </c>
      <c r="R34" s="52" t="s">
        <v>39</v>
      </c>
      <c r="U34" s="52" t="s">
        <v>39</v>
      </c>
      <c r="V34" s="52" t="s">
        <v>39</v>
      </c>
      <c r="W34" s="53" t="s">
        <v>46</v>
      </c>
      <c r="X34" s="52" t="s">
        <v>52</v>
      </c>
      <c r="Y34" s="53"/>
      <c r="Z34" s="53"/>
      <c r="AA34" s="52" t="s">
        <v>39</v>
      </c>
      <c r="AB34" s="52" t="s">
        <v>39</v>
      </c>
      <c r="AN34" s="51"/>
      <c r="AO34" s="51"/>
    </row>
    <row r="35" ht="15.75" customHeight="1">
      <c r="A35" s="22" t="str">
        <f t="shared" si="3"/>
        <v>viernes</v>
      </c>
      <c r="B35" s="24" t="str">
        <f t="shared" si="4"/>
        <v>abril</v>
      </c>
      <c r="C35" s="37">
        <v>46115.0</v>
      </c>
      <c r="D35" s="28" t="s">
        <v>66</v>
      </c>
      <c r="E35" s="5">
        <v>107.0</v>
      </c>
      <c r="F35" s="5">
        <v>71.0</v>
      </c>
      <c r="G35" s="5">
        <v>1.0</v>
      </c>
      <c r="H35" s="5">
        <v>11.0</v>
      </c>
      <c r="K35" s="54" t="s">
        <v>65</v>
      </c>
      <c r="L35" s="54" t="s">
        <v>40</v>
      </c>
      <c r="M35" s="54" t="s">
        <v>39</v>
      </c>
      <c r="N35" s="54" t="s">
        <v>66</v>
      </c>
      <c r="O35" s="54" t="s">
        <v>40</v>
      </c>
      <c r="P35" s="54" t="s">
        <v>44</v>
      </c>
      <c r="Q35" s="54" t="s">
        <v>53</v>
      </c>
      <c r="R35" s="54" t="s">
        <v>42</v>
      </c>
      <c r="U35" s="54" t="s">
        <v>41</v>
      </c>
      <c r="V35" s="54" t="s">
        <v>60</v>
      </c>
      <c r="W35" s="54" t="s">
        <v>59</v>
      </c>
      <c r="X35" s="54" t="s">
        <v>60</v>
      </c>
      <c r="Y35" s="55"/>
      <c r="Z35" s="55"/>
      <c r="AA35" s="54" t="s">
        <v>41</v>
      </c>
      <c r="AB35" s="54" t="s">
        <v>60</v>
      </c>
      <c r="AN35" s="51"/>
    </row>
    <row r="36" ht="15.75" customHeight="1">
      <c r="A36" s="22" t="str">
        <f t="shared" si="3"/>
        <v>sábado</v>
      </c>
      <c r="B36" s="24" t="str">
        <f t="shared" si="4"/>
        <v>abril</v>
      </c>
      <c r="C36" s="37">
        <v>46116.0</v>
      </c>
      <c r="D36" s="28" t="s">
        <v>40</v>
      </c>
      <c r="E36" s="5">
        <v>80.0</v>
      </c>
      <c r="F36" s="5">
        <v>36.0</v>
      </c>
      <c r="G36" s="5">
        <v>4.0</v>
      </c>
      <c r="H36" s="5">
        <v>14.0</v>
      </c>
      <c r="K36" s="54" t="s">
        <v>51</v>
      </c>
      <c r="L36" s="54" t="s">
        <v>39</v>
      </c>
      <c r="M36" s="54" t="s">
        <v>59</v>
      </c>
      <c r="N36" s="54" t="s">
        <v>65</v>
      </c>
      <c r="O36" s="54" t="s">
        <v>41</v>
      </c>
      <c r="P36" s="54" t="s">
        <v>58</v>
      </c>
      <c r="Q36" s="54" t="s">
        <v>40</v>
      </c>
      <c r="R36" s="54" t="s">
        <v>58</v>
      </c>
      <c r="U36" s="54" t="s">
        <v>53</v>
      </c>
      <c r="V36" s="54" t="s">
        <v>53</v>
      </c>
      <c r="W36" s="54" t="s">
        <v>53</v>
      </c>
      <c r="X36" s="54" t="s">
        <v>65</v>
      </c>
      <c r="Y36" s="55"/>
      <c r="Z36" s="55"/>
      <c r="AA36" s="54" t="s">
        <v>53</v>
      </c>
      <c r="AB36" s="54" t="s">
        <v>53</v>
      </c>
    </row>
    <row r="37" ht="15.75" customHeight="1">
      <c r="A37" s="22" t="str">
        <f t="shared" si="3"/>
        <v>sábado</v>
      </c>
      <c r="B37" s="24" t="str">
        <f t="shared" si="4"/>
        <v>abril</v>
      </c>
      <c r="C37" s="37">
        <v>46116.0</v>
      </c>
      <c r="D37" s="5" t="s">
        <v>43</v>
      </c>
      <c r="E37" s="5">
        <v>49.0</v>
      </c>
      <c r="F37" s="5">
        <v>24.0</v>
      </c>
      <c r="G37" s="5">
        <v>2.0</v>
      </c>
      <c r="H37" s="5">
        <v>5.0</v>
      </c>
      <c r="K37" s="54" t="s">
        <v>39</v>
      </c>
      <c r="L37" s="54" t="s">
        <v>53</v>
      </c>
      <c r="M37" s="54" t="s">
        <v>41</v>
      </c>
      <c r="N37" s="54" t="s">
        <v>67</v>
      </c>
      <c r="O37" s="54" t="s">
        <v>51</v>
      </c>
      <c r="P37" s="54" t="s">
        <v>40</v>
      </c>
      <c r="Q37" s="54" t="s">
        <v>51</v>
      </c>
      <c r="R37" s="54" t="s">
        <v>40</v>
      </c>
      <c r="U37" s="55" t="s">
        <v>46</v>
      </c>
      <c r="V37" s="54" t="s">
        <v>52</v>
      </c>
      <c r="W37" s="54" t="s">
        <v>41</v>
      </c>
      <c r="X37" s="54" t="s">
        <v>53</v>
      </c>
      <c r="Y37" s="55"/>
      <c r="Z37" s="55"/>
      <c r="AA37" s="55" t="s">
        <v>46</v>
      </c>
      <c r="AB37" s="54" t="s">
        <v>52</v>
      </c>
    </row>
    <row r="38" ht="15.75" customHeight="1">
      <c r="A38" s="22" t="str">
        <f t="shared" si="3"/>
        <v>sábado</v>
      </c>
      <c r="B38" s="24" t="str">
        <f t="shared" si="4"/>
        <v>abril</v>
      </c>
      <c r="C38" s="37">
        <v>46116.0</v>
      </c>
      <c r="D38" s="28" t="s">
        <v>51</v>
      </c>
      <c r="E38" s="5">
        <v>50.0</v>
      </c>
      <c r="F38" s="5">
        <v>42.0</v>
      </c>
      <c r="G38" s="5">
        <v>2.0</v>
      </c>
      <c r="H38" s="5">
        <v>5.0</v>
      </c>
      <c r="K38" s="54" t="s">
        <v>44</v>
      </c>
      <c r="L38" s="54" t="s">
        <v>58</v>
      </c>
      <c r="M38" s="54" t="s">
        <v>66</v>
      </c>
      <c r="N38" s="54" t="s">
        <v>59</v>
      </c>
      <c r="O38" s="54" t="s">
        <v>52</v>
      </c>
      <c r="P38" s="54" t="s">
        <v>53</v>
      </c>
      <c r="Q38" s="54" t="s">
        <v>44</v>
      </c>
      <c r="R38" s="54" t="s">
        <v>53</v>
      </c>
      <c r="U38" s="54" t="s">
        <v>52</v>
      </c>
      <c r="V38" s="55" t="s">
        <v>46</v>
      </c>
      <c r="W38" s="54" t="s">
        <v>66</v>
      </c>
      <c r="X38" s="54" t="s">
        <v>59</v>
      </c>
      <c r="Y38" s="55"/>
      <c r="Z38" s="55"/>
      <c r="AA38" s="54" t="s">
        <v>52</v>
      </c>
      <c r="AB38" s="55" t="s">
        <v>46</v>
      </c>
    </row>
    <row r="39" ht="15.75" customHeight="1">
      <c r="A39" s="22" t="str">
        <f t="shared" si="3"/>
        <v>sábado</v>
      </c>
      <c r="B39" s="24" t="str">
        <f t="shared" si="4"/>
        <v>abril</v>
      </c>
      <c r="C39" s="37">
        <v>46116.0</v>
      </c>
      <c r="D39" s="28" t="s">
        <v>59</v>
      </c>
      <c r="E39" s="5">
        <v>90.0</v>
      </c>
      <c r="F39" s="5">
        <v>75.0</v>
      </c>
      <c r="G39" s="5">
        <v>0.0</v>
      </c>
      <c r="H39" s="5">
        <v>0.0</v>
      </c>
      <c r="K39" s="54" t="s">
        <v>52</v>
      </c>
      <c r="L39" s="54" t="s">
        <v>52</v>
      </c>
      <c r="M39" s="54" t="s">
        <v>44</v>
      </c>
      <c r="N39" s="54" t="s">
        <v>44</v>
      </c>
      <c r="O39" s="54" t="s">
        <v>44</v>
      </c>
      <c r="P39" s="54" t="s">
        <v>52</v>
      </c>
      <c r="Q39" s="54" t="s">
        <v>52</v>
      </c>
      <c r="R39" s="54" t="s">
        <v>52</v>
      </c>
      <c r="U39" s="54" t="s">
        <v>44</v>
      </c>
      <c r="V39" s="54" t="s">
        <v>44</v>
      </c>
      <c r="W39" s="54" t="s">
        <v>44</v>
      </c>
      <c r="X39" s="54" t="s">
        <v>44</v>
      </c>
      <c r="Y39" s="55"/>
      <c r="Z39" s="55"/>
      <c r="AA39" s="54" t="s">
        <v>44</v>
      </c>
      <c r="AB39" s="54" t="s">
        <v>44</v>
      </c>
    </row>
    <row r="40" ht="15.75" customHeight="1">
      <c r="A40" s="22" t="str">
        <f t="shared" si="3"/>
        <v>sábado</v>
      </c>
      <c r="B40" s="24" t="str">
        <f t="shared" si="4"/>
        <v>abril</v>
      </c>
      <c r="C40" s="37">
        <v>46116.0</v>
      </c>
      <c r="D40" s="28" t="s">
        <v>52</v>
      </c>
      <c r="E40" s="5">
        <v>57.0</v>
      </c>
      <c r="F40" s="5">
        <v>39.0</v>
      </c>
      <c r="G40" s="5">
        <v>2.0</v>
      </c>
      <c r="H40" s="5">
        <v>7.0</v>
      </c>
      <c r="AM40" s="38"/>
      <c r="AO40" s="23"/>
    </row>
    <row r="41" ht="15.75" customHeight="1">
      <c r="A41" s="22" t="str">
        <f t="shared" si="3"/>
        <v>sábado</v>
      </c>
      <c r="B41" s="24" t="str">
        <f t="shared" si="4"/>
        <v>abril</v>
      </c>
      <c r="C41" s="37">
        <v>46116.0</v>
      </c>
      <c r="D41" s="28" t="s">
        <v>53</v>
      </c>
      <c r="E41" s="5">
        <v>102.0</v>
      </c>
      <c r="F41" s="5">
        <v>55.0</v>
      </c>
      <c r="G41" s="5">
        <v>4.0</v>
      </c>
      <c r="H41" s="5">
        <v>4.0</v>
      </c>
      <c r="J41" s="40" t="s">
        <v>69</v>
      </c>
      <c r="K41" s="40">
        <f t="shared" ref="K41:R41" si="28">AVERAGE(K4:K18)</f>
        <v>78.31100048</v>
      </c>
      <c r="L41" s="40">
        <f t="shared" si="28"/>
        <v>54.94675806</v>
      </c>
      <c r="M41" s="40">
        <f t="shared" si="28"/>
        <v>2.515892256</v>
      </c>
      <c r="N41" s="40">
        <f t="shared" si="28"/>
        <v>4.814747475</v>
      </c>
      <c r="O41" s="40">
        <f t="shared" si="28"/>
        <v>8.356969216</v>
      </c>
      <c r="P41" s="40">
        <f t="shared" si="28"/>
        <v>5.823496873</v>
      </c>
      <c r="Q41" s="40">
        <f t="shared" si="28"/>
        <v>341.3250986</v>
      </c>
      <c r="R41" s="40">
        <f t="shared" si="28"/>
        <v>239.0439827</v>
      </c>
      <c r="AM41" s="38"/>
      <c r="AN41" s="23"/>
      <c r="AO41" s="23"/>
    </row>
    <row r="42" ht="15.75" customHeight="1">
      <c r="A42" s="22" t="str">
        <f t="shared" si="3"/>
        <v>domingo</v>
      </c>
      <c r="B42" s="24" t="str">
        <f t="shared" si="4"/>
        <v>abril</v>
      </c>
      <c r="C42" s="37">
        <v>46117.0</v>
      </c>
      <c r="D42" s="28" t="s">
        <v>39</v>
      </c>
      <c r="E42" s="5">
        <v>74.0</v>
      </c>
      <c r="F42" s="5">
        <v>28.0</v>
      </c>
      <c r="G42" s="5">
        <v>2.0</v>
      </c>
      <c r="H42" s="5">
        <v>6.0</v>
      </c>
      <c r="AM42" s="38"/>
      <c r="AN42" s="23"/>
      <c r="AO42" s="23"/>
    </row>
    <row r="43" ht="15.75" customHeight="1">
      <c r="A43" s="22" t="str">
        <f t="shared" si="3"/>
        <v>domingo</v>
      </c>
      <c r="B43" s="24" t="str">
        <f t="shared" si="4"/>
        <v>abril</v>
      </c>
      <c r="C43" s="37">
        <v>46117.0</v>
      </c>
      <c r="D43" s="28" t="s">
        <v>40</v>
      </c>
      <c r="E43" s="5">
        <v>104.0</v>
      </c>
      <c r="F43" s="5">
        <v>62.0</v>
      </c>
      <c r="G43" s="5">
        <v>5.0</v>
      </c>
      <c r="H43" s="5">
        <v>12.0</v>
      </c>
      <c r="AM43" s="30"/>
      <c r="AN43" s="23"/>
      <c r="AO43" s="23"/>
    </row>
    <row r="44" ht="15.75" customHeight="1">
      <c r="A44" s="22" t="str">
        <f t="shared" si="3"/>
        <v>domingo</v>
      </c>
      <c r="B44" s="24" t="str">
        <f t="shared" si="4"/>
        <v>abril</v>
      </c>
      <c r="C44" s="37">
        <v>46117.0</v>
      </c>
      <c r="D44" s="5" t="s">
        <v>43</v>
      </c>
      <c r="E44" s="5">
        <v>80.0</v>
      </c>
      <c r="F44" s="5">
        <v>37.0</v>
      </c>
      <c r="G44" s="5">
        <v>5.0</v>
      </c>
      <c r="H44" s="5">
        <v>14.0</v>
      </c>
      <c r="AM44" s="30"/>
      <c r="AN44" s="23"/>
      <c r="AO44" s="23"/>
    </row>
    <row r="45" ht="15.75" customHeight="1">
      <c r="A45" s="22" t="str">
        <f t="shared" si="3"/>
        <v>domingo</v>
      </c>
      <c r="B45" s="24" t="str">
        <f t="shared" si="4"/>
        <v>abril</v>
      </c>
      <c r="C45" s="37">
        <v>46117.0</v>
      </c>
      <c r="D45" s="28" t="s">
        <v>59</v>
      </c>
      <c r="E45" s="5">
        <v>138.0</v>
      </c>
      <c r="F45" s="5">
        <v>123.0</v>
      </c>
      <c r="G45" s="5">
        <v>3.0</v>
      </c>
      <c r="H45" s="5">
        <v>1.0</v>
      </c>
      <c r="AM45" s="30"/>
      <c r="AN45" s="23"/>
      <c r="AO45" s="23"/>
    </row>
    <row r="46" ht="15.75" customHeight="1">
      <c r="A46" s="22" t="str">
        <f t="shared" si="3"/>
        <v>domingo</v>
      </c>
      <c r="B46" s="24" t="str">
        <f t="shared" si="4"/>
        <v>abril</v>
      </c>
      <c r="C46" s="37">
        <v>46117.0</v>
      </c>
      <c r="D46" s="28" t="s">
        <v>53</v>
      </c>
      <c r="E46" s="5">
        <v>124.0</v>
      </c>
      <c r="F46" s="5">
        <v>51.0</v>
      </c>
      <c r="G46" s="5">
        <v>5.0</v>
      </c>
      <c r="H46" s="5">
        <v>15.0</v>
      </c>
      <c r="AM46" s="51"/>
      <c r="AN46" s="23"/>
      <c r="AO46" s="23"/>
    </row>
    <row r="47" ht="15.75" customHeight="1">
      <c r="A47" s="22" t="str">
        <f t="shared" si="3"/>
        <v>domingo</v>
      </c>
      <c r="B47" s="24" t="str">
        <f t="shared" si="4"/>
        <v>abril</v>
      </c>
      <c r="C47" s="37">
        <v>46117.0</v>
      </c>
      <c r="D47" s="28" t="s">
        <v>52</v>
      </c>
      <c r="E47" s="5">
        <v>89.0</v>
      </c>
      <c r="F47" s="5">
        <v>51.0</v>
      </c>
      <c r="G47" s="5">
        <v>6.0</v>
      </c>
      <c r="H47" s="5">
        <v>10.0</v>
      </c>
      <c r="AM47" s="51"/>
      <c r="AN47" s="23"/>
      <c r="AO47" s="23"/>
    </row>
    <row r="48" ht="15.75" customHeight="1">
      <c r="A48" s="22" t="str">
        <f t="shared" si="3"/>
        <v>lunes</v>
      </c>
      <c r="B48" s="24" t="str">
        <f t="shared" si="4"/>
        <v>abril</v>
      </c>
      <c r="C48" s="37">
        <v>46118.0</v>
      </c>
      <c r="D48" s="28" t="s">
        <v>39</v>
      </c>
      <c r="E48" s="5">
        <v>85.0</v>
      </c>
      <c r="F48" s="5">
        <v>58.0</v>
      </c>
      <c r="G48" s="5">
        <v>1.0</v>
      </c>
      <c r="H48" s="5">
        <v>13.0</v>
      </c>
      <c r="AM48" s="51"/>
      <c r="AN48" s="23"/>
      <c r="AO48" s="23"/>
    </row>
    <row r="49" ht="15.75" customHeight="1">
      <c r="A49" s="22" t="str">
        <f t="shared" si="3"/>
        <v>lunes</v>
      </c>
      <c r="B49" s="24" t="str">
        <f t="shared" si="4"/>
        <v>abril</v>
      </c>
      <c r="C49" s="37">
        <v>46118.0</v>
      </c>
      <c r="D49" s="28" t="s">
        <v>41</v>
      </c>
      <c r="E49" s="5">
        <v>73.0</v>
      </c>
      <c r="F49" s="5">
        <v>47.0</v>
      </c>
      <c r="G49" s="5">
        <v>2.0</v>
      </c>
      <c r="H49" s="5">
        <v>12.0</v>
      </c>
      <c r="J49" s="12" t="s">
        <v>123</v>
      </c>
      <c r="O49" s="13" t="s">
        <v>18</v>
      </c>
      <c r="Q49" s="13" t="s">
        <v>19</v>
      </c>
      <c r="AA49" s="45" t="s">
        <v>76</v>
      </c>
    </row>
    <row r="50" ht="15.75" customHeight="1">
      <c r="A50" s="22" t="str">
        <f t="shared" si="3"/>
        <v>lunes</v>
      </c>
      <c r="B50" s="24" t="str">
        <f t="shared" si="4"/>
        <v>abril</v>
      </c>
      <c r="C50" s="37">
        <v>46118.0</v>
      </c>
      <c r="D50" s="28" t="s">
        <v>42</v>
      </c>
      <c r="E50" s="5">
        <v>67.0</v>
      </c>
      <c r="F50" s="5">
        <v>36.0</v>
      </c>
      <c r="G50" s="5">
        <v>2.0</v>
      </c>
      <c r="H50" s="5">
        <v>7.0</v>
      </c>
      <c r="J50" s="17" t="s">
        <v>29</v>
      </c>
      <c r="K50" s="17" t="s">
        <v>25</v>
      </c>
      <c r="L50" s="17" t="s">
        <v>26</v>
      </c>
      <c r="M50" s="17" t="s">
        <v>30</v>
      </c>
      <c r="N50" s="17" t="s">
        <v>31</v>
      </c>
      <c r="O50" s="18" t="s">
        <v>25</v>
      </c>
      <c r="P50" s="18" t="s">
        <v>26</v>
      </c>
      <c r="Q50" s="17" t="s">
        <v>25</v>
      </c>
      <c r="R50" s="17" t="s">
        <v>26</v>
      </c>
      <c r="U50" s="5" t="s">
        <v>24</v>
      </c>
      <c r="V50" s="5" t="s">
        <v>33</v>
      </c>
      <c r="W50" s="5" t="s">
        <v>34</v>
      </c>
      <c r="X50" s="21" t="s">
        <v>35</v>
      </c>
      <c r="Y50" s="5" t="s">
        <v>36</v>
      </c>
      <c r="AA50" s="47" t="s">
        <v>25</v>
      </c>
      <c r="AB50" s="47" t="s">
        <v>26</v>
      </c>
    </row>
    <row r="51" ht="15.75" customHeight="1">
      <c r="A51" s="22" t="str">
        <f t="shared" si="3"/>
        <v>lunes</v>
      </c>
      <c r="B51" s="24" t="str">
        <f t="shared" si="4"/>
        <v>abril</v>
      </c>
      <c r="C51" s="37">
        <v>46118.0</v>
      </c>
      <c r="D51" s="28" t="s">
        <v>44</v>
      </c>
      <c r="E51" s="5">
        <v>51.0</v>
      </c>
      <c r="F51" s="5">
        <v>53.0</v>
      </c>
      <c r="G51" s="5">
        <v>0.0</v>
      </c>
      <c r="H51" s="5">
        <v>0.0</v>
      </c>
      <c r="J51" s="28" t="s">
        <v>39</v>
      </c>
      <c r="K51" s="23">
        <v>62.166666666666664</v>
      </c>
      <c r="L51" s="23">
        <v>39.22222222222222</v>
      </c>
      <c r="M51" s="23">
        <v>1.8333333333333333</v>
      </c>
      <c r="N51" s="23">
        <v>4.777777777777778</v>
      </c>
      <c r="O51" s="23">
        <v>7.770833333333333</v>
      </c>
      <c r="P51" s="23">
        <v>4.902777777777778</v>
      </c>
      <c r="Q51" s="23">
        <v>310.8333333333333</v>
      </c>
      <c r="R51" s="23">
        <v>196.11111111111111</v>
      </c>
      <c r="U51" s="28" t="s">
        <v>39</v>
      </c>
      <c r="V51" s="23">
        <v>1119.0</v>
      </c>
      <c r="W51" s="23">
        <v>706.0</v>
      </c>
      <c r="X51" s="23">
        <v>33.0</v>
      </c>
      <c r="Y51" s="23">
        <v>86.0</v>
      </c>
      <c r="AA51" s="23">
        <v>279.75</v>
      </c>
      <c r="AB51" s="23">
        <v>176.5</v>
      </c>
    </row>
    <row r="52" ht="15.75" customHeight="1">
      <c r="A52" s="22" t="str">
        <f t="shared" si="3"/>
        <v>lunes</v>
      </c>
      <c r="B52" s="24" t="str">
        <f t="shared" si="4"/>
        <v>abril</v>
      </c>
      <c r="C52" s="37">
        <v>46118.0</v>
      </c>
      <c r="D52" s="5" t="s">
        <v>89</v>
      </c>
      <c r="E52" s="5">
        <v>84.0</v>
      </c>
      <c r="F52" s="5">
        <v>49.0</v>
      </c>
      <c r="G52" s="5">
        <v>0.0</v>
      </c>
      <c r="H52" s="5">
        <v>0.0</v>
      </c>
      <c r="J52" s="28" t="s">
        <v>40</v>
      </c>
      <c r="K52" s="23">
        <v>71.22222222222223</v>
      </c>
      <c r="L52" s="23">
        <v>39.72222222222222</v>
      </c>
      <c r="M52" s="23">
        <v>3.8333333333333335</v>
      </c>
      <c r="N52" s="23">
        <v>9.11111111111111</v>
      </c>
      <c r="O52" s="23">
        <v>7.122222222222223</v>
      </c>
      <c r="P52" s="23">
        <v>3.9722222222222223</v>
      </c>
      <c r="Q52" s="23">
        <v>284.8888888888889</v>
      </c>
      <c r="R52" s="23">
        <v>158.88888888888889</v>
      </c>
      <c r="U52" s="28" t="s">
        <v>40</v>
      </c>
      <c r="V52" s="23">
        <v>1282.0</v>
      </c>
      <c r="W52" s="23">
        <v>715.0</v>
      </c>
      <c r="X52" s="23">
        <v>69.0</v>
      </c>
      <c r="Y52" s="23">
        <v>164.0</v>
      </c>
      <c r="AA52" s="23">
        <v>320.5</v>
      </c>
      <c r="AB52" s="23">
        <v>178.75</v>
      </c>
    </row>
    <row r="53" ht="15.75" customHeight="1">
      <c r="A53" s="22" t="str">
        <f t="shared" si="3"/>
        <v>lunes</v>
      </c>
      <c r="B53" s="24" t="str">
        <f t="shared" si="4"/>
        <v>abril</v>
      </c>
      <c r="C53" s="37">
        <v>46118.0</v>
      </c>
      <c r="D53" s="5" t="s">
        <v>90</v>
      </c>
      <c r="E53" s="5">
        <v>31.0</v>
      </c>
      <c r="F53" s="5">
        <v>24.0</v>
      </c>
      <c r="G53" s="5">
        <v>0.0</v>
      </c>
      <c r="H53" s="5">
        <v>0.0</v>
      </c>
      <c r="J53" s="28" t="s">
        <v>44</v>
      </c>
      <c r="K53" s="23">
        <v>47.75</v>
      </c>
      <c r="L53" s="23">
        <v>49.25</v>
      </c>
      <c r="M53" s="23">
        <v>0.0</v>
      </c>
      <c r="N53" s="23">
        <v>0.0</v>
      </c>
      <c r="O53" s="23">
        <v>4.340909090909091</v>
      </c>
      <c r="P53" s="23">
        <v>4.4772727272727275</v>
      </c>
      <c r="Q53" s="23">
        <v>191.0</v>
      </c>
      <c r="R53" s="23">
        <v>197.0</v>
      </c>
      <c r="U53" s="28" t="s">
        <v>41</v>
      </c>
      <c r="V53" s="23">
        <v>1087.0</v>
      </c>
      <c r="W53" s="23">
        <v>798.0</v>
      </c>
      <c r="X53" s="23">
        <v>22.0</v>
      </c>
      <c r="Y53" s="23">
        <v>76.0</v>
      </c>
      <c r="AA53" s="23">
        <v>271.75</v>
      </c>
      <c r="AB53" s="23">
        <v>199.5</v>
      </c>
    </row>
    <row r="54" ht="15.75" customHeight="1">
      <c r="A54" s="22" t="str">
        <f t="shared" si="3"/>
        <v>lunes</v>
      </c>
      <c r="B54" s="24" t="str">
        <f t="shared" si="4"/>
        <v>abril</v>
      </c>
      <c r="C54" s="37">
        <v>46118.0</v>
      </c>
      <c r="D54" s="28" t="s">
        <v>59</v>
      </c>
      <c r="E54" s="5">
        <v>28.0</v>
      </c>
      <c r="F54" s="5">
        <v>24.0</v>
      </c>
      <c r="G54" s="5">
        <v>2.0</v>
      </c>
      <c r="H54" s="5">
        <v>0.0</v>
      </c>
      <c r="J54" s="28" t="s">
        <v>59</v>
      </c>
      <c r="K54" s="23">
        <v>106.66666666666667</v>
      </c>
      <c r="L54" s="23">
        <v>94.73333333333333</v>
      </c>
      <c r="M54" s="23">
        <v>1.8</v>
      </c>
      <c r="N54" s="23">
        <v>1.2666666666666666</v>
      </c>
      <c r="O54" s="23">
        <v>9.696969696969697</v>
      </c>
      <c r="P54" s="23">
        <v>8.612121212121211</v>
      </c>
      <c r="Q54" s="23">
        <v>426.6666666666667</v>
      </c>
      <c r="R54" s="23">
        <v>378.93333333333334</v>
      </c>
      <c r="U54" s="28" t="s">
        <v>42</v>
      </c>
      <c r="V54" s="23">
        <v>1337.0</v>
      </c>
      <c r="W54" s="23">
        <v>823.0</v>
      </c>
      <c r="X54" s="23">
        <v>47.0</v>
      </c>
      <c r="Y54" s="23">
        <v>128.0</v>
      </c>
      <c r="AA54" s="23">
        <v>334.25</v>
      </c>
      <c r="AB54" s="23">
        <v>205.75</v>
      </c>
    </row>
    <row r="55" ht="15.75" customHeight="1">
      <c r="A55" s="22" t="str">
        <f t="shared" si="3"/>
        <v>lunes</v>
      </c>
      <c r="B55" s="24" t="str">
        <f t="shared" si="4"/>
        <v>abril</v>
      </c>
      <c r="C55" s="37">
        <v>46118.0</v>
      </c>
      <c r="D55" s="28" t="s">
        <v>67</v>
      </c>
      <c r="E55" s="5">
        <v>88.0</v>
      </c>
      <c r="F55" s="5">
        <v>74.0</v>
      </c>
      <c r="G55" s="5">
        <v>4.0</v>
      </c>
      <c r="H55" s="5">
        <v>2.0</v>
      </c>
      <c r="J55" s="28" t="s">
        <v>52</v>
      </c>
      <c r="K55" s="23">
        <v>47.42857142857143</v>
      </c>
      <c r="L55" s="23">
        <v>30.857142857142858</v>
      </c>
      <c r="M55" s="23">
        <v>4.142857142857143</v>
      </c>
      <c r="N55" s="23">
        <v>5.142857142857143</v>
      </c>
      <c r="O55" s="23">
        <v>4.742857142857143</v>
      </c>
      <c r="P55" s="23">
        <v>3.085714285714286</v>
      </c>
      <c r="Q55" s="23">
        <v>189.71428571428572</v>
      </c>
      <c r="R55" s="23">
        <v>123.42857142857143</v>
      </c>
      <c r="U55" s="28" t="s">
        <v>44</v>
      </c>
      <c r="V55" s="23">
        <v>191.0</v>
      </c>
      <c r="W55" s="23">
        <v>197.0</v>
      </c>
      <c r="X55" s="23">
        <v>0.0</v>
      </c>
      <c r="Y55" s="23">
        <v>0.0</v>
      </c>
      <c r="AA55" s="23">
        <v>47.75</v>
      </c>
      <c r="AB55" s="23">
        <v>49.25</v>
      </c>
    </row>
    <row r="56" ht="15.75" customHeight="1">
      <c r="A56" s="22" t="str">
        <f t="shared" si="3"/>
        <v>lunes</v>
      </c>
      <c r="B56" s="24" t="str">
        <f t="shared" si="4"/>
        <v>abril</v>
      </c>
      <c r="C56" s="37">
        <v>46118.0</v>
      </c>
      <c r="D56" s="5" t="s">
        <v>93</v>
      </c>
      <c r="E56" s="5">
        <v>69.0</v>
      </c>
      <c r="F56" s="5">
        <v>56.0</v>
      </c>
      <c r="G56" s="5">
        <v>0.0</v>
      </c>
      <c r="H56" s="5">
        <v>0.0</v>
      </c>
      <c r="J56" s="28" t="s">
        <v>53</v>
      </c>
      <c r="K56" s="23">
        <v>71.42857142857143</v>
      </c>
      <c r="L56" s="23">
        <v>36.857142857142854</v>
      </c>
      <c r="M56" s="23">
        <v>1.8571428571428572</v>
      </c>
      <c r="N56" s="23">
        <v>3.5714285714285716</v>
      </c>
      <c r="O56" s="23">
        <v>7.142857142857143</v>
      </c>
      <c r="P56" s="23">
        <v>3.6857142857142855</v>
      </c>
      <c r="Q56" s="23">
        <v>285.7142857142857</v>
      </c>
      <c r="R56" s="23">
        <v>147.42857142857142</v>
      </c>
      <c r="U56" s="28" t="s">
        <v>51</v>
      </c>
      <c r="V56" s="23">
        <v>1148.0</v>
      </c>
      <c r="W56" s="23">
        <v>983.0</v>
      </c>
      <c r="X56" s="23">
        <v>42.0</v>
      </c>
      <c r="Y56" s="23">
        <v>162.0</v>
      </c>
      <c r="AA56" s="23">
        <v>287.0</v>
      </c>
      <c r="AB56" s="23">
        <v>245.75</v>
      </c>
    </row>
    <row r="57" ht="15.75" customHeight="1">
      <c r="A57" s="22" t="str">
        <f t="shared" si="3"/>
        <v>lunes</v>
      </c>
      <c r="B57" s="24" t="str">
        <f t="shared" si="4"/>
        <v>abril</v>
      </c>
      <c r="C57" s="37">
        <v>46118.0</v>
      </c>
      <c r="D57" s="28" t="s">
        <v>58</v>
      </c>
      <c r="E57" s="5">
        <v>69.0</v>
      </c>
      <c r="F57" s="5">
        <v>34.0</v>
      </c>
      <c r="G57" s="5">
        <v>3.0</v>
      </c>
      <c r="H57" s="5">
        <v>6.0</v>
      </c>
      <c r="J57" s="28" t="s">
        <v>60</v>
      </c>
      <c r="K57" s="23">
        <v>116.36363636363636</v>
      </c>
      <c r="L57" s="23">
        <v>60.72727272727273</v>
      </c>
      <c r="M57" s="23">
        <v>3.1818181818181817</v>
      </c>
      <c r="N57" s="23">
        <v>6.2727272727272725</v>
      </c>
      <c r="O57" s="23">
        <v>11.636363636363637</v>
      </c>
      <c r="P57" s="23">
        <v>6.072727272727272</v>
      </c>
      <c r="Q57" s="23">
        <v>465.45454545454544</v>
      </c>
      <c r="R57" s="23">
        <v>242.9090909090909</v>
      </c>
      <c r="U57" s="28" t="s">
        <v>59</v>
      </c>
      <c r="V57" s="23">
        <v>1600.0</v>
      </c>
      <c r="W57" s="23">
        <v>1421.0</v>
      </c>
      <c r="X57" s="23">
        <v>27.0</v>
      </c>
      <c r="Y57" s="23">
        <v>19.0</v>
      </c>
      <c r="AA57" s="23">
        <v>400.0</v>
      </c>
      <c r="AB57" s="23">
        <v>355.25</v>
      </c>
    </row>
    <row r="58" ht="15.75" customHeight="1">
      <c r="A58" s="22" t="str">
        <f t="shared" si="3"/>
        <v>lunes</v>
      </c>
      <c r="B58" s="24" t="str">
        <f t="shared" si="4"/>
        <v>abril</v>
      </c>
      <c r="C58" s="37">
        <v>46118.0</v>
      </c>
      <c r="D58" s="28" t="s">
        <v>64</v>
      </c>
      <c r="E58" s="5">
        <v>98.0</v>
      </c>
      <c r="F58" s="5">
        <v>48.0</v>
      </c>
      <c r="G58" s="5">
        <v>3.0</v>
      </c>
      <c r="H58" s="5">
        <v>1.0</v>
      </c>
      <c r="J58" s="28" t="s">
        <v>41</v>
      </c>
      <c r="K58" s="23">
        <v>72.46666666666667</v>
      </c>
      <c r="L58" s="23">
        <v>53.2</v>
      </c>
      <c r="M58" s="23">
        <v>1.4666666666666666</v>
      </c>
      <c r="N58" s="23">
        <v>5.066666666666666</v>
      </c>
      <c r="O58" s="23">
        <v>6.587878787878788</v>
      </c>
      <c r="P58" s="23">
        <v>4.836363636363637</v>
      </c>
      <c r="Q58" s="23">
        <v>289.8666666666667</v>
      </c>
      <c r="R58" s="23">
        <v>212.8</v>
      </c>
      <c r="U58" s="5" t="s">
        <v>46</v>
      </c>
      <c r="V58" s="23">
        <v>751.0</v>
      </c>
      <c r="W58" s="23">
        <v>398.0</v>
      </c>
      <c r="X58" s="23">
        <v>33.0</v>
      </c>
      <c r="Y58" s="23">
        <v>78.0</v>
      </c>
      <c r="AA58" s="23">
        <v>187.75</v>
      </c>
      <c r="AB58" s="23">
        <v>99.5</v>
      </c>
    </row>
    <row r="59" ht="15.75" customHeight="1">
      <c r="A59" s="22" t="str">
        <f t="shared" si="3"/>
        <v>lunes</v>
      </c>
      <c r="B59" s="24" t="str">
        <f t="shared" si="4"/>
        <v>abril</v>
      </c>
      <c r="C59" s="37">
        <v>46118.0</v>
      </c>
      <c r="D59" s="28" t="s">
        <v>65</v>
      </c>
      <c r="E59" s="5">
        <v>78.0</v>
      </c>
      <c r="F59" s="5">
        <v>63.0</v>
      </c>
      <c r="G59" s="5">
        <v>3.0</v>
      </c>
      <c r="H59" s="5">
        <v>1.0</v>
      </c>
      <c r="J59" s="28" t="s">
        <v>42</v>
      </c>
      <c r="K59" s="23">
        <v>74.27777777777777</v>
      </c>
      <c r="L59" s="23">
        <v>45.72222222222222</v>
      </c>
      <c r="M59" s="23">
        <v>2.611111111111111</v>
      </c>
      <c r="N59" s="23">
        <v>7.111111111111111</v>
      </c>
      <c r="O59" s="23">
        <v>7.427777777777777</v>
      </c>
      <c r="P59" s="23">
        <v>4.572222222222222</v>
      </c>
      <c r="Q59" s="23">
        <v>297.1111111111111</v>
      </c>
      <c r="R59" s="23">
        <v>182.88888888888889</v>
      </c>
      <c r="U59" s="28" t="s">
        <v>58</v>
      </c>
      <c r="V59" s="23">
        <v>1528.0</v>
      </c>
      <c r="W59" s="23">
        <v>761.0</v>
      </c>
      <c r="X59" s="23">
        <v>67.0</v>
      </c>
      <c r="Y59" s="23">
        <v>107.0</v>
      </c>
      <c r="AA59" s="23">
        <v>382.0</v>
      </c>
      <c r="AB59" s="23">
        <v>190.25</v>
      </c>
    </row>
    <row r="60" ht="15.75" customHeight="1">
      <c r="A60" s="22" t="str">
        <f t="shared" si="3"/>
        <v>lunes</v>
      </c>
      <c r="B60" s="24" t="str">
        <f t="shared" si="4"/>
        <v>abril</v>
      </c>
      <c r="C60" s="37">
        <v>46118.0</v>
      </c>
      <c r="D60" s="28" t="s">
        <v>60</v>
      </c>
      <c r="E60" s="5">
        <v>67.0</v>
      </c>
      <c r="F60" s="5">
        <v>35.0</v>
      </c>
      <c r="G60" s="5">
        <v>3.0</v>
      </c>
      <c r="H60" s="5">
        <v>11.0</v>
      </c>
      <c r="J60" s="28" t="s">
        <v>67</v>
      </c>
      <c r="K60" s="23">
        <v>82.06666666666666</v>
      </c>
      <c r="L60" s="23">
        <v>69.66666666666667</v>
      </c>
      <c r="M60" s="23">
        <v>2.1333333333333333</v>
      </c>
      <c r="N60" s="23">
        <v>1.6</v>
      </c>
      <c r="O60" s="23">
        <v>8.206666666666667</v>
      </c>
      <c r="P60" s="23">
        <v>6.966666666666667</v>
      </c>
      <c r="Q60" s="23">
        <v>328.26666666666665</v>
      </c>
      <c r="R60" s="23">
        <v>278.6666666666667</v>
      </c>
      <c r="U60" s="28" t="s">
        <v>52</v>
      </c>
      <c r="V60" s="23">
        <v>664.0</v>
      </c>
      <c r="W60" s="23">
        <v>432.0</v>
      </c>
      <c r="X60" s="23">
        <v>58.0</v>
      </c>
      <c r="Y60" s="23">
        <v>72.0</v>
      </c>
      <c r="AA60" s="23">
        <v>166.0</v>
      </c>
      <c r="AB60" s="23">
        <v>108.0</v>
      </c>
      <c r="AC60" s="30"/>
      <c r="AF60" s="53"/>
      <c r="AG60" s="53"/>
      <c r="AH60" s="53"/>
      <c r="AI60" s="53"/>
      <c r="AJ60" s="53"/>
      <c r="AK60" s="53"/>
      <c r="AL60" s="53"/>
      <c r="AM60" s="30"/>
    </row>
    <row r="61" ht="15.75" customHeight="1">
      <c r="A61" s="22" t="str">
        <f t="shared" si="3"/>
        <v>lunes</v>
      </c>
      <c r="B61" s="24" t="str">
        <f t="shared" si="4"/>
        <v>abril</v>
      </c>
      <c r="C61" s="37">
        <v>46118.0</v>
      </c>
      <c r="D61" s="28" t="s">
        <v>66</v>
      </c>
      <c r="E61" s="5">
        <v>69.0</v>
      </c>
      <c r="F61" s="5">
        <v>56.0</v>
      </c>
      <c r="G61" s="5">
        <v>0.0</v>
      </c>
      <c r="H61" s="5">
        <v>2.0</v>
      </c>
      <c r="J61" s="28" t="s">
        <v>58</v>
      </c>
      <c r="K61" s="23">
        <v>69.45454545454545</v>
      </c>
      <c r="L61" s="23">
        <v>34.59090909090909</v>
      </c>
      <c r="M61" s="23">
        <v>3.0454545454545454</v>
      </c>
      <c r="N61" s="23">
        <v>4.863636363636363</v>
      </c>
      <c r="O61" s="23">
        <v>8.681818181818182</v>
      </c>
      <c r="P61" s="23">
        <v>4.323863636363637</v>
      </c>
      <c r="Q61" s="23">
        <v>347.27272727272725</v>
      </c>
      <c r="R61" s="23">
        <v>172.95454545454547</v>
      </c>
      <c r="U61" s="28" t="s">
        <v>53</v>
      </c>
      <c r="V61" s="23">
        <v>1000.0</v>
      </c>
      <c r="W61" s="23">
        <v>516.0</v>
      </c>
      <c r="X61" s="23">
        <v>26.0</v>
      </c>
      <c r="Y61" s="23">
        <v>50.0</v>
      </c>
      <c r="AA61" s="23">
        <v>250.0</v>
      </c>
      <c r="AB61" s="23">
        <v>129.0</v>
      </c>
      <c r="AC61" s="30"/>
      <c r="AF61" s="53"/>
      <c r="AG61" s="53"/>
      <c r="AH61" s="53"/>
      <c r="AI61" s="53"/>
      <c r="AJ61" s="53"/>
      <c r="AK61" s="53"/>
      <c r="AL61" s="53"/>
      <c r="AM61" s="30"/>
    </row>
    <row r="62" ht="15.75" customHeight="1">
      <c r="A62" s="22" t="str">
        <f t="shared" si="3"/>
        <v>martes</v>
      </c>
      <c r="B62" s="24" t="str">
        <f t="shared" si="4"/>
        <v>abril</v>
      </c>
      <c r="C62" s="37">
        <v>46119.0</v>
      </c>
      <c r="D62" s="28" t="s">
        <v>39</v>
      </c>
      <c r="E62" s="5">
        <v>63.0</v>
      </c>
      <c r="F62" s="5">
        <v>44.0</v>
      </c>
      <c r="G62" s="5">
        <v>1.0</v>
      </c>
      <c r="H62" s="5">
        <v>2.0</v>
      </c>
      <c r="J62" s="28" t="s">
        <v>64</v>
      </c>
      <c r="K62" s="23">
        <v>114.0952380952381</v>
      </c>
      <c r="L62" s="23">
        <v>68.9047619047619</v>
      </c>
      <c r="M62" s="23">
        <v>6.0</v>
      </c>
      <c r="N62" s="23">
        <v>6.619047619047619</v>
      </c>
      <c r="O62" s="23">
        <v>14.261904761904763</v>
      </c>
      <c r="P62" s="23">
        <v>8.613095238095237</v>
      </c>
      <c r="Q62" s="23">
        <v>570.4761904761905</v>
      </c>
      <c r="R62" s="23">
        <v>344.5238095238095</v>
      </c>
      <c r="U62" s="28" t="s">
        <v>64</v>
      </c>
      <c r="V62" s="23">
        <v>2396.0</v>
      </c>
      <c r="W62" s="23">
        <v>1447.0</v>
      </c>
      <c r="X62" s="23">
        <v>126.0</v>
      </c>
      <c r="Y62" s="23">
        <v>139.0</v>
      </c>
      <c r="AA62" s="23">
        <v>599.0</v>
      </c>
      <c r="AB62" s="23">
        <v>361.75</v>
      </c>
      <c r="AC62" s="30"/>
      <c r="AF62" s="55"/>
      <c r="AG62" s="55"/>
      <c r="AH62" s="55"/>
      <c r="AI62" s="55"/>
      <c r="AJ62" s="55"/>
      <c r="AK62" s="55"/>
      <c r="AL62" s="55"/>
      <c r="AM62" s="51"/>
    </row>
    <row r="63" ht="15.75" customHeight="1">
      <c r="A63" s="22" t="str">
        <f t="shared" si="3"/>
        <v>martes</v>
      </c>
      <c r="B63" s="24" t="str">
        <f t="shared" si="4"/>
        <v>abril</v>
      </c>
      <c r="C63" s="37">
        <v>46119.0</v>
      </c>
      <c r="D63" s="28" t="s">
        <v>41</v>
      </c>
      <c r="E63" s="5">
        <v>65.0</v>
      </c>
      <c r="F63" s="5">
        <v>49.0</v>
      </c>
      <c r="G63" s="5">
        <v>0.0</v>
      </c>
      <c r="H63" s="5">
        <v>12.0</v>
      </c>
      <c r="J63" s="28" t="s">
        <v>65</v>
      </c>
      <c r="K63" s="23">
        <v>68.63636363636364</v>
      </c>
      <c r="L63" s="23">
        <v>55.5</v>
      </c>
      <c r="M63" s="23">
        <v>2.909090909090909</v>
      </c>
      <c r="N63" s="23">
        <v>2.909090909090909</v>
      </c>
      <c r="O63" s="23">
        <v>8.579545454545455</v>
      </c>
      <c r="P63" s="23">
        <v>6.9375</v>
      </c>
      <c r="Q63" s="23">
        <v>343.1818181818182</v>
      </c>
      <c r="R63" s="23">
        <v>277.5</v>
      </c>
      <c r="U63" s="28" t="s">
        <v>65</v>
      </c>
      <c r="V63" s="23">
        <v>1510.0</v>
      </c>
      <c r="W63" s="23">
        <v>1221.0</v>
      </c>
      <c r="X63" s="23">
        <v>64.0</v>
      </c>
      <c r="Y63" s="23">
        <v>64.0</v>
      </c>
      <c r="AA63" s="23">
        <v>377.5</v>
      </c>
      <c r="AB63" s="23">
        <v>305.25</v>
      </c>
      <c r="AC63" s="51"/>
      <c r="AF63" s="55"/>
      <c r="AG63" s="55"/>
      <c r="AH63" s="55"/>
      <c r="AI63" s="55"/>
      <c r="AJ63" s="55"/>
      <c r="AK63" s="55"/>
      <c r="AL63" s="55"/>
      <c r="AM63" s="51"/>
    </row>
    <row r="64" ht="15.75" customHeight="1">
      <c r="A64" s="22" t="str">
        <f t="shared" si="3"/>
        <v>martes</v>
      </c>
      <c r="B64" s="24" t="str">
        <f t="shared" si="4"/>
        <v>abril</v>
      </c>
      <c r="C64" s="37">
        <v>46119.0</v>
      </c>
      <c r="D64" s="28" t="s">
        <v>42</v>
      </c>
      <c r="E64" s="5">
        <v>67.0</v>
      </c>
      <c r="F64" s="5">
        <v>42.0</v>
      </c>
      <c r="G64" s="5">
        <v>2.0</v>
      </c>
      <c r="H64" s="5">
        <v>11.0</v>
      </c>
      <c r="J64" s="28" t="s">
        <v>51</v>
      </c>
      <c r="K64" s="23">
        <v>63.77777777777778</v>
      </c>
      <c r="L64" s="23">
        <v>54.611111111111114</v>
      </c>
      <c r="M64" s="23">
        <v>2.3333333333333335</v>
      </c>
      <c r="N64" s="23">
        <v>9.0</v>
      </c>
      <c r="O64" s="23">
        <v>5.7979797979797985</v>
      </c>
      <c r="P64" s="23">
        <v>4.9646464646464645</v>
      </c>
      <c r="Q64" s="23">
        <v>255.11111111111111</v>
      </c>
      <c r="R64" s="23">
        <v>218.44444444444446</v>
      </c>
      <c r="U64" s="28" t="s">
        <v>60</v>
      </c>
      <c r="V64" s="23">
        <v>1280.0</v>
      </c>
      <c r="W64" s="23">
        <v>668.0</v>
      </c>
      <c r="X64" s="23">
        <v>35.0</v>
      </c>
      <c r="Y64" s="23">
        <v>69.0</v>
      </c>
      <c r="AA64" s="23">
        <v>320.0</v>
      </c>
      <c r="AB64" s="23">
        <v>167.0</v>
      </c>
    </row>
    <row r="65" ht="15.75" customHeight="1">
      <c r="A65" s="22" t="str">
        <f t="shared" si="3"/>
        <v>martes</v>
      </c>
      <c r="B65" s="24" t="str">
        <f t="shared" si="4"/>
        <v>abril</v>
      </c>
      <c r="C65" s="37">
        <v>46119.0</v>
      </c>
      <c r="D65" s="5" t="s">
        <v>89</v>
      </c>
      <c r="E65" s="5">
        <v>81.0</v>
      </c>
      <c r="F65" s="5">
        <v>37.0</v>
      </c>
      <c r="G65" s="5">
        <v>0.0</v>
      </c>
      <c r="H65" s="5">
        <v>0.0</v>
      </c>
      <c r="J65" s="28" t="s">
        <v>66</v>
      </c>
      <c r="K65" s="23">
        <v>103.27777777777777</v>
      </c>
      <c r="L65" s="23">
        <v>90.44444444444444</v>
      </c>
      <c r="M65" s="23">
        <v>0.6111111111111112</v>
      </c>
      <c r="N65" s="23">
        <v>3.2777777777777777</v>
      </c>
      <c r="O65" s="23">
        <v>12.909722222222221</v>
      </c>
      <c r="P65" s="23">
        <v>11.305555555555555</v>
      </c>
      <c r="Q65" s="23">
        <v>516.3888888888889</v>
      </c>
      <c r="R65" s="23">
        <v>452.22222222222223</v>
      </c>
      <c r="U65" s="28" t="s">
        <v>66</v>
      </c>
      <c r="V65" s="23">
        <v>2351.0</v>
      </c>
      <c r="W65" s="23">
        <v>1994.0</v>
      </c>
      <c r="X65" s="23">
        <v>13.0</v>
      </c>
      <c r="Y65" s="23">
        <v>108.0</v>
      </c>
      <c r="AA65" s="23">
        <v>587.75</v>
      </c>
      <c r="AB65" s="23">
        <v>498.5</v>
      </c>
    </row>
    <row r="66" ht="15.75" customHeight="1">
      <c r="A66" s="22" t="str">
        <f t="shared" si="3"/>
        <v>martes</v>
      </c>
      <c r="B66" s="24" t="str">
        <f t="shared" si="4"/>
        <v>abril</v>
      </c>
      <c r="C66" s="37">
        <v>46119.0</v>
      </c>
      <c r="D66" s="5" t="s">
        <v>90</v>
      </c>
      <c r="E66" s="5">
        <v>87.0</v>
      </c>
      <c r="F66" s="5">
        <v>59.0</v>
      </c>
      <c r="G66" s="5">
        <v>0.0</v>
      </c>
      <c r="H66" s="5">
        <v>0.0</v>
      </c>
      <c r="AA66" s="23"/>
      <c r="AB66" s="23"/>
    </row>
    <row r="67" ht="15.75" customHeight="1">
      <c r="A67" s="22" t="str">
        <f t="shared" si="3"/>
        <v>martes</v>
      </c>
      <c r="B67" s="24" t="str">
        <f t="shared" si="4"/>
        <v>abril</v>
      </c>
      <c r="C67" s="37">
        <v>46119.0</v>
      </c>
      <c r="D67" s="28" t="s">
        <v>59</v>
      </c>
      <c r="E67" s="5">
        <v>27.0</v>
      </c>
      <c r="F67" s="5">
        <v>18.0</v>
      </c>
      <c r="G67" s="5">
        <v>1.0</v>
      </c>
      <c r="H67" s="5">
        <v>0.0</v>
      </c>
      <c r="J67" s="5" t="s">
        <v>126</v>
      </c>
    </row>
    <row r="68" ht="15.75" customHeight="1">
      <c r="A68" s="22" t="str">
        <f t="shared" si="3"/>
        <v>martes</v>
      </c>
      <c r="B68" s="24" t="str">
        <f t="shared" si="4"/>
        <v>abril</v>
      </c>
      <c r="C68" s="37">
        <v>46119.0</v>
      </c>
      <c r="D68" s="5" t="s">
        <v>46</v>
      </c>
      <c r="E68" s="5">
        <v>73.0</v>
      </c>
      <c r="F68" s="5">
        <v>42.0</v>
      </c>
      <c r="G68" s="5">
        <v>1.0</v>
      </c>
      <c r="H68" s="5">
        <v>4.0</v>
      </c>
      <c r="V68" s="44"/>
    </row>
    <row r="69" ht="15.75" customHeight="1">
      <c r="A69" s="22" t="str">
        <f t="shared" si="3"/>
        <v>martes</v>
      </c>
      <c r="B69" s="24" t="str">
        <f t="shared" si="4"/>
        <v>abril</v>
      </c>
      <c r="C69" s="37">
        <v>46119.0</v>
      </c>
      <c r="D69" s="28" t="s">
        <v>67</v>
      </c>
      <c r="E69" s="5">
        <v>66.0</v>
      </c>
      <c r="F69" s="5">
        <v>42.0</v>
      </c>
      <c r="G69" s="5">
        <v>3.0</v>
      </c>
      <c r="H69" s="5">
        <v>0.0</v>
      </c>
      <c r="V69" s="47"/>
      <c r="W69" s="47"/>
      <c r="X69" s="48"/>
      <c r="Y69" s="47"/>
    </row>
    <row r="70" ht="15.75" customHeight="1">
      <c r="A70" s="22" t="str">
        <f t="shared" si="3"/>
        <v>martes</v>
      </c>
      <c r="B70" s="24" t="str">
        <f t="shared" si="4"/>
        <v>abril</v>
      </c>
      <c r="C70" s="37">
        <v>46119.0</v>
      </c>
      <c r="D70" s="5" t="s">
        <v>93</v>
      </c>
      <c r="E70" s="5">
        <v>69.0</v>
      </c>
      <c r="F70" s="5">
        <v>68.0</v>
      </c>
      <c r="G70" s="5">
        <v>0.0</v>
      </c>
      <c r="H70" s="5">
        <v>0.0</v>
      </c>
      <c r="V70" s="23"/>
      <c r="W70" s="23"/>
      <c r="X70" s="23"/>
      <c r="Y70" s="23"/>
    </row>
    <row r="71" ht="15.75" customHeight="1">
      <c r="A71" s="22" t="str">
        <f t="shared" si="3"/>
        <v>martes</v>
      </c>
      <c r="B71" s="24" t="str">
        <f t="shared" si="4"/>
        <v>abril</v>
      </c>
      <c r="C71" s="37">
        <v>46119.0</v>
      </c>
      <c r="D71" s="28" t="s">
        <v>58</v>
      </c>
      <c r="E71" s="5">
        <v>75.0</v>
      </c>
      <c r="F71" s="5">
        <v>44.0</v>
      </c>
      <c r="G71" s="5">
        <v>1.0</v>
      </c>
      <c r="H71" s="5">
        <v>4.0</v>
      </c>
      <c r="V71" s="23"/>
      <c r="W71" s="23"/>
      <c r="X71" s="23"/>
      <c r="Y71" s="23"/>
    </row>
    <row r="72" ht="15.75" customHeight="1">
      <c r="A72" s="22" t="str">
        <f t="shared" si="3"/>
        <v>martes</v>
      </c>
      <c r="B72" s="24" t="str">
        <f t="shared" si="4"/>
        <v>abril</v>
      </c>
      <c r="C72" s="37">
        <v>46119.0</v>
      </c>
      <c r="D72" s="28" t="s">
        <v>64</v>
      </c>
      <c r="E72" s="5">
        <v>64.0</v>
      </c>
      <c r="F72" s="5">
        <v>31.0</v>
      </c>
      <c r="G72" s="5">
        <v>4.0</v>
      </c>
      <c r="H72" s="5">
        <v>5.0</v>
      </c>
      <c r="V72" s="23"/>
      <c r="W72" s="23"/>
      <c r="X72" s="23"/>
      <c r="Y72" s="23"/>
    </row>
    <row r="73" ht="15.75" customHeight="1">
      <c r="A73" s="22" t="str">
        <f t="shared" si="3"/>
        <v>martes</v>
      </c>
      <c r="B73" s="24" t="str">
        <f t="shared" si="4"/>
        <v>abril</v>
      </c>
      <c r="C73" s="37">
        <v>46119.0</v>
      </c>
      <c r="D73" s="28" t="s">
        <v>65</v>
      </c>
      <c r="E73" s="5">
        <v>62.0</v>
      </c>
      <c r="F73" s="5">
        <v>45.0</v>
      </c>
      <c r="G73" s="5">
        <v>6.0</v>
      </c>
      <c r="H73" s="5">
        <v>3.0</v>
      </c>
      <c r="V73" s="23"/>
      <c r="W73" s="23"/>
      <c r="X73" s="23"/>
      <c r="Y73" s="23"/>
    </row>
    <row r="74" ht="15.75" customHeight="1">
      <c r="A74" s="22" t="str">
        <f t="shared" si="3"/>
        <v>martes</v>
      </c>
      <c r="B74" s="24" t="str">
        <f t="shared" si="4"/>
        <v>abril</v>
      </c>
      <c r="C74" s="37">
        <v>46119.0</v>
      </c>
      <c r="D74" s="28" t="s">
        <v>66</v>
      </c>
      <c r="E74" s="5">
        <v>62.0</v>
      </c>
      <c r="F74" s="5">
        <v>61.0</v>
      </c>
      <c r="G74" s="5">
        <v>1.0</v>
      </c>
      <c r="H74" s="5">
        <v>0.0</v>
      </c>
      <c r="V74" s="23"/>
      <c r="W74" s="23"/>
      <c r="X74" s="23"/>
      <c r="Y74" s="23"/>
    </row>
    <row r="75" ht="15.75" customHeight="1">
      <c r="A75" s="22" t="str">
        <f t="shared" si="3"/>
        <v>miércoles</v>
      </c>
      <c r="B75" s="24" t="str">
        <f t="shared" si="4"/>
        <v>abril</v>
      </c>
      <c r="C75" s="37">
        <v>46120.0</v>
      </c>
      <c r="D75" s="28" t="s">
        <v>39</v>
      </c>
      <c r="E75" s="5">
        <v>69.0</v>
      </c>
      <c r="F75" s="5">
        <v>45.0</v>
      </c>
      <c r="G75" s="5">
        <v>3.0</v>
      </c>
      <c r="H75" s="5">
        <v>2.0</v>
      </c>
      <c r="V75" s="23"/>
      <c r="W75" s="23"/>
      <c r="X75" s="23"/>
      <c r="Y75" s="23"/>
    </row>
    <row r="76" ht="15.75" customHeight="1">
      <c r="A76" s="22" t="str">
        <f t="shared" si="3"/>
        <v>miércoles</v>
      </c>
      <c r="B76" s="24" t="str">
        <f t="shared" si="4"/>
        <v>abril</v>
      </c>
      <c r="C76" s="37">
        <v>46120.0</v>
      </c>
      <c r="D76" s="5" t="s">
        <v>107</v>
      </c>
      <c r="E76" s="5">
        <v>57.0</v>
      </c>
      <c r="F76" s="5">
        <v>39.0</v>
      </c>
      <c r="G76" s="5">
        <v>0.0</v>
      </c>
      <c r="H76" s="5">
        <v>0.0</v>
      </c>
      <c r="V76" s="23"/>
      <c r="W76" s="23"/>
      <c r="X76" s="23"/>
      <c r="Y76" s="23"/>
    </row>
    <row r="77" ht="15.75" customHeight="1">
      <c r="A77" s="22" t="str">
        <f t="shared" si="3"/>
        <v>miércoles</v>
      </c>
      <c r="B77" s="24" t="str">
        <f t="shared" si="4"/>
        <v>abril</v>
      </c>
      <c r="C77" s="37">
        <v>46120.0</v>
      </c>
      <c r="D77" s="28" t="s">
        <v>41</v>
      </c>
      <c r="E77" s="5">
        <v>72.0</v>
      </c>
      <c r="F77" s="5">
        <v>49.0</v>
      </c>
      <c r="G77" s="5">
        <v>2.0</v>
      </c>
      <c r="H77" s="5">
        <v>2.0</v>
      </c>
      <c r="V77" s="23"/>
      <c r="W77" s="23"/>
      <c r="X77" s="23"/>
      <c r="Y77" s="23"/>
    </row>
    <row r="78" ht="15.75" customHeight="1">
      <c r="A78" s="22" t="str">
        <f t="shared" si="3"/>
        <v>miércoles</v>
      </c>
      <c r="B78" s="24" t="str">
        <f t="shared" si="4"/>
        <v>abril</v>
      </c>
      <c r="C78" s="37">
        <v>46120.0</v>
      </c>
      <c r="D78" s="28" t="s">
        <v>42</v>
      </c>
      <c r="E78" s="5">
        <v>81.0</v>
      </c>
      <c r="F78" s="5">
        <v>52.0</v>
      </c>
      <c r="G78" s="5">
        <v>1.0</v>
      </c>
      <c r="H78" s="5">
        <v>9.0</v>
      </c>
      <c r="V78" s="23"/>
      <c r="W78" s="23"/>
      <c r="X78" s="23"/>
      <c r="Y78" s="23"/>
    </row>
    <row r="79" ht="15.75" customHeight="1">
      <c r="A79" s="22" t="str">
        <f t="shared" si="3"/>
        <v>miércoles</v>
      </c>
      <c r="B79" s="24" t="str">
        <f t="shared" si="4"/>
        <v>abril</v>
      </c>
      <c r="C79" s="37">
        <v>46120.0</v>
      </c>
      <c r="D79" s="5" t="s">
        <v>108</v>
      </c>
      <c r="E79" s="5">
        <v>46.0</v>
      </c>
      <c r="F79" s="5">
        <v>18.0</v>
      </c>
      <c r="G79" s="5">
        <v>0.0</v>
      </c>
      <c r="H79" s="5">
        <v>0.0</v>
      </c>
    </row>
    <row r="80" ht="15.75" customHeight="1">
      <c r="A80" s="22" t="str">
        <f t="shared" si="3"/>
        <v>miércoles</v>
      </c>
      <c r="B80" s="24" t="str">
        <f t="shared" si="4"/>
        <v>abril</v>
      </c>
      <c r="C80" s="37">
        <v>46120.0</v>
      </c>
      <c r="D80" s="28" t="s">
        <v>51</v>
      </c>
      <c r="E80" s="5">
        <v>102.0</v>
      </c>
      <c r="F80" s="5">
        <v>92.0</v>
      </c>
      <c r="G80" s="5">
        <v>1.0</v>
      </c>
      <c r="H80" s="5">
        <v>12.0</v>
      </c>
    </row>
    <row r="81" ht="15.75" customHeight="1">
      <c r="A81" s="22" t="str">
        <f t="shared" si="3"/>
        <v>miércoles</v>
      </c>
      <c r="B81" s="24" t="str">
        <f t="shared" si="4"/>
        <v>abril</v>
      </c>
      <c r="C81" s="37">
        <v>46120.0</v>
      </c>
      <c r="D81" s="5" t="s">
        <v>89</v>
      </c>
      <c r="E81" s="5">
        <v>74.0</v>
      </c>
      <c r="F81" s="5">
        <v>36.0</v>
      </c>
      <c r="G81" s="5">
        <v>0.0</v>
      </c>
      <c r="H81" s="5">
        <v>0.0</v>
      </c>
    </row>
    <row r="82" ht="15.75" customHeight="1">
      <c r="A82" s="22" t="str">
        <f t="shared" si="3"/>
        <v>miércoles</v>
      </c>
      <c r="B82" s="24" t="str">
        <f t="shared" si="4"/>
        <v>abril</v>
      </c>
      <c r="C82" s="37">
        <v>46120.0</v>
      </c>
      <c r="D82" s="5" t="s">
        <v>46</v>
      </c>
      <c r="E82" s="5">
        <v>79.0</v>
      </c>
      <c r="F82" s="5">
        <v>69.0</v>
      </c>
      <c r="G82" s="5">
        <v>3.0</v>
      </c>
      <c r="H82" s="5">
        <v>10.0</v>
      </c>
    </row>
    <row r="83" ht="15.75" customHeight="1">
      <c r="A83" s="22" t="str">
        <f t="shared" si="3"/>
        <v>miércoles</v>
      </c>
      <c r="B83" s="24" t="str">
        <f t="shared" si="4"/>
        <v>abril</v>
      </c>
      <c r="C83" s="37">
        <v>46120.0</v>
      </c>
      <c r="D83" s="28" t="s">
        <v>67</v>
      </c>
      <c r="E83" s="5">
        <v>79.0</v>
      </c>
      <c r="F83" s="5">
        <v>69.0</v>
      </c>
      <c r="G83" s="5">
        <v>4.0</v>
      </c>
      <c r="H83" s="5">
        <v>3.0</v>
      </c>
    </row>
    <row r="84" ht="15.75" customHeight="1">
      <c r="A84" s="22" t="str">
        <f t="shared" si="3"/>
        <v>miércoles</v>
      </c>
      <c r="B84" s="24" t="str">
        <f t="shared" si="4"/>
        <v>abril</v>
      </c>
      <c r="C84" s="37">
        <v>46120.0</v>
      </c>
      <c r="D84" s="5" t="s">
        <v>93</v>
      </c>
      <c r="E84" s="5">
        <v>53.0</v>
      </c>
      <c r="F84" s="5">
        <v>40.0</v>
      </c>
      <c r="G84" s="5">
        <v>0.0</v>
      </c>
      <c r="H84" s="5">
        <v>0.0</v>
      </c>
    </row>
    <row r="85" ht="15.75" customHeight="1">
      <c r="A85" s="22" t="str">
        <f t="shared" si="3"/>
        <v>miércoles</v>
      </c>
      <c r="B85" s="24" t="str">
        <f t="shared" si="4"/>
        <v>abril</v>
      </c>
      <c r="C85" s="37">
        <v>46120.0</v>
      </c>
      <c r="D85" s="28" t="s">
        <v>58</v>
      </c>
      <c r="E85" s="5">
        <v>80.0</v>
      </c>
      <c r="F85" s="5">
        <v>42.0</v>
      </c>
      <c r="G85" s="5">
        <v>3.0</v>
      </c>
      <c r="H85" s="5">
        <v>7.0</v>
      </c>
    </row>
    <row r="86" ht="15.75" customHeight="1">
      <c r="A86" s="22" t="str">
        <f t="shared" si="3"/>
        <v>miércoles</v>
      </c>
      <c r="B86" s="24" t="str">
        <f t="shared" si="4"/>
        <v>abril</v>
      </c>
      <c r="C86" s="37">
        <v>46120.0</v>
      </c>
      <c r="D86" s="28" t="s">
        <v>64</v>
      </c>
      <c r="E86" s="5">
        <v>106.0</v>
      </c>
      <c r="F86" s="5">
        <v>62.0</v>
      </c>
      <c r="G86" s="5">
        <v>8.0</v>
      </c>
      <c r="H86" s="5">
        <v>11.0</v>
      </c>
    </row>
    <row r="87" ht="15.75" customHeight="1">
      <c r="A87" s="22" t="str">
        <f t="shared" si="3"/>
        <v>miércoles</v>
      </c>
      <c r="B87" s="24" t="str">
        <f t="shared" si="4"/>
        <v>abril</v>
      </c>
      <c r="C87" s="37">
        <v>46120.0</v>
      </c>
      <c r="D87" s="28" t="s">
        <v>65</v>
      </c>
      <c r="E87" s="5">
        <v>87.0</v>
      </c>
      <c r="F87" s="5">
        <v>65.0</v>
      </c>
      <c r="G87" s="5">
        <v>2.0</v>
      </c>
      <c r="H87" s="5">
        <v>4.0</v>
      </c>
    </row>
    <row r="88" ht="15.75" customHeight="1">
      <c r="A88" s="22" t="str">
        <f t="shared" si="3"/>
        <v>miércoles</v>
      </c>
      <c r="B88" s="24" t="str">
        <f t="shared" si="4"/>
        <v>abril</v>
      </c>
      <c r="C88" s="37">
        <v>46120.0</v>
      </c>
      <c r="D88" s="28" t="s">
        <v>66</v>
      </c>
      <c r="E88" s="5">
        <v>131.0</v>
      </c>
      <c r="F88" s="5">
        <v>110.0</v>
      </c>
      <c r="G88" s="5">
        <v>0.0</v>
      </c>
      <c r="H88" s="5">
        <v>8.0</v>
      </c>
    </row>
    <row r="89" ht="15.75" customHeight="1">
      <c r="A89" s="22" t="str">
        <f t="shared" si="3"/>
        <v>jueves</v>
      </c>
      <c r="B89" s="24" t="str">
        <f t="shared" si="4"/>
        <v>abril</v>
      </c>
      <c r="C89" s="37">
        <v>46121.0</v>
      </c>
      <c r="D89" s="5" t="s">
        <v>107</v>
      </c>
      <c r="E89" s="5">
        <v>94.0</v>
      </c>
      <c r="F89" s="5">
        <v>51.0</v>
      </c>
      <c r="G89" s="5">
        <v>0.0</v>
      </c>
      <c r="H89" s="5">
        <v>0.0</v>
      </c>
    </row>
    <row r="90" ht="15.75" customHeight="1">
      <c r="A90" s="22" t="str">
        <f t="shared" si="3"/>
        <v>jueves</v>
      </c>
      <c r="B90" s="24" t="str">
        <f t="shared" si="4"/>
        <v>abril</v>
      </c>
      <c r="C90" s="37">
        <v>46121.0</v>
      </c>
      <c r="D90" s="28" t="s">
        <v>40</v>
      </c>
      <c r="E90" s="5">
        <v>65.0</v>
      </c>
      <c r="F90" s="5">
        <v>26.0</v>
      </c>
      <c r="G90" s="5">
        <v>4.0</v>
      </c>
      <c r="H90" s="5">
        <v>10.0</v>
      </c>
    </row>
    <row r="91" ht="15.75" customHeight="1">
      <c r="A91" s="22" t="str">
        <f t="shared" si="3"/>
        <v>jueves</v>
      </c>
      <c r="B91" s="24" t="str">
        <f t="shared" si="4"/>
        <v>abril</v>
      </c>
      <c r="C91" s="37">
        <v>46121.0</v>
      </c>
      <c r="D91" s="28" t="s">
        <v>41</v>
      </c>
      <c r="E91" s="5">
        <v>75.0</v>
      </c>
      <c r="F91" s="5">
        <v>50.0</v>
      </c>
      <c r="G91" s="5">
        <v>0.0</v>
      </c>
      <c r="H91" s="5">
        <v>0.0</v>
      </c>
    </row>
    <row r="92" ht="15.75" customHeight="1">
      <c r="A92" s="22" t="str">
        <f t="shared" si="3"/>
        <v>jueves</v>
      </c>
      <c r="B92" s="24" t="str">
        <f t="shared" si="4"/>
        <v>abril</v>
      </c>
      <c r="C92" s="37">
        <v>46121.0</v>
      </c>
      <c r="D92" s="28" t="s">
        <v>42</v>
      </c>
      <c r="E92" s="5">
        <v>72.0</v>
      </c>
      <c r="F92" s="5">
        <v>41.0</v>
      </c>
      <c r="G92" s="5">
        <v>1.0</v>
      </c>
      <c r="H92" s="5">
        <v>2.0</v>
      </c>
    </row>
    <row r="93" ht="15.75" customHeight="1">
      <c r="A93" s="22" t="str">
        <f t="shared" si="3"/>
        <v>jueves</v>
      </c>
      <c r="B93" s="24" t="str">
        <f t="shared" si="4"/>
        <v>abril</v>
      </c>
      <c r="C93" s="37">
        <v>46121.0</v>
      </c>
      <c r="D93" s="5" t="s">
        <v>117</v>
      </c>
      <c r="E93" s="5">
        <v>74.0</v>
      </c>
      <c r="F93" s="5">
        <v>30.0</v>
      </c>
      <c r="G93" s="5">
        <v>0.0</v>
      </c>
      <c r="H93" s="5">
        <v>0.0</v>
      </c>
    </row>
    <row r="94" ht="15.75" customHeight="1">
      <c r="A94" s="22" t="str">
        <f t="shared" si="3"/>
        <v>jueves</v>
      </c>
      <c r="B94" s="24" t="str">
        <f t="shared" si="4"/>
        <v>abril</v>
      </c>
      <c r="C94" s="37">
        <v>46121.0</v>
      </c>
      <c r="D94" s="28" t="s">
        <v>51</v>
      </c>
      <c r="E94" s="5">
        <v>38.0</v>
      </c>
      <c r="F94" s="5">
        <v>33.0</v>
      </c>
      <c r="G94" s="5">
        <v>0.0</v>
      </c>
      <c r="H94" s="5">
        <v>5.0</v>
      </c>
    </row>
    <row r="95" ht="15.75" customHeight="1">
      <c r="A95" s="22" t="str">
        <f t="shared" si="3"/>
        <v>jueves</v>
      </c>
      <c r="B95" s="24" t="str">
        <f t="shared" si="4"/>
        <v>abril</v>
      </c>
      <c r="C95" s="37">
        <v>46121.0</v>
      </c>
      <c r="D95" s="5" t="s">
        <v>89</v>
      </c>
      <c r="E95" s="5">
        <v>58.0</v>
      </c>
      <c r="F95" s="5">
        <v>32.0</v>
      </c>
      <c r="G95" s="5">
        <v>0.0</v>
      </c>
      <c r="H95" s="5">
        <v>0.0</v>
      </c>
    </row>
    <row r="96" ht="15.75" customHeight="1">
      <c r="A96" s="22" t="str">
        <f t="shared" si="3"/>
        <v>jueves</v>
      </c>
      <c r="B96" s="24" t="str">
        <f t="shared" si="4"/>
        <v>abril</v>
      </c>
      <c r="C96" s="37">
        <v>46121.0</v>
      </c>
      <c r="D96" s="28" t="s">
        <v>67</v>
      </c>
      <c r="E96" s="5">
        <v>120.0</v>
      </c>
      <c r="F96" s="5">
        <v>104.0</v>
      </c>
      <c r="G96" s="5">
        <v>0.0</v>
      </c>
      <c r="H96" s="5">
        <v>0.0</v>
      </c>
    </row>
    <row r="97" ht="15.75" customHeight="1">
      <c r="A97" s="22" t="str">
        <f t="shared" si="3"/>
        <v>jueves</v>
      </c>
      <c r="B97" s="24" t="str">
        <f t="shared" si="4"/>
        <v>abril</v>
      </c>
      <c r="C97" s="37">
        <v>46121.0</v>
      </c>
      <c r="D97" s="28" t="s">
        <v>58</v>
      </c>
      <c r="E97" s="5">
        <v>50.0</v>
      </c>
      <c r="F97" s="5">
        <v>33.0</v>
      </c>
      <c r="G97" s="5">
        <v>4.0</v>
      </c>
      <c r="H97" s="5">
        <v>3.0</v>
      </c>
    </row>
    <row r="98" ht="15.75" customHeight="1">
      <c r="A98" s="22" t="str">
        <f t="shared" si="3"/>
        <v>jueves</v>
      </c>
      <c r="B98" s="24" t="str">
        <f t="shared" si="4"/>
        <v>abril</v>
      </c>
      <c r="C98" s="37">
        <v>46121.0</v>
      </c>
      <c r="D98" s="28" t="s">
        <v>53</v>
      </c>
      <c r="E98" s="5">
        <v>35.0</v>
      </c>
      <c r="F98" s="5">
        <v>24.0</v>
      </c>
      <c r="G98" s="5">
        <v>1.0</v>
      </c>
      <c r="H98" s="5">
        <v>0.0</v>
      </c>
    </row>
    <row r="99" ht="15.75" customHeight="1">
      <c r="A99" s="22" t="str">
        <f t="shared" si="3"/>
        <v>jueves</v>
      </c>
      <c r="B99" s="24" t="str">
        <f t="shared" si="4"/>
        <v>abril</v>
      </c>
      <c r="C99" s="37">
        <v>46121.0</v>
      </c>
      <c r="D99" s="28" t="s">
        <v>64</v>
      </c>
      <c r="E99" s="5">
        <v>139.0</v>
      </c>
      <c r="F99" s="5">
        <v>102.0</v>
      </c>
      <c r="G99" s="5">
        <v>13.0</v>
      </c>
      <c r="H99" s="5">
        <v>8.0</v>
      </c>
    </row>
    <row r="100" ht="15.75" customHeight="1">
      <c r="A100" s="22" t="str">
        <f t="shared" si="3"/>
        <v>jueves</v>
      </c>
      <c r="B100" s="24" t="str">
        <f t="shared" si="4"/>
        <v>abril</v>
      </c>
      <c r="C100" s="37">
        <v>46121.0</v>
      </c>
      <c r="D100" s="28" t="s">
        <v>65</v>
      </c>
      <c r="E100" s="5">
        <v>64.0</v>
      </c>
      <c r="F100" s="5">
        <v>48.0</v>
      </c>
      <c r="G100" s="5">
        <v>4.0</v>
      </c>
      <c r="H100" s="5">
        <v>10.0</v>
      </c>
    </row>
    <row r="101" ht="15.75" customHeight="1">
      <c r="A101" s="22" t="str">
        <f t="shared" si="3"/>
        <v>jueves</v>
      </c>
      <c r="B101" s="24" t="str">
        <f t="shared" si="4"/>
        <v>abril</v>
      </c>
      <c r="C101" s="37">
        <v>46121.0</v>
      </c>
      <c r="D101" s="28" t="s">
        <v>66</v>
      </c>
      <c r="E101" s="5">
        <v>117.0</v>
      </c>
      <c r="F101" s="5">
        <v>97.0</v>
      </c>
      <c r="G101" s="5">
        <v>0.0</v>
      </c>
      <c r="H101" s="5">
        <v>7.0</v>
      </c>
    </row>
    <row r="102" ht="15.75" customHeight="1">
      <c r="A102" s="22" t="str">
        <f t="shared" si="3"/>
        <v>viernes</v>
      </c>
      <c r="B102" s="24" t="str">
        <f t="shared" si="4"/>
        <v>abril</v>
      </c>
      <c r="C102" s="37">
        <v>46122.0</v>
      </c>
      <c r="D102" s="28" t="s">
        <v>40</v>
      </c>
      <c r="E102" s="5">
        <v>67.0</v>
      </c>
      <c r="F102" s="5">
        <v>35.0</v>
      </c>
      <c r="G102" s="5">
        <v>4.0</v>
      </c>
      <c r="H102" s="5">
        <v>11.0</v>
      </c>
    </row>
    <row r="103" ht="15.75" customHeight="1">
      <c r="A103" s="22" t="str">
        <f t="shared" si="3"/>
        <v>viernes</v>
      </c>
      <c r="B103" s="24" t="str">
        <f t="shared" si="4"/>
        <v>abril</v>
      </c>
      <c r="C103" s="37">
        <v>46122.0</v>
      </c>
      <c r="D103" s="28" t="s">
        <v>51</v>
      </c>
      <c r="E103" s="5">
        <v>43.0</v>
      </c>
      <c r="F103" s="5">
        <v>36.0</v>
      </c>
      <c r="G103" s="5">
        <v>3.0</v>
      </c>
      <c r="H103" s="5">
        <v>7.0</v>
      </c>
    </row>
    <row r="104" ht="15.75" customHeight="1">
      <c r="A104" s="22" t="str">
        <f t="shared" si="3"/>
        <v>viernes</v>
      </c>
      <c r="B104" s="24" t="str">
        <f t="shared" si="4"/>
        <v>abril</v>
      </c>
      <c r="C104" s="37">
        <v>46122.0</v>
      </c>
      <c r="D104" s="28" t="s">
        <v>58</v>
      </c>
      <c r="E104" s="5">
        <v>41.0</v>
      </c>
      <c r="F104" s="5">
        <v>23.0</v>
      </c>
      <c r="G104" s="5">
        <v>2.0</v>
      </c>
      <c r="H104" s="5">
        <v>6.0</v>
      </c>
    </row>
    <row r="105" ht="15.75" customHeight="1">
      <c r="A105" s="22" t="str">
        <f t="shared" si="3"/>
        <v>viernes</v>
      </c>
      <c r="B105" s="24" t="str">
        <f t="shared" si="4"/>
        <v>abril</v>
      </c>
      <c r="C105" s="37">
        <v>46122.0</v>
      </c>
      <c r="D105" s="28" t="s">
        <v>52</v>
      </c>
      <c r="E105" s="5">
        <v>41.0</v>
      </c>
      <c r="F105" s="5">
        <v>27.0</v>
      </c>
      <c r="G105" s="5">
        <v>6.0</v>
      </c>
      <c r="H105" s="5">
        <v>2.0</v>
      </c>
    </row>
    <row r="106" ht="15.75" customHeight="1">
      <c r="A106" s="22" t="str">
        <f t="shared" si="3"/>
        <v>viernes</v>
      </c>
      <c r="B106" s="24" t="str">
        <f t="shared" si="4"/>
        <v>abril</v>
      </c>
      <c r="C106" s="37">
        <v>46122.0</v>
      </c>
      <c r="D106" s="28" t="s">
        <v>53</v>
      </c>
      <c r="E106" s="5">
        <v>63.0</v>
      </c>
      <c r="F106" s="5">
        <v>33.0</v>
      </c>
      <c r="G106" s="5">
        <v>2.0</v>
      </c>
      <c r="H106" s="5">
        <v>5.0</v>
      </c>
    </row>
    <row r="107" ht="15.75" customHeight="1">
      <c r="A107" s="22" t="str">
        <f t="shared" si="3"/>
        <v>viernes</v>
      </c>
      <c r="B107" s="24" t="str">
        <f t="shared" si="4"/>
        <v>abril</v>
      </c>
      <c r="C107" s="37">
        <v>46122.0</v>
      </c>
      <c r="D107" s="28" t="s">
        <v>65</v>
      </c>
      <c r="E107" s="5">
        <v>99.0</v>
      </c>
      <c r="F107" s="5">
        <v>88.0</v>
      </c>
      <c r="G107" s="5">
        <v>3.0</v>
      </c>
      <c r="H107" s="5">
        <v>6.0</v>
      </c>
    </row>
    <row r="108" ht="15.75" customHeight="1">
      <c r="A108" s="22" t="str">
        <f t="shared" si="3"/>
        <v>viernes</v>
      </c>
      <c r="B108" s="24" t="str">
        <f t="shared" si="4"/>
        <v>abril</v>
      </c>
      <c r="C108" s="37">
        <v>46122.0</v>
      </c>
      <c r="D108" s="28" t="s">
        <v>66</v>
      </c>
      <c r="E108" s="5">
        <v>142.0</v>
      </c>
      <c r="F108" s="5">
        <v>109.0</v>
      </c>
      <c r="G108" s="5">
        <v>1.0</v>
      </c>
      <c r="H108" s="5">
        <v>26.0</v>
      </c>
    </row>
    <row r="109" ht="15.75" customHeight="1">
      <c r="A109" s="22" t="str">
        <f t="shared" si="3"/>
        <v>sábado</v>
      </c>
      <c r="B109" s="24" t="str">
        <f t="shared" si="4"/>
        <v>abril</v>
      </c>
      <c r="C109" s="37">
        <v>46123.0</v>
      </c>
      <c r="D109" s="28" t="s">
        <v>40</v>
      </c>
      <c r="E109" s="5">
        <v>59.0</v>
      </c>
      <c r="F109" s="5">
        <v>44.0</v>
      </c>
      <c r="G109" s="5">
        <v>6.0</v>
      </c>
      <c r="H109" s="5">
        <v>6.0</v>
      </c>
    </row>
    <row r="110" ht="15.75" customHeight="1">
      <c r="A110" s="22" t="str">
        <f t="shared" si="3"/>
        <v>sábado</v>
      </c>
      <c r="B110" s="24" t="str">
        <f t="shared" si="4"/>
        <v>abril</v>
      </c>
      <c r="C110" s="37">
        <v>46123.0</v>
      </c>
      <c r="D110" s="5" t="s">
        <v>43</v>
      </c>
      <c r="E110" s="5">
        <v>104.0</v>
      </c>
      <c r="F110" s="5">
        <v>61.0</v>
      </c>
      <c r="G110" s="5">
        <v>3.0</v>
      </c>
      <c r="H110" s="5">
        <v>3.0</v>
      </c>
    </row>
    <row r="111" ht="15.75" customHeight="1">
      <c r="A111" s="22" t="str">
        <f t="shared" si="3"/>
        <v>sábado</v>
      </c>
      <c r="B111" s="24" t="str">
        <f t="shared" si="4"/>
        <v>abril</v>
      </c>
      <c r="C111" s="37">
        <v>46123.0</v>
      </c>
      <c r="D111" s="28" t="s">
        <v>51</v>
      </c>
      <c r="E111" s="5">
        <v>32.0</v>
      </c>
      <c r="F111" s="5">
        <v>27.0</v>
      </c>
      <c r="G111" s="5">
        <v>2.0</v>
      </c>
      <c r="H111" s="5">
        <v>4.0</v>
      </c>
    </row>
    <row r="112" ht="15.75" customHeight="1">
      <c r="A112" s="22" t="str">
        <f t="shared" si="3"/>
        <v>sábado</v>
      </c>
      <c r="B112" s="24" t="str">
        <f t="shared" si="4"/>
        <v>abril</v>
      </c>
      <c r="C112" s="37">
        <v>46123.0</v>
      </c>
      <c r="D112" s="28" t="s">
        <v>59</v>
      </c>
      <c r="E112" s="5">
        <v>179.0</v>
      </c>
      <c r="F112" s="5">
        <v>174.0</v>
      </c>
      <c r="G112" s="5">
        <v>2.0</v>
      </c>
      <c r="H112" s="5">
        <v>3.0</v>
      </c>
    </row>
    <row r="113" ht="15.75" customHeight="1">
      <c r="A113" s="22" t="str">
        <f t="shared" si="3"/>
        <v>sábado</v>
      </c>
      <c r="B113" s="24" t="str">
        <f t="shared" si="4"/>
        <v>abril</v>
      </c>
      <c r="C113" s="37">
        <v>46123.0</v>
      </c>
      <c r="D113" s="28" t="s">
        <v>52</v>
      </c>
      <c r="E113" s="5">
        <v>81.0</v>
      </c>
      <c r="F113" s="5">
        <v>56.0</v>
      </c>
      <c r="G113" s="5">
        <v>5.0</v>
      </c>
      <c r="H113" s="5">
        <v>3.0</v>
      </c>
    </row>
    <row r="114" ht="15.75" customHeight="1">
      <c r="A114" s="22" t="str">
        <f t="shared" si="3"/>
        <v>sábado</v>
      </c>
      <c r="B114" s="24" t="str">
        <f t="shared" si="4"/>
        <v>abril</v>
      </c>
      <c r="C114" s="37">
        <v>46123.0</v>
      </c>
      <c r="D114" s="28" t="s">
        <v>60</v>
      </c>
      <c r="E114" s="5">
        <v>104.0</v>
      </c>
      <c r="F114" s="5">
        <v>73.0</v>
      </c>
      <c r="G114" s="5">
        <v>2.0</v>
      </c>
      <c r="H114" s="5">
        <v>0.0</v>
      </c>
    </row>
    <row r="115" ht="15.75" customHeight="1">
      <c r="A115" s="22" t="str">
        <f t="shared" si="3"/>
        <v>domingo</v>
      </c>
      <c r="B115" s="24" t="str">
        <f t="shared" si="4"/>
        <v>abril</v>
      </c>
      <c r="C115" s="37">
        <v>46124.0</v>
      </c>
      <c r="D115" s="28" t="s">
        <v>39</v>
      </c>
      <c r="E115" s="5">
        <v>49.0</v>
      </c>
      <c r="F115" s="5">
        <v>30.0</v>
      </c>
      <c r="G115" s="5">
        <v>4.0</v>
      </c>
      <c r="H115" s="5">
        <v>3.0</v>
      </c>
    </row>
    <row r="116" ht="15.75" customHeight="1">
      <c r="A116" s="22" t="str">
        <f t="shared" si="3"/>
        <v>domingo</v>
      </c>
      <c r="B116" s="24" t="str">
        <f t="shared" si="4"/>
        <v>abril</v>
      </c>
      <c r="C116" s="37">
        <v>46124.0</v>
      </c>
      <c r="D116" s="28" t="s">
        <v>40</v>
      </c>
      <c r="E116" s="5">
        <v>80.0</v>
      </c>
      <c r="F116" s="5">
        <v>55.0</v>
      </c>
      <c r="G116" s="5">
        <v>6.0</v>
      </c>
      <c r="H116" s="5">
        <v>9.0</v>
      </c>
    </row>
    <row r="117" ht="15.75" customHeight="1">
      <c r="A117" s="22" t="str">
        <f t="shared" si="3"/>
        <v>domingo</v>
      </c>
      <c r="B117" s="24" t="str">
        <f t="shared" si="4"/>
        <v>abril</v>
      </c>
      <c r="C117" s="37">
        <v>46124.0</v>
      </c>
      <c r="D117" s="5" t="s">
        <v>43</v>
      </c>
      <c r="E117" s="5">
        <v>99.0</v>
      </c>
      <c r="F117" s="5">
        <v>45.0</v>
      </c>
      <c r="G117" s="5">
        <v>3.0</v>
      </c>
      <c r="H117" s="5">
        <v>6.0</v>
      </c>
    </row>
    <row r="118" ht="15.75" customHeight="1">
      <c r="A118" s="22" t="str">
        <f t="shared" si="3"/>
        <v>domingo</v>
      </c>
      <c r="B118" s="24" t="str">
        <f t="shared" si="4"/>
        <v>abril</v>
      </c>
      <c r="C118" s="37">
        <v>46124.0</v>
      </c>
      <c r="D118" s="28" t="s">
        <v>59</v>
      </c>
      <c r="E118" s="5">
        <v>219.0</v>
      </c>
      <c r="F118" s="5">
        <v>205.0</v>
      </c>
      <c r="G118" s="5">
        <v>1.0</v>
      </c>
      <c r="H118" s="5">
        <v>0.0</v>
      </c>
    </row>
    <row r="119" ht="15.75" customHeight="1">
      <c r="A119" s="22" t="str">
        <f t="shared" si="3"/>
        <v>domingo</v>
      </c>
      <c r="B119" s="24" t="str">
        <f t="shared" si="4"/>
        <v>abril</v>
      </c>
      <c r="C119" s="37">
        <v>46124.0</v>
      </c>
      <c r="D119" s="28" t="s">
        <v>52</v>
      </c>
      <c r="E119" s="5">
        <v>60.0</v>
      </c>
      <c r="F119" s="5">
        <v>30.0</v>
      </c>
      <c r="G119" s="5">
        <v>5.0</v>
      </c>
      <c r="H119" s="5">
        <v>7.0</v>
      </c>
    </row>
    <row r="120" ht="15.75" customHeight="1">
      <c r="A120" s="22" t="str">
        <f t="shared" si="3"/>
        <v>domingo</v>
      </c>
      <c r="B120" s="24" t="str">
        <f t="shared" si="4"/>
        <v>abril</v>
      </c>
      <c r="C120" s="37">
        <v>46124.0</v>
      </c>
      <c r="D120" s="28" t="s">
        <v>60</v>
      </c>
      <c r="E120" s="5">
        <v>146.0</v>
      </c>
      <c r="F120" s="5">
        <v>91.0</v>
      </c>
      <c r="G120" s="5">
        <v>3.0</v>
      </c>
      <c r="H120" s="5">
        <v>2.0</v>
      </c>
    </row>
    <row r="121" ht="15.75" customHeight="1">
      <c r="A121" s="22" t="str">
        <f t="shared" si="3"/>
        <v>lunes</v>
      </c>
      <c r="B121" s="24" t="str">
        <f t="shared" si="4"/>
        <v>abril</v>
      </c>
      <c r="C121" s="37">
        <v>46125.0</v>
      </c>
      <c r="D121" s="28" t="s">
        <v>39</v>
      </c>
      <c r="E121" s="5">
        <v>31.0</v>
      </c>
      <c r="F121" s="5">
        <v>21.0</v>
      </c>
      <c r="G121" s="5">
        <v>1.0</v>
      </c>
      <c r="H121" s="5">
        <v>4.0</v>
      </c>
      <c r="J121" s="22" t="str">
        <f t="shared" ref="J121:J181" si="29">TEXT(L121,"dddd")</f>
        <v>lunes</v>
      </c>
      <c r="K121" s="24" t="str">
        <f t="shared" ref="K121:K181" si="30">TEXT(L121,"mmmm")</f>
        <v>abril</v>
      </c>
      <c r="L121" s="37">
        <v>46125.0</v>
      </c>
      <c r="M121" s="28" t="s">
        <v>39</v>
      </c>
      <c r="N121" s="5">
        <v>31.0</v>
      </c>
      <c r="O121" s="5">
        <v>21.0</v>
      </c>
      <c r="P121" s="5">
        <v>1.0</v>
      </c>
      <c r="Q121" s="5">
        <v>4.0</v>
      </c>
    </row>
    <row r="122" ht="15.75" customHeight="1">
      <c r="A122" s="22" t="str">
        <f t="shared" si="3"/>
        <v>lunes</v>
      </c>
      <c r="B122" s="24" t="str">
        <f t="shared" si="4"/>
        <v>abril</v>
      </c>
      <c r="C122" s="37">
        <v>46125.0</v>
      </c>
      <c r="D122" s="28" t="s">
        <v>41</v>
      </c>
      <c r="E122" s="5">
        <v>74.0</v>
      </c>
      <c r="F122" s="5">
        <v>51.0</v>
      </c>
      <c r="G122" s="5">
        <v>3.0</v>
      </c>
      <c r="H122" s="5">
        <v>11.0</v>
      </c>
      <c r="J122" s="22" t="str">
        <f t="shared" si="29"/>
        <v>lunes</v>
      </c>
      <c r="K122" s="24" t="str">
        <f t="shared" si="30"/>
        <v>abril</v>
      </c>
      <c r="L122" s="37">
        <v>46125.0</v>
      </c>
      <c r="M122" s="28" t="s">
        <v>41</v>
      </c>
      <c r="N122" s="5">
        <v>74.0</v>
      </c>
      <c r="O122" s="5">
        <v>51.0</v>
      </c>
      <c r="P122" s="5">
        <v>3.0</v>
      </c>
      <c r="Q122" s="5">
        <v>11.0</v>
      </c>
    </row>
    <row r="123" ht="15.75" customHeight="1">
      <c r="A123" s="22" t="str">
        <f t="shared" si="3"/>
        <v>lunes</v>
      </c>
      <c r="B123" s="24" t="str">
        <f t="shared" si="4"/>
        <v>abril</v>
      </c>
      <c r="C123" s="37">
        <v>46125.0</v>
      </c>
      <c r="D123" s="28" t="s">
        <v>42</v>
      </c>
      <c r="E123" s="5">
        <v>63.0</v>
      </c>
      <c r="F123" s="5">
        <v>35.0</v>
      </c>
      <c r="G123" s="5">
        <v>2.0</v>
      </c>
      <c r="H123" s="5">
        <v>5.0</v>
      </c>
      <c r="J123" s="22" t="str">
        <f t="shared" si="29"/>
        <v>lunes</v>
      </c>
      <c r="K123" s="24" t="str">
        <f t="shared" si="30"/>
        <v>abril</v>
      </c>
      <c r="L123" s="37">
        <v>46125.0</v>
      </c>
      <c r="M123" s="28" t="s">
        <v>42</v>
      </c>
      <c r="N123" s="5">
        <v>63.0</v>
      </c>
      <c r="O123" s="5">
        <v>35.0</v>
      </c>
      <c r="P123" s="5">
        <v>2.0</v>
      </c>
      <c r="Q123" s="5">
        <v>5.0</v>
      </c>
    </row>
    <row r="124" ht="15.75" customHeight="1">
      <c r="A124" s="22" t="str">
        <f t="shared" si="3"/>
        <v>lunes</v>
      </c>
      <c r="B124" s="24" t="str">
        <f t="shared" si="4"/>
        <v>abril</v>
      </c>
      <c r="C124" s="37">
        <v>46125.0</v>
      </c>
      <c r="D124" s="28" t="s">
        <v>44</v>
      </c>
      <c r="E124" s="5">
        <v>35.0</v>
      </c>
      <c r="F124" s="5">
        <v>36.0</v>
      </c>
      <c r="G124" s="5">
        <v>0.0</v>
      </c>
      <c r="H124" s="5">
        <v>0.0</v>
      </c>
      <c r="J124" s="22" t="str">
        <f t="shared" si="29"/>
        <v>lunes</v>
      </c>
      <c r="K124" s="24" t="str">
        <f t="shared" si="30"/>
        <v>abril</v>
      </c>
      <c r="L124" s="37">
        <v>46125.0</v>
      </c>
      <c r="M124" s="28" t="s">
        <v>44</v>
      </c>
      <c r="N124" s="5">
        <v>35.0</v>
      </c>
      <c r="O124" s="5">
        <v>36.0</v>
      </c>
      <c r="P124" s="5">
        <v>0.0</v>
      </c>
      <c r="Q124" s="5">
        <v>0.0</v>
      </c>
    </row>
    <row r="125" ht="15.75" customHeight="1">
      <c r="A125" s="22" t="str">
        <f t="shared" si="3"/>
        <v>lunes</v>
      </c>
      <c r="B125" s="24" t="str">
        <f t="shared" si="4"/>
        <v>abril</v>
      </c>
      <c r="C125" s="37">
        <v>46125.0</v>
      </c>
      <c r="D125" s="5" t="s">
        <v>89</v>
      </c>
      <c r="E125" s="5">
        <v>93.0</v>
      </c>
      <c r="F125" s="5">
        <v>42.0</v>
      </c>
      <c r="G125" s="5">
        <v>0.0</v>
      </c>
      <c r="H125" s="5">
        <v>0.0</v>
      </c>
      <c r="J125" s="22" t="str">
        <f t="shared" si="29"/>
        <v>lunes</v>
      </c>
      <c r="K125" s="24" t="str">
        <f t="shared" si="30"/>
        <v>abril</v>
      </c>
      <c r="L125" s="37">
        <v>46125.0</v>
      </c>
      <c r="M125" s="5" t="s">
        <v>89</v>
      </c>
      <c r="N125" s="5">
        <v>93.0</v>
      </c>
      <c r="O125" s="5">
        <v>42.0</v>
      </c>
      <c r="P125" s="5">
        <v>0.0</v>
      </c>
      <c r="Q125" s="5">
        <v>0.0</v>
      </c>
    </row>
    <row r="126" ht="15.75" customHeight="1">
      <c r="A126" s="22" t="str">
        <f t="shared" si="3"/>
        <v>lunes</v>
      </c>
      <c r="B126" s="24" t="str">
        <f t="shared" si="4"/>
        <v>abril</v>
      </c>
      <c r="C126" s="37">
        <v>46125.0</v>
      </c>
      <c r="D126" s="5" t="s">
        <v>90</v>
      </c>
      <c r="E126" s="5">
        <v>76.0</v>
      </c>
      <c r="F126" s="5">
        <v>64.0</v>
      </c>
      <c r="G126" s="5">
        <v>0.0</v>
      </c>
      <c r="H126" s="5">
        <v>0.0</v>
      </c>
      <c r="J126" s="22" t="str">
        <f t="shared" si="29"/>
        <v>lunes</v>
      </c>
      <c r="K126" s="24" t="str">
        <f t="shared" si="30"/>
        <v>abril</v>
      </c>
      <c r="L126" s="37">
        <v>46125.0</v>
      </c>
      <c r="M126" s="5" t="s">
        <v>90</v>
      </c>
      <c r="N126" s="5">
        <v>76.0</v>
      </c>
      <c r="O126" s="5">
        <v>64.0</v>
      </c>
      <c r="P126" s="5">
        <v>0.0</v>
      </c>
      <c r="Q126" s="5">
        <v>0.0</v>
      </c>
    </row>
    <row r="127" ht="15.75" customHeight="1">
      <c r="A127" s="22" t="str">
        <f t="shared" si="3"/>
        <v>lunes</v>
      </c>
      <c r="B127" s="24" t="str">
        <f t="shared" si="4"/>
        <v>abril</v>
      </c>
      <c r="C127" s="37">
        <v>46125.0</v>
      </c>
      <c r="D127" s="28" t="s">
        <v>59</v>
      </c>
      <c r="E127" s="5">
        <v>77.0</v>
      </c>
      <c r="F127" s="5">
        <v>58.0</v>
      </c>
      <c r="G127" s="5">
        <v>4.0</v>
      </c>
      <c r="H127" s="5">
        <v>8.0</v>
      </c>
      <c r="J127" s="22" t="str">
        <f t="shared" si="29"/>
        <v>lunes</v>
      </c>
      <c r="K127" s="24" t="str">
        <f t="shared" si="30"/>
        <v>abril</v>
      </c>
      <c r="L127" s="37">
        <v>46125.0</v>
      </c>
      <c r="M127" s="28" t="s">
        <v>59</v>
      </c>
      <c r="N127" s="5">
        <v>77.0</v>
      </c>
      <c r="O127" s="5">
        <v>58.0</v>
      </c>
      <c r="P127" s="5">
        <v>4.0</v>
      </c>
      <c r="Q127" s="5">
        <v>8.0</v>
      </c>
    </row>
    <row r="128" ht="15.75" customHeight="1">
      <c r="A128" s="22" t="str">
        <f t="shared" si="3"/>
        <v>lunes</v>
      </c>
      <c r="B128" s="24" t="str">
        <f t="shared" si="4"/>
        <v>abril</v>
      </c>
      <c r="C128" s="37">
        <v>46125.0</v>
      </c>
      <c r="D128" s="28" t="s">
        <v>67</v>
      </c>
      <c r="E128" s="5">
        <v>75.0</v>
      </c>
      <c r="F128" s="5">
        <v>64.0</v>
      </c>
      <c r="G128" s="5">
        <v>1.0</v>
      </c>
      <c r="H128" s="5">
        <v>1.0</v>
      </c>
      <c r="J128" s="22" t="str">
        <f t="shared" si="29"/>
        <v>lunes</v>
      </c>
      <c r="K128" s="24" t="str">
        <f t="shared" si="30"/>
        <v>abril</v>
      </c>
      <c r="L128" s="37">
        <v>46125.0</v>
      </c>
      <c r="M128" s="28" t="s">
        <v>67</v>
      </c>
      <c r="N128" s="5">
        <v>75.0</v>
      </c>
      <c r="O128" s="5">
        <v>64.0</v>
      </c>
      <c r="P128" s="5">
        <v>1.0</v>
      </c>
      <c r="Q128" s="5">
        <v>1.0</v>
      </c>
    </row>
    <row r="129" ht="15.75" customHeight="1">
      <c r="A129" s="22" t="str">
        <f t="shared" si="3"/>
        <v>lunes</v>
      </c>
      <c r="B129" s="24" t="str">
        <f t="shared" si="4"/>
        <v>abril</v>
      </c>
      <c r="C129" s="37">
        <v>46125.0</v>
      </c>
      <c r="D129" s="5" t="s">
        <v>93</v>
      </c>
      <c r="E129" s="5">
        <v>65.0</v>
      </c>
      <c r="F129" s="5">
        <v>51.0</v>
      </c>
      <c r="G129" s="5">
        <v>0.0</v>
      </c>
      <c r="H129" s="5">
        <v>0.0</v>
      </c>
      <c r="J129" s="22" t="str">
        <f t="shared" si="29"/>
        <v>lunes</v>
      </c>
      <c r="K129" s="24" t="str">
        <f t="shared" si="30"/>
        <v>abril</v>
      </c>
      <c r="L129" s="37">
        <v>46125.0</v>
      </c>
      <c r="M129" s="5" t="s">
        <v>93</v>
      </c>
      <c r="N129" s="5">
        <v>65.0</v>
      </c>
      <c r="O129" s="5">
        <v>51.0</v>
      </c>
      <c r="P129" s="5">
        <v>0.0</v>
      </c>
      <c r="Q129" s="5">
        <v>0.0</v>
      </c>
    </row>
    <row r="130" ht="15.75" customHeight="1">
      <c r="A130" s="22" t="str">
        <f t="shared" si="3"/>
        <v>lunes</v>
      </c>
      <c r="B130" s="24" t="str">
        <f t="shared" si="4"/>
        <v>abril</v>
      </c>
      <c r="C130" s="37">
        <v>46125.0</v>
      </c>
      <c r="D130" s="28" t="s">
        <v>58</v>
      </c>
      <c r="E130" s="5">
        <v>84.0</v>
      </c>
      <c r="F130" s="5">
        <v>40.0</v>
      </c>
      <c r="G130" s="5">
        <v>5.0</v>
      </c>
      <c r="H130" s="5">
        <v>9.0</v>
      </c>
      <c r="J130" s="22" t="str">
        <f t="shared" si="29"/>
        <v>lunes</v>
      </c>
      <c r="K130" s="24" t="str">
        <f t="shared" si="30"/>
        <v>abril</v>
      </c>
      <c r="L130" s="37">
        <v>46125.0</v>
      </c>
      <c r="M130" s="28" t="s">
        <v>58</v>
      </c>
      <c r="N130" s="5">
        <v>84.0</v>
      </c>
      <c r="O130" s="5">
        <v>40.0</v>
      </c>
      <c r="P130" s="5">
        <v>5.0</v>
      </c>
      <c r="Q130" s="5">
        <v>9.0</v>
      </c>
    </row>
    <row r="131" ht="15.75" customHeight="1">
      <c r="A131" s="22" t="str">
        <f t="shared" si="3"/>
        <v>lunes</v>
      </c>
      <c r="B131" s="24" t="str">
        <f t="shared" si="4"/>
        <v>abril</v>
      </c>
      <c r="C131" s="37">
        <v>46125.0</v>
      </c>
      <c r="D131" s="28" t="s">
        <v>64</v>
      </c>
      <c r="E131" s="5">
        <v>72.0</v>
      </c>
      <c r="F131" s="5">
        <v>39.0</v>
      </c>
      <c r="G131" s="5">
        <v>3.0</v>
      </c>
      <c r="H131" s="5">
        <v>5.0</v>
      </c>
      <c r="J131" s="22" t="str">
        <f t="shared" si="29"/>
        <v>lunes</v>
      </c>
      <c r="K131" s="24" t="str">
        <f t="shared" si="30"/>
        <v>abril</v>
      </c>
      <c r="L131" s="37">
        <v>46125.0</v>
      </c>
      <c r="M131" s="28" t="s">
        <v>64</v>
      </c>
      <c r="N131" s="5">
        <v>72.0</v>
      </c>
      <c r="O131" s="5">
        <v>39.0</v>
      </c>
      <c r="P131" s="5">
        <v>3.0</v>
      </c>
      <c r="Q131" s="5">
        <v>5.0</v>
      </c>
    </row>
    <row r="132" ht="15.75" customHeight="1">
      <c r="A132" s="22" t="str">
        <f t="shared" si="3"/>
        <v>lunes</v>
      </c>
      <c r="B132" s="24" t="str">
        <f t="shared" si="4"/>
        <v>abril</v>
      </c>
      <c r="C132" s="37">
        <v>46125.0</v>
      </c>
      <c r="D132" s="28" t="s">
        <v>65</v>
      </c>
      <c r="E132" s="5">
        <v>62.0</v>
      </c>
      <c r="F132" s="5">
        <v>50.0</v>
      </c>
      <c r="G132" s="5">
        <v>2.0</v>
      </c>
      <c r="H132" s="5">
        <v>2.0</v>
      </c>
      <c r="J132" s="22" t="str">
        <f t="shared" si="29"/>
        <v>lunes</v>
      </c>
      <c r="K132" s="24" t="str">
        <f t="shared" si="30"/>
        <v>abril</v>
      </c>
      <c r="L132" s="37">
        <v>46125.0</v>
      </c>
      <c r="M132" s="28" t="s">
        <v>65</v>
      </c>
      <c r="N132" s="5">
        <v>62.0</v>
      </c>
      <c r="O132" s="5">
        <v>50.0</v>
      </c>
      <c r="P132" s="5">
        <v>2.0</v>
      </c>
      <c r="Q132" s="5">
        <v>2.0</v>
      </c>
    </row>
    <row r="133" ht="15.75" customHeight="1">
      <c r="A133" s="22" t="str">
        <f t="shared" si="3"/>
        <v>lunes</v>
      </c>
      <c r="B133" s="24" t="str">
        <f t="shared" si="4"/>
        <v>abril</v>
      </c>
      <c r="C133" s="37">
        <v>46125.0</v>
      </c>
      <c r="D133" s="28" t="s">
        <v>60</v>
      </c>
      <c r="E133" s="5">
        <v>75.0</v>
      </c>
      <c r="F133" s="5">
        <v>38.0</v>
      </c>
      <c r="G133" s="5">
        <v>2.0</v>
      </c>
      <c r="H133" s="5">
        <v>9.0</v>
      </c>
      <c r="J133" s="22" t="str">
        <f t="shared" si="29"/>
        <v>lunes</v>
      </c>
      <c r="K133" s="24" t="str">
        <f t="shared" si="30"/>
        <v>abril</v>
      </c>
      <c r="L133" s="37">
        <v>46125.0</v>
      </c>
      <c r="M133" s="28" t="s">
        <v>60</v>
      </c>
      <c r="N133" s="5">
        <v>75.0</v>
      </c>
      <c r="O133" s="5">
        <v>38.0</v>
      </c>
      <c r="P133" s="5">
        <v>2.0</v>
      </c>
      <c r="Q133" s="5">
        <v>9.0</v>
      </c>
    </row>
    <row r="134" ht="15.75" customHeight="1">
      <c r="A134" s="22" t="str">
        <f t="shared" si="3"/>
        <v>lunes</v>
      </c>
      <c r="B134" s="24" t="str">
        <f t="shared" si="4"/>
        <v>abril</v>
      </c>
      <c r="C134" s="37">
        <v>46125.0</v>
      </c>
      <c r="D134" s="28" t="s">
        <v>66</v>
      </c>
      <c r="E134" s="5">
        <v>74.0</v>
      </c>
      <c r="F134" s="5">
        <v>59.0</v>
      </c>
      <c r="G134" s="5">
        <v>2.0</v>
      </c>
      <c r="H134" s="5">
        <v>2.0</v>
      </c>
      <c r="J134" s="22" t="str">
        <f t="shared" si="29"/>
        <v>lunes</v>
      </c>
      <c r="K134" s="24" t="str">
        <f t="shared" si="30"/>
        <v>abril</v>
      </c>
      <c r="L134" s="37">
        <v>46125.0</v>
      </c>
      <c r="M134" s="28" t="s">
        <v>66</v>
      </c>
      <c r="N134" s="5">
        <v>74.0</v>
      </c>
      <c r="O134" s="5">
        <v>59.0</v>
      </c>
      <c r="P134" s="5">
        <v>2.0</v>
      </c>
      <c r="Q134" s="5">
        <v>2.0</v>
      </c>
    </row>
    <row r="135" ht="15.75" customHeight="1">
      <c r="A135" s="22" t="str">
        <f t="shared" si="3"/>
        <v>martes</v>
      </c>
      <c r="B135" s="24" t="str">
        <f t="shared" si="4"/>
        <v>abril</v>
      </c>
      <c r="C135" s="37">
        <v>46126.0</v>
      </c>
      <c r="D135" s="28" t="s">
        <v>39</v>
      </c>
      <c r="E135" s="5">
        <v>59.0</v>
      </c>
      <c r="F135" s="5">
        <v>38.0</v>
      </c>
      <c r="G135" s="5">
        <v>1.0</v>
      </c>
      <c r="H135" s="5">
        <v>4.0</v>
      </c>
      <c r="J135" s="22" t="str">
        <f t="shared" si="29"/>
        <v>martes</v>
      </c>
      <c r="K135" s="24" t="str">
        <f t="shared" si="30"/>
        <v>abril</v>
      </c>
      <c r="L135" s="37">
        <v>46126.0</v>
      </c>
      <c r="M135" s="28" t="s">
        <v>39</v>
      </c>
      <c r="N135" s="5">
        <v>59.0</v>
      </c>
      <c r="O135" s="5">
        <v>38.0</v>
      </c>
      <c r="P135" s="5">
        <v>1.0</v>
      </c>
      <c r="Q135" s="5">
        <v>4.0</v>
      </c>
    </row>
    <row r="136" ht="15.75" customHeight="1">
      <c r="A136" s="22" t="str">
        <f t="shared" si="3"/>
        <v>martes</v>
      </c>
      <c r="B136" s="24" t="str">
        <f t="shared" si="4"/>
        <v>abril</v>
      </c>
      <c r="C136" s="37">
        <v>46126.0</v>
      </c>
      <c r="D136" s="28" t="s">
        <v>41</v>
      </c>
      <c r="E136" s="5">
        <v>58.0</v>
      </c>
      <c r="F136" s="5">
        <v>38.0</v>
      </c>
      <c r="G136" s="5">
        <v>2.0</v>
      </c>
      <c r="H136" s="5">
        <v>3.0</v>
      </c>
      <c r="J136" s="22" t="str">
        <f t="shared" si="29"/>
        <v>martes</v>
      </c>
      <c r="K136" s="24" t="str">
        <f t="shared" si="30"/>
        <v>abril</v>
      </c>
      <c r="L136" s="37">
        <v>46126.0</v>
      </c>
      <c r="M136" s="28" t="s">
        <v>41</v>
      </c>
      <c r="N136" s="5">
        <v>58.0</v>
      </c>
      <c r="O136" s="5">
        <v>38.0</v>
      </c>
      <c r="P136" s="5">
        <v>2.0</v>
      </c>
      <c r="Q136" s="5">
        <v>3.0</v>
      </c>
    </row>
    <row r="137" ht="15.75" customHeight="1">
      <c r="A137" s="22" t="str">
        <f t="shared" si="3"/>
        <v>martes</v>
      </c>
      <c r="B137" s="24" t="str">
        <f t="shared" si="4"/>
        <v>abril</v>
      </c>
      <c r="C137" s="37">
        <v>46126.0</v>
      </c>
      <c r="D137" s="28" t="s">
        <v>42</v>
      </c>
      <c r="E137" s="5">
        <v>81.0</v>
      </c>
      <c r="F137" s="5">
        <v>46.0</v>
      </c>
      <c r="G137" s="5">
        <v>2.0</v>
      </c>
      <c r="H137" s="5">
        <v>5.0</v>
      </c>
      <c r="J137" s="22" t="str">
        <f t="shared" si="29"/>
        <v>martes</v>
      </c>
      <c r="K137" s="24" t="str">
        <f t="shared" si="30"/>
        <v>abril</v>
      </c>
      <c r="L137" s="37">
        <v>46126.0</v>
      </c>
      <c r="M137" s="28" t="s">
        <v>42</v>
      </c>
      <c r="N137" s="5">
        <v>81.0</v>
      </c>
      <c r="O137" s="5">
        <v>46.0</v>
      </c>
      <c r="P137" s="5">
        <v>2.0</v>
      </c>
      <c r="Q137" s="5">
        <v>5.0</v>
      </c>
    </row>
    <row r="138" ht="15.75" customHeight="1">
      <c r="A138" s="22" t="str">
        <f t="shared" si="3"/>
        <v>martes</v>
      </c>
      <c r="B138" s="24" t="str">
        <f t="shared" si="4"/>
        <v>abril</v>
      </c>
      <c r="C138" s="37">
        <v>46126.0</v>
      </c>
      <c r="D138" s="5" t="s">
        <v>89</v>
      </c>
      <c r="E138" s="5">
        <v>98.0</v>
      </c>
      <c r="F138" s="5">
        <v>63.0</v>
      </c>
      <c r="G138" s="5">
        <v>0.0</v>
      </c>
      <c r="H138" s="5">
        <v>0.0</v>
      </c>
      <c r="J138" s="22" t="str">
        <f t="shared" si="29"/>
        <v>martes</v>
      </c>
      <c r="K138" s="24" t="str">
        <f t="shared" si="30"/>
        <v>abril</v>
      </c>
      <c r="L138" s="37">
        <v>46126.0</v>
      </c>
      <c r="M138" s="5" t="s">
        <v>89</v>
      </c>
      <c r="N138" s="5">
        <v>98.0</v>
      </c>
      <c r="O138" s="5">
        <v>63.0</v>
      </c>
      <c r="P138" s="5">
        <v>0.0</v>
      </c>
      <c r="Q138" s="5">
        <v>0.0</v>
      </c>
    </row>
    <row r="139" ht="15.75" customHeight="1">
      <c r="A139" s="22" t="str">
        <f t="shared" si="3"/>
        <v>martes</v>
      </c>
      <c r="B139" s="24" t="str">
        <f t="shared" si="4"/>
        <v>abril</v>
      </c>
      <c r="C139" s="37">
        <v>46126.0</v>
      </c>
      <c r="D139" s="5" t="s">
        <v>90</v>
      </c>
      <c r="E139" s="5">
        <v>85.0</v>
      </c>
      <c r="F139" s="5">
        <v>62.0</v>
      </c>
      <c r="G139" s="5">
        <v>0.0</v>
      </c>
      <c r="H139" s="5">
        <v>0.0</v>
      </c>
      <c r="J139" s="22" t="str">
        <f t="shared" si="29"/>
        <v>martes</v>
      </c>
      <c r="K139" s="24" t="str">
        <f t="shared" si="30"/>
        <v>abril</v>
      </c>
      <c r="L139" s="37">
        <v>46126.0</v>
      </c>
      <c r="M139" s="5" t="s">
        <v>90</v>
      </c>
      <c r="N139" s="5">
        <v>85.0</v>
      </c>
      <c r="O139" s="5">
        <v>62.0</v>
      </c>
      <c r="P139" s="5">
        <v>0.0</v>
      </c>
      <c r="Q139" s="5">
        <v>0.0</v>
      </c>
    </row>
    <row r="140" ht="15.75" customHeight="1">
      <c r="A140" s="22" t="str">
        <f t="shared" si="3"/>
        <v>martes</v>
      </c>
      <c r="B140" s="24" t="str">
        <f t="shared" si="4"/>
        <v>abril</v>
      </c>
      <c r="C140" s="37">
        <v>46126.0</v>
      </c>
      <c r="D140" s="28" t="s">
        <v>59</v>
      </c>
      <c r="E140" s="5">
        <v>59.0</v>
      </c>
      <c r="F140" s="5">
        <v>40.0</v>
      </c>
      <c r="G140" s="5">
        <v>1.0</v>
      </c>
      <c r="H140" s="5">
        <v>2.0</v>
      </c>
      <c r="J140" s="22" t="str">
        <f t="shared" si="29"/>
        <v>martes</v>
      </c>
      <c r="K140" s="24" t="str">
        <f t="shared" si="30"/>
        <v>abril</v>
      </c>
      <c r="L140" s="37">
        <v>46126.0</v>
      </c>
      <c r="M140" s="28" t="s">
        <v>59</v>
      </c>
      <c r="N140" s="5">
        <v>59.0</v>
      </c>
      <c r="O140" s="5">
        <v>40.0</v>
      </c>
      <c r="P140" s="5">
        <v>1.0</v>
      </c>
      <c r="Q140" s="5">
        <v>2.0</v>
      </c>
    </row>
    <row r="141" ht="15.75" customHeight="1">
      <c r="A141" s="22" t="str">
        <f t="shared" si="3"/>
        <v>martes</v>
      </c>
      <c r="B141" s="24" t="str">
        <f t="shared" si="4"/>
        <v>abril</v>
      </c>
      <c r="C141" s="37">
        <v>46126.0</v>
      </c>
      <c r="D141" s="5" t="s">
        <v>46</v>
      </c>
      <c r="E141" s="5">
        <v>81.0</v>
      </c>
      <c r="F141" s="5">
        <v>46.0</v>
      </c>
      <c r="G141" s="5">
        <v>4.0</v>
      </c>
      <c r="H141" s="5">
        <v>10.0</v>
      </c>
      <c r="J141" s="22" t="str">
        <f t="shared" si="29"/>
        <v>martes</v>
      </c>
      <c r="K141" s="24" t="str">
        <f t="shared" si="30"/>
        <v>abril</v>
      </c>
      <c r="L141" s="37">
        <v>46126.0</v>
      </c>
      <c r="M141" s="5" t="s">
        <v>46</v>
      </c>
      <c r="N141" s="5">
        <v>81.0</v>
      </c>
      <c r="O141" s="5">
        <v>46.0</v>
      </c>
      <c r="P141" s="5">
        <v>4.0</v>
      </c>
      <c r="Q141" s="5">
        <v>10.0</v>
      </c>
    </row>
    <row r="142" ht="15.75" customHeight="1">
      <c r="A142" s="22" t="str">
        <f t="shared" si="3"/>
        <v>martes</v>
      </c>
      <c r="B142" s="24" t="str">
        <f t="shared" si="4"/>
        <v>abril</v>
      </c>
      <c r="C142" s="37">
        <v>46126.0</v>
      </c>
      <c r="D142" s="28" t="s">
        <v>67</v>
      </c>
      <c r="E142" s="5">
        <v>62.0</v>
      </c>
      <c r="F142" s="5">
        <v>55.0</v>
      </c>
      <c r="G142" s="5">
        <v>2.0</v>
      </c>
      <c r="H142" s="5">
        <v>0.0</v>
      </c>
      <c r="J142" s="22" t="str">
        <f t="shared" si="29"/>
        <v>martes</v>
      </c>
      <c r="K142" s="24" t="str">
        <f t="shared" si="30"/>
        <v>abril</v>
      </c>
      <c r="L142" s="37">
        <v>46126.0</v>
      </c>
      <c r="M142" s="28" t="s">
        <v>67</v>
      </c>
      <c r="N142" s="5">
        <v>62.0</v>
      </c>
      <c r="O142" s="5">
        <v>55.0</v>
      </c>
      <c r="P142" s="5">
        <v>2.0</v>
      </c>
      <c r="Q142" s="5">
        <v>0.0</v>
      </c>
    </row>
    <row r="143" ht="15.75" customHeight="1">
      <c r="A143" s="22" t="str">
        <f t="shared" si="3"/>
        <v>martes</v>
      </c>
      <c r="B143" s="24" t="str">
        <f t="shared" si="4"/>
        <v>abril</v>
      </c>
      <c r="C143" s="37">
        <v>46126.0</v>
      </c>
      <c r="D143" s="5" t="s">
        <v>93</v>
      </c>
      <c r="E143" s="5">
        <v>101.0</v>
      </c>
      <c r="F143" s="5">
        <v>85.0</v>
      </c>
      <c r="G143" s="5">
        <v>0.0</v>
      </c>
      <c r="H143" s="5">
        <v>0.0</v>
      </c>
      <c r="J143" s="22" t="str">
        <f t="shared" si="29"/>
        <v>martes</v>
      </c>
      <c r="K143" s="24" t="str">
        <f t="shared" si="30"/>
        <v>abril</v>
      </c>
      <c r="L143" s="37">
        <v>46126.0</v>
      </c>
      <c r="M143" s="5" t="s">
        <v>93</v>
      </c>
      <c r="N143" s="5">
        <v>101.0</v>
      </c>
      <c r="O143" s="5">
        <v>85.0</v>
      </c>
      <c r="P143" s="5">
        <v>0.0</v>
      </c>
      <c r="Q143" s="5">
        <v>0.0</v>
      </c>
    </row>
    <row r="144" ht="15.75" customHeight="1">
      <c r="A144" s="22" t="str">
        <f t="shared" si="3"/>
        <v>martes</v>
      </c>
      <c r="B144" s="24" t="str">
        <f t="shared" si="4"/>
        <v>abril</v>
      </c>
      <c r="C144" s="37">
        <v>46126.0</v>
      </c>
      <c r="D144" s="28" t="s">
        <v>58</v>
      </c>
      <c r="E144" s="5">
        <v>98.0</v>
      </c>
      <c r="F144" s="5">
        <v>43.0</v>
      </c>
      <c r="G144" s="5">
        <v>3.0</v>
      </c>
      <c r="H144" s="5">
        <v>2.0</v>
      </c>
      <c r="J144" s="22" t="str">
        <f t="shared" si="29"/>
        <v>martes</v>
      </c>
      <c r="K144" s="24" t="str">
        <f t="shared" si="30"/>
        <v>abril</v>
      </c>
      <c r="L144" s="37">
        <v>46126.0</v>
      </c>
      <c r="M144" s="28" t="s">
        <v>58</v>
      </c>
      <c r="N144" s="5">
        <v>98.0</v>
      </c>
      <c r="O144" s="5">
        <v>43.0</v>
      </c>
      <c r="P144" s="5">
        <v>3.0</v>
      </c>
      <c r="Q144" s="5">
        <v>2.0</v>
      </c>
    </row>
    <row r="145" ht="15.75" customHeight="1">
      <c r="A145" s="22" t="str">
        <f t="shared" si="3"/>
        <v>martes</v>
      </c>
      <c r="B145" s="24" t="str">
        <f t="shared" si="4"/>
        <v>abril</v>
      </c>
      <c r="C145" s="37">
        <v>46126.0</v>
      </c>
      <c r="D145" s="28" t="s">
        <v>64</v>
      </c>
      <c r="E145" s="5">
        <v>92.0</v>
      </c>
      <c r="F145" s="5">
        <v>64.0</v>
      </c>
      <c r="G145" s="5">
        <v>9.0</v>
      </c>
      <c r="H145" s="5">
        <v>4.0</v>
      </c>
      <c r="J145" s="22" t="str">
        <f t="shared" si="29"/>
        <v>martes</v>
      </c>
      <c r="K145" s="24" t="str">
        <f t="shared" si="30"/>
        <v>abril</v>
      </c>
      <c r="L145" s="37">
        <v>46126.0</v>
      </c>
      <c r="M145" s="28" t="s">
        <v>64</v>
      </c>
      <c r="N145" s="5">
        <v>92.0</v>
      </c>
      <c r="O145" s="5">
        <v>64.0</v>
      </c>
      <c r="P145" s="5">
        <v>9.0</v>
      </c>
      <c r="Q145" s="5">
        <v>4.0</v>
      </c>
    </row>
    <row r="146" ht="15.75" customHeight="1">
      <c r="A146" s="22" t="str">
        <f t="shared" si="3"/>
        <v>martes</v>
      </c>
      <c r="B146" s="24" t="str">
        <f t="shared" si="4"/>
        <v>abril</v>
      </c>
      <c r="C146" s="37">
        <v>46126.0</v>
      </c>
      <c r="D146" s="28" t="s">
        <v>65</v>
      </c>
      <c r="E146" s="5">
        <v>46.0</v>
      </c>
      <c r="F146" s="5">
        <v>34.0</v>
      </c>
      <c r="G146" s="5">
        <v>3.0</v>
      </c>
      <c r="H146" s="5">
        <v>1.0</v>
      </c>
      <c r="J146" s="22" t="str">
        <f t="shared" si="29"/>
        <v>martes</v>
      </c>
      <c r="K146" s="24" t="str">
        <f t="shared" si="30"/>
        <v>abril</v>
      </c>
      <c r="L146" s="37">
        <v>46126.0</v>
      </c>
      <c r="M146" s="28" t="s">
        <v>65</v>
      </c>
      <c r="N146" s="5">
        <v>46.0</v>
      </c>
      <c r="O146" s="5">
        <v>34.0</v>
      </c>
      <c r="P146" s="5">
        <v>3.0</v>
      </c>
      <c r="Q146" s="5">
        <v>1.0</v>
      </c>
    </row>
    <row r="147" ht="15.75" customHeight="1">
      <c r="A147" s="22" t="str">
        <f t="shared" si="3"/>
        <v>martes</v>
      </c>
      <c r="B147" s="24" t="str">
        <f t="shared" si="4"/>
        <v>abril</v>
      </c>
      <c r="C147" s="37">
        <v>46126.0</v>
      </c>
      <c r="D147" s="28" t="s">
        <v>66</v>
      </c>
      <c r="E147" s="5">
        <v>78.0</v>
      </c>
      <c r="F147" s="5">
        <v>71.0</v>
      </c>
      <c r="G147" s="5">
        <v>1.0</v>
      </c>
      <c r="H147" s="5">
        <v>3.0</v>
      </c>
      <c r="J147" s="22" t="str">
        <f t="shared" si="29"/>
        <v>martes</v>
      </c>
      <c r="K147" s="24" t="str">
        <f t="shared" si="30"/>
        <v>abril</v>
      </c>
      <c r="L147" s="37">
        <v>46126.0</v>
      </c>
      <c r="M147" s="28" t="s">
        <v>66</v>
      </c>
      <c r="N147" s="5">
        <v>78.0</v>
      </c>
      <c r="O147" s="5">
        <v>71.0</v>
      </c>
      <c r="P147" s="5">
        <v>1.0</v>
      </c>
      <c r="Q147" s="5">
        <v>3.0</v>
      </c>
    </row>
    <row r="148" ht="15.75" customHeight="1">
      <c r="A148" s="22" t="str">
        <f t="shared" si="3"/>
        <v>miércoles</v>
      </c>
      <c r="B148" s="24" t="str">
        <f t="shared" si="4"/>
        <v>abril</v>
      </c>
      <c r="C148" s="37">
        <v>46127.0</v>
      </c>
      <c r="D148" s="28" t="s">
        <v>39</v>
      </c>
      <c r="E148" s="5">
        <v>38.0</v>
      </c>
      <c r="F148" s="5">
        <v>24.0</v>
      </c>
      <c r="G148" s="5">
        <v>1.0</v>
      </c>
      <c r="H148" s="5">
        <v>2.0</v>
      </c>
      <c r="J148" s="22" t="str">
        <f t="shared" si="29"/>
        <v>miércoles</v>
      </c>
      <c r="K148" s="24" t="str">
        <f t="shared" si="30"/>
        <v>abril</v>
      </c>
      <c r="L148" s="37">
        <v>46127.0</v>
      </c>
      <c r="M148" s="28" t="s">
        <v>39</v>
      </c>
      <c r="N148" s="5">
        <v>38.0</v>
      </c>
      <c r="O148" s="5">
        <v>24.0</v>
      </c>
      <c r="P148" s="5">
        <v>1.0</v>
      </c>
      <c r="Q148" s="5">
        <v>2.0</v>
      </c>
    </row>
    <row r="149" ht="15.75" customHeight="1">
      <c r="A149" s="22" t="str">
        <f t="shared" si="3"/>
        <v>miércoles</v>
      </c>
      <c r="B149" s="24" t="str">
        <f t="shared" si="4"/>
        <v>abril</v>
      </c>
      <c r="C149" s="37">
        <v>46127.0</v>
      </c>
      <c r="D149" s="5" t="s">
        <v>107</v>
      </c>
      <c r="E149" s="5">
        <v>75.0</v>
      </c>
      <c r="F149" s="5">
        <v>36.0</v>
      </c>
      <c r="G149" s="5">
        <v>0.0</v>
      </c>
      <c r="H149" s="5">
        <v>0.0</v>
      </c>
      <c r="J149" s="22" t="str">
        <f t="shared" si="29"/>
        <v>miércoles</v>
      </c>
      <c r="K149" s="24" t="str">
        <f t="shared" si="30"/>
        <v>abril</v>
      </c>
      <c r="L149" s="37">
        <v>46127.0</v>
      </c>
      <c r="M149" s="5" t="s">
        <v>107</v>
      </c>
      <c r="N149" s="5">
        <v>75.0</v>
      </c>
      <c r="O149" s="5">
        <v>36.0</v>
      </c>
      <c r="P149" s="5">
        <v>0.0</v>
      </c>
      <c r="Q149" s="5">
        <v>0.0</v>
      </c>
    </row>
    <row r="150" ht="15.75" customHeight="1">
      <c r="A150" s="22" t="str">
        <f t="shared" si="3"/>
        <v>miércoles</v>
      </c>
      <c r="B150" s="24" t="str">
        <f t="shared" si="4"/>
        <v>abril</v>
      </c>
      <c r="C150" s="37">
        <v>46127.0</v>
      </c>
      <c r="D150" s="28" t="s">
        <v>41</v>
      </c>
      <c r="E150" s="5">
        <v>74.0</v>
      </c>
      <c r="F150" s="5">
        <v>71.0</v>
      </c>
      <c r="G150" s="5">
        <v>1.0</v>
      </c>
      <c r="H150" s="5">
        <v>9.0</v>
      </c>
      <c r="J150" s="22" t="str">
        <f t="shared" si="29"/>
        <v>miércoles</v>
      </c>
      <c r="K150" s="24" t="str">
        <f t="shared" si="30"/>
        <v>abril</v>
      </c>
      <c r="L150" s="37">
        <v>46127.0</v>
      </c>
      <c r="M150" s="28" t="s">
        <v>41</v>
      </c>
      <c r="N150" s="5">
        <v>74.0</v>
      </c>
      <c r="O150" s="5">
        <v>71.0</v>
      </c>
      <c r="P150" s="5">
        <v>1.0</v>
      </c>
      <c r="Q150" s="5">
        <v>9.0</v>
      </c>
    </row>
    <row r="151" ht="15.75" customHeight="1">
      <c r="A151" s="22" t="str">
        <f t="shared" si="3"/>
        <v>miércoles</v>
      </c>
      <c r="B151" s="24" t="str">
        <f t="shared" si="4"/>
        <v>abril</v>
      </c>
      <c r="C151" s="37">
        <v>46127.0</v>
      </c>
      <c r="D151" s="28" t="s">
        <v>42</v>
      </c>
      <c r="E151" s="5">
        <v>66.0</v>
      </c>
      <c r="F151" s="5">
        <v>46.0</v>
      </c>
      <c r="G151" s="5">
        <v>3.0</v>
      </c>
      <c r="H151" s="5">
        <v>9.0</v>
      </c>
      <c r="J151" s="22" t="str">
        <f t="shared" si="29"/>
        <v>miércoles</v>
      </c>
      <c r="K151" s="24" t="str">
        <f t="shared" si="30"/>
        <v>abril</v>
      </c>
      <c r="L151" s="37">
        <v>46127.0</v>
      </c>
      <c r="M151" s="28" t="s">
        <v>42</v>
      </c>
      <c r="N151" s="5">
        <v>66.0</v>
      </c>
      <c r="O151" s="5">
        <v>46.0</v>
      </c>
      <c r="P151" s="5">
        <v>3.0</v>
      </c>
      <c r="Q151" s="5">
        <v>9.0</v>
      </c>
    </row>
    <row r="152" ht="15.75" customHeight="1">
      <c r="A152" s="22" t="str">
        <f t="shared" si="3"/>
        <v>miércoles</v>
      </c>
      <c r="B152" s="24" t="str">
        <f t="shared" si="4"/>
        <v>abril</v>
      </c>
      <c r="C152" s="37">
        <v>46127.0</v>
      </c>
      <c r="D152" s="5" t="s">
        <v>108</v>
      </c>
      <c r="E152" s="5">
        <v>83.0</v>
      </c>
      <c r="F152" s="5">
        <v>39.0</v>
      </c>
      <c r="G152" s="5">
        <v>0.0</v>
      </c>
      <c r="H152" s="5">
        <v>0.0</v>
      </c>
      <c r="J152" s="22" t="str">
        <f t="shared" si="29"/>
        <v>miércoles</v>
      </c>
      <c r="K152" s="24" t="str">
        <f t="shared" si="30"/>
        <v>abril</v>
      </c>
      <c r="L152" s="37">
        <v>46127.0</v>
      </c>
      <c r="M152" s="5" t="s">
        <v>108</v>
      </c>
      <c r="N152" s="5">
        <v>83.0</v>
      </c>
      <c r="O152" s="5">
        <v>39.0</v>
      </c>
      <c r="P152" s="5">
        <v>0.0</v>
      </c>
      <c r="Q152" s="5">
        <v>0.0</v>
      </c>
    </row>
    <row r="153" ht="15.75" customHeight="1">
      <c r="A153" s="22" t="str">
        <f t="shared" si="3"/>
        <v>miércoles</v>
      </c>
      <c r="B153" s="24" t="str">
        <f t="shared" si="4"/>
        <v>abril</v>
      </c>
      <c r="C153" s="37">
        <v>46127.0</v>
      </c>
      <c r="D153" s="28" t="s">
        <v>51</v>
      </c>
      <c r="E153" s="5">
        <v>86.0</v>
      </c>
      <c r="F153" s="5">
        <v>67.0</v>
      </c>
      <c r="G153" s="5">
        <v>3.0</v>
      </c>
      <c r="H153" s="5">
        <v>10.0</v>
      </c>
      <c r="J153" s="22" t="str">
        <f t="shared" si="29"/>
        <v>miércoles</v>
      </c>
      <c r="K153" s="24" t="str">
        <f t="shared" si="30"/>
        <v>abril</v>
      </c>
      <c r="L153" s="37">
        <v>46127.0</v>
      </c>
      <c r="M153" s="28" t="s">
        <v>51</v>
      </c>
      <c r="N153" s="5">
        <v>86.0</v>
      </c>
      <c r="O153" s="5">
        <v>67.0</v>
      </c>
      <c r="P153" s="5">
        <v>3.0</v>
      </c>
      <c r="Q153" s="5">
        <v>10.0</v>
      </c>
    </row>
    <row r="154" ht="15.75" customHeight="1">
      <c r="A154" s="22" t="str">
        <f t="shared" si="3"/>
        <v>miércoles</v>
      </c>
      <c r="B154" s="24" t="str">
        <f t="shared" si="4"/>
        <v>abril</v>
      </c>
      <c r="C154" s="37">
        <v>46127.0</v>
      </c>
      <c r="D154" s="5" t="s">
        <v>89</v>
      </c>
      <c r="E154" s="5">
        <v>134.0</v>
      </c>
      <c r="F154" s="5">
        <v>68.0</v>
      </c>
      <c r="G154" s="5">
        <v>0.0</v>
      </c>
      <c r="H154" s="5">
        <v>0.0</v>
      </c>
      <c r="J154" s="22" t="str">
        <f t="shared" si="29"/>
        <v>miércoles</v>
      </c>
      <c r="K154" s="24" t="str">
        <f t="shared" si="30"/>
        <v>abril</v>
      </c>
      <c r="L154" s="37">
        <v>46127.0</v>
      </c>
      <c r="M154" s="5" t="s">
        <v>89</v>
      </c>
      <c r="N154" s="5">
        <v>134.0</v>
      </c>
      <c r="O154" s="5">
        <v>68.0</v>
      </c>
      <c r="P154" s="5">
        <v>0.0</v>
      </c>
      <c r="Q154" s="5">
        <v>0.0</v>
      </c>
    </row>
    <row r="155" ht="15.75" customHeight="1">
      <c r="A155" s="22" t="str">
        <f t="shared" si="3"/>
        <v>miércoles</v>
      </c>
      <c r="B155" s="24" t="str">
        <f t="shared" si="4"/>
        <v>abril</v>
      </c>
      <c r="C155" s="37">
        <v>46127.0</v>
      </c>
      <c r="D155" s="5" t="s">
        <v>46</v>
      </c>
      <c r="E155" s="5">
        <v>81.0</v>
      </c>
      <c r="F155" s="5">
        <v>42.0</v>
      </c>
      <c r="G155" s="5">
        <v>5.0</v>
      </c>
      <c r="H155" s="5">
        <v>8.0</v>
      </c>
      <c r="J155" s="22" t="str">
        <f t="shared" si="29"/>
        <v>miércoles</v>
      </c>
      <c r="K155" s="24" t="str">
        <f t="shared" si="30"/>
        <v>abril</v>
      </c>
      <c r="L155" s="37">
        <v>46127.0</v>
      </c>
      <c r="M155" s="5" t="s">
        <v>46</v>
      </c>
      <c r="N155" s="5">
        <v>81.0</v>
      </c>
      <c r="O155" s="5">
        <v>42.0</v>
      </c>
      <c r="P155" s="5">
        <v>5.0</v>
      </c>
      <c r="Q155" s="5">
        <v>8.0</v>
      </c>
    </row>
    <row r="156" ht="15.75" customHeight="1">
      <c r="A156" s="22" t="str">
        <f t="shared" si="3"/>
        <v>miércoles</v>
      </c>
      <c r="B156" s="24" t="str">
        <f t="shared" si="4"/>
        <v>abril</v>
      </c>
      <c r="C156" s="37">
        <v>46127.0</v>
      </c>
      <c r="D156" s="28" t="s">
        <v>67</v>
      </c>
      <c r="E156" s="5">
        <v>102.0</v>
      </c>
      <c r="F156" s="5">
        <v>81.0</v>
      </c>
      <c r="G156" s="5">
        <v>6.0</v>
      </c>
      <c r="H156" s="5">
        <v>3.0</v>
      </c>
      <c r="J156" s="22" t="str">
        <f t="shared" si="29"/>
        <v>miércoles</v>
      </c>
      <c r="K156" s="24" t="str">
        <f t="shared" si="30"/>
        <v>abril</v>
      </c>
      <c r="L156" s="37">
        <v>46127.0</v>
      </c>
      <c r="M156" s="28" t="s">
        <v>67</v>
      </c>
      <c r="N156" s="5">
        <v>102.0</v>
      </c>
      <c r="O156" s="5">
        <v>81.0</v>
      </c>
      <c r="P156" s="5">
        <v>6.0</v>
      </c>
      <c r="Q156" s="5">
        <v>3.0</v>
      </c>
    </row>
    <row r="157" ht="15.75" customHeight="1">
      <c r="A157" s="22" t="str">
        <f t="shared" si="3"/>
        <v>miércoles</v>
      </c>
      <c r="B157" s="24" t="str">
        <f t="shared" si="4"/>
        <v>abril</v>
      </c>
      <c r="C157" s="37">
        <v>46127.0</v>
      </c>
      <c r="D157" s="5" t="s">
        <v>93</v>
      </c>
      <c r="E157" s="5">
        <v>90.0</v>
      </c>
      <c r="F157" s="5">
        <v>56.0</v>
      </c>
      <c r="G157" s="5">
        <v>0.0</v>
      </c>
      <c r="H157" s="5">
        <v>0.0</v>
      </c>
      <c r="J157" s="22" t="str">
        <f t="shared" si="29"/>
        <v>miércoles</v>
      </c>
      <c r="K157" s="24" t="str">
        <f t="shared" si="30"/>
        <v>abril</v>
      </c>
      <c r="L157" s="37">
        <v>46127.0</v>
      </c>
      <c r="M157" s="5" t="s">
        <v>93</v>
      </c>
      <c r="N157" s="5">
        <v>90.0</v>
      </c>
      <c r="O157" s="5">
        <v>56.0</v>
      </c>
      <c r="P157" s="5">
        <v>0.0</v>
      </c>
      <c r="Q157" s="5">
        <v>0.0</v>
      </c>
    </row>
    <row r="158" ht="15.75" customHeight="1">
      <c r="A158" s="22" t="str">
        <f t="shared" si="3"/>
        <v>miércoles</v>
      </c>
      <c r="B158" s="24" t="str">
        <f t="shared" si="4"/>
        <v>abril</v>
      </c>
      <c r="C158" s="37">
        <v>46127.0</v>
      </c>
      <c r="D158" s="28" t="s">
        <v>58</v>
      </c>
      <c r="E158" s="5">
        <v>115.0</v>
      </c>
      <c r="F158" s="5">
        <v>50.0</v>
      </c>
      <c r="G158" s="5">
        <v>5.0</v>
      </c>
      <c r="H158" s="5">
        <v>12.0</v>
      </c>
      <c r="J158" s="22" t="str">
        <f t="shared" si="29"/>
        <v>miércoles</v>
      </c>
      <c r="K158" s="24" t="str">
        <f t="shared" si="30"/>
        <v>abril</v>
      </c>
      <c r="L158" s="37">
        <v>46127.0</v>
      </c>
      <c r="M158" s="28" t="s">
        <v>58</v>
      </c>
      <c r="N158" s="5">
        <v>115.0</v>
      </c>
      <c r="O158" s="5">
        <v>50.0</v>
      </c>
      <c r="P158" s="5">
        <v>5.0</v>
      </c>
      <c r="Q158" s="5">
        <v>12.0</v>
      </c>
    </row>
    <row r="159" ht="15.75" customHeight="1">
      <c r="A159" s="22" t="str">
        <f t="shared" si="3"/>
        <v>miércoles</v>
      </c>
      <c r="B159" s="24" t="str">
        <f t="shared" si="4"/>
        <v>abril</v>
      </c>
      <c r="C159" s="37">
        <v>46127.0</v>
      </c>
      <c r="D159" s="28" t="s">
        <v>64</v>
      </c>
      <c r="E159" s="5">
        <v>98.0</v>
      </c>
      <c r="F159" s="5">
        <v>57.0</v>
      </c>
      <c r="G159" s="5">
        <v>11.0</v>
      </c>
      <c r="H159" s="5">
        <v>2.0</v>
      </c>
      <c r="J159" s="22" t="str">
        <f t="shared" si="29"/>
        <v>miércoles</v>
      </c>
      <c r="K159" s="24" t="str">
        <f t="shared" si="30"/>
        <v>abril</v>
      </c>
      <c r="L159" s="37">
        <v>46127.0</v>
      </c>
      <c r="M159" s="28" t="s">
        <v>64</v>
      </c>
      <c r="N159" s="5">
        <v>98.0</v>
      </c>
      <c r="O159" s="5">
        <v>57.0</v>
      </c>
      <c r="P159" s="5">
        <v>11.0</v>
      </c>
      <c r="Q159" s="5">
        <v>2.0</v>
      </c>
    </row>
    <row r="160" ht="15.75" customHeight="1">
      <c r="A160" s="22" t="str">
        <f t="shared" si="3"/>
        <v>miércoles</v>
      </c>
      <c r="B160" s="24" t="str">
        <f t="shared" si="4"/>
        <v>abril</v>
      </c>
      <c r="C160" s="37">
        <v>46127.0</v>
      </c>
      <c r="D160" s="28" t="s">
        <v>65</v>
      </c>
      <c r="E160" s="5">
        <v>65.0</v>
      </c>
      <c r="F160" s="5">
        <v>55.0</v>
      </c>
      <c r="G160" s="5">
        <v>4.0</v>
      </c>
      <c r="H160" s="5">
        <v>5.0</v>
      </c>
      <c r="J160" s="22" t="str">
        <f t="shared" si="29"/>
        <v>miércoles</v>
      </c>
      <c r="K160" s="24" t="str">
        <f t="shared" si="30"/>
        <v>abril</v>
      </c>
      <c r="L160" s="37">
        <v>46127.0</v>
      </c>
      <c r="M160" s="28" t="s">
        <v>65</v>
      </c>
      <c r="N160" s="5">
        <v>65.0</v>
      </c>
      <c r="O160" s="5">
        <v>55.0</v>
      </c>
      <c r="P160" s="5">
        <v>4.0</v>
      </c>
      <c r="Q160" s="5">
        <v>5.0</v>
      </c>
    </row>
    <row r="161" ht="15.75" customHeight="1">
      <c r="A161" s="22" t="str">
        <f t="shared" si="3"/>
        <v>miércoles</v>
      </c>
      <c r="B161" s="24" t="str">
        <f t="shared" si="4"/>
        <v>abril</v>
      </c>
      <c r="C161" s="37">
        <v>46127.0</v>
      </c>
      <c r="D161" s="28" t="s">
        <v>66</v>
      </c>
      <c r="E161" s="5">
        <v>111.0</v>
      </c>
      <c r="F161" s="5">
        <v>102.0</v>
      </c>
      <c r="G161" s="5">
        <v>1.0</v>
      </c>
      <c r="H161" s="5">
        <v>5.0</v>
      </c>
      <c r="J161" s="22" t="str">
        <f t="shared" si="29"/>
        <v>miércoles</v>
      </c>
      <c r="K161" s="24" t="str">
        <f t="shared" si="30"/>
        <v>abril</v>
      </c>
      <c r="L161" s="37">
        <v>46127.0</v>
      </c>
      <c r="M161" s="28" t="s">
        <v>66</v>
      </c>
      <c r="N161" s="5">
        <v>111.0</v>
      </c>
      <c r="O161" s="5">
        <v>102.0</v>
      </c>
      <c r="P161" s="5">
        <v>1.0</v>
      </c>
      <c r="Q161" s="5">
        <v>5.0</v>
      </c>
    </row>
    <row r="162" ht="15.75" customHeight="1">
      <c r="A162" s="22" t="str">
        <f t="shared" si="3"/>
        <v>jueves</v>
      </c>
      <c r="B162" s="24" t="str">
        <f t="shared" si="4"/>
        <v>abril</v>
      </c>
      <c r="C162" s="37">
        <v>46128.0</v>
      </c>
      <c r="D162" s="5" t="s">
        <v>107</v>
      </c>
      <c r="E162" s="5">
        <v>102.0</v>
      </c>
      <c r="F162" s="5">
        <v>57.0</v>
      </c>
      <c r="G162" s="5">
        <v>0.0</v>
      </c>
      <c r="H162" s="5">
        <v>0.0</v>
      </c>
      <c r="J162" s="22" t="str">
        <f t="shared" si="29"/>
        <v>jueves</v>
      </c>
      <c r="K162" s="24" t="str">
        <f t="shared" si="30"/>
        <v>abril</v>
      </c>
      <c r="L162" s="37">
        <v>46128.0</v>
      </c>
      <c r="M162" s="5" t="s">
        <v>107</v>
      </c>
      <c r="N162" s="5">
        <v>102.0</v>
      </c>
      <c r="O162" s="5">
        <v>57.0</v>
      </c>
      <c r="P162" s="5">
        <v>0.0</v>
      </c>
      <c r="Q162" s="5">
        <v>0.0</v>
      </c>
    </row>
    <row r="163" ht="15.75" customHeight="1">
      <c r="A163" s="22" t="str">
        <f t="shared" si="3"/>
        <v>jueves</v>
      </c>
      <c r="B163" s="24" t="str">
        <f t="shared" si="4"/>
        <v>abril</v>
      </c>
      <c r="C163" s="37">
        <v>46128.0</v>
      </c>
      <c r="D163" s="28" t="s">
        <v>40</v>
      </c>
      <c r="E163" s="5">
        <v>56.0</v>
      </c>
      <c r="F163" s="5">
        <v>31.0</v>
      </c>
      <c r="G163" s="5">
        <v>2.0</v>
      </c>
      <c r="H163" s="5">
        <v>7.0</v>
      </c>
      <c r="J163" s="22" t="str">
        <f t="shared" si="29"/>
        <v>jueves</v>
      </c>
      <c r="K163" s="24" t="str">
        <f t="shared" si="30"/>
        <v>abril</v>
      </c>
      <c r="L163" s="37">
        <v>46128.0</v>
      </c>
      <c r="M163" s="28" t="s">
        <v>40</v>
      </c>
      <c r="N163" s="5">
        <v>56.0</v>
      </c>
      <c r="O163" s="5">
        <v>31.0</v>
      </c>
      <c r="P163" s="5">
        <v>2.0</v>
      </c>
      <c r="Q163" s="5">
        <v>7.0</v>
      </c>
    </row>
    <row r="164" ht="15.75" customHeight="1">
      <c r="A164" s="22" t="str">
        <f t="shared" si="3"/>
        <v>jueves</v>
      </c>
      <c r="B164" s="24" t="str">
        <f t="shared" si="4"/>
        <v>abril</v>
      </c>
      <c r="C164" s="37">
        <v>46128.0</v>
      </c>
      <c r="D164" s="28" t="s">
        <v>41</v>
      </c>
      <c r="E164" s="5">
        <v>71.0</v>
      </c>
      <c r="F164" s="5">
        <v>53.0</v>
      </c>
      <c r="G164" s="5">
        <v>0.0</v>
      </c>
      <c r="H164" s="5">
        <v>0.0</v>
      </c>
      <c r="J164" s="22" t="str">
        <f t="shared" si="29"/>
        <v>jueves</v>
      </c>
      <c r="K164" s="24" t="str">
        <f t="shared" si="30"/>
        <v>abril</v>
      </c>
      <c r="L164" s="37">
        <v>46128.0</v>
      </c>
      <c r="M164" s="28" t="s">
        <v>41</v>
      </c>
      <c r="N164" s="5">
        <v>71.0</v>
      </c>
      <c r="O164" s="5">
        <v>53.0</v>
      </c>
      <c r="P164" s="5">
        <v>0.0</v>
      </c>
      <c r="Q164" s="5">
        <v>0.0</v>
      </c>
    </row>
    <row r="165" ht="15.75" customHeight="1">
      <c r="A165" s="22" t="str">
        <f t="shared" si="3"/>
        <v>jueves</v>
      </c>
      <c r="B165" s="24" t="str">
        <f t="shared" si="4"/>
        <v>abril</v>
      </c>
      <c r="C165" s="37">
        <v>46128.0</v>
      </c>
      <c r="D165" s="28" t="s">
        <v>42</v>
      </c>
      <c r="E165" s="5">
        <v>64.0</v>
      </c>
      <c r="F165" s="5">
        <v>28.0</v>
      </c>
      <c r="G165" s="5">
        <v>4.0</v>
      </c>
      <c r="H165" s="5">
        <v>8.0</v>
      </c>
      <c r="J165" s="22" t="str">
        <f t="shared" si="29"/>
        <v>jueves</v>
      </c>
      <c r="K165" s="24" t="str">
        <f t="shared" si="30"/>
        <v>abril</v>
      </c>
      <c r="L165" s="37">
        <v>46128.0</v>
      </c>
      <c r="M165" s="28" t="s">
        <v>42</v>
      </c>
      <c r="N165" s="5">
        <v>64.0</v>
      </c>
      <c r="O165" s="5">
        <v>28.0</v>
      </c>
      <c r="P165" s="5">
        <v>4.0</v>
      </c>
      <c r="Q165" s="5">
        <v>8.0</v>
      </c>
    </row>
    <row r="166" ht="15.75" customHeight="1">
      <c r="A166" s="22" t="str">
        <f t="shared" si="3"/>
        <v>jueves</v>
      </c>
      <c r="B166" s="24" t="str">
        <f t="shared" si="4"/>
        <v>abril</v>
      </c>
      <c r="C166" s="37">
        <v>46128.0</v>
      </c>
      <c r="D166" s="5" t="s">
        <v>117</v>
      </c>
      <c r="E166" s="5">
        <v>116.0</v>
      </c>
      <c r="F166" s="5">
        <v>52.0</v>
      </c>
      <c r="G166" s="5">
        <v>0.0</v>
      </c>
      <c r="H166" s="5">
        <v>0.0</v>
      </c>
      <c r="J166" s="22" t="str">
        <f t="shared" si="29"/>
        <v>jueves</v>
      </c>
      <c r="K166" s="24" t="str">
        <f t="shared" si="30"/>
        <v>abril</v>
      </c>
      <c r="L166" s="37">
        <v>46128.0</v>
      </c>
      <c r="M166" s="5" t="s">
        <v>117</v>
      </c>
      <c r="N166" s="5">
        <v>116.0</v>
      </c>
      <c r="O166" s="5">
        <v>52.0</v>
      </c>
      <c r="P166" s="5">
        <v>0.0</v>
      </c>
      <c r="Q166" s="5">
        <v>0.0</v>
      </c>
    </row>
    <row r="167" ht="15.75" customHeight="1">
      <c r="A167" s="22" t="str">
        <f t="shared" si="3"/>
        <v>jueves</v>
      </c>
      <c r="B167" s="24" t="str">
        <f t="shared" si="4"/>
        <v>abril</v>
      </c>
      <c r="C167" s="37">
        <v>46128.0</v>
      </c>
      <c r="D167" s="28" t="s">
        <v>51</v>
      </c>
      <c r="E167" s="5">
        <v>24.0</v>
      </c>
      <c r="F167" s="5">
        <v>21.0</v>
      </c>
      <c r="G167" s="5">
        <v>0.0</v>
      </c>
      <c r="H167" s="5">
        <v>8.0</v>
      </c>
      <c r="J167" s="22" t="str">
        <f t="shared" si="29"/>
        <v>jueves</v>
      </c>
      <c r="K167" s="24" t="str">
        <f t="shared" si="30"/>
        <v>abril</v>
      </c>
      <c r="L167" s="37">
        <v>46128.0</v>
      </c>
      <c r="M167" s="28" t="s">
        <v>51</v>
      </c>
      <c r="N167" s="5">
        <v>24.0</v>
      </c>
      <c r="O167" s="5">
        <v>21.0</v>
      </c>
      <c r="P167" s="5">
        <v>0.0</v>
      </c>
      <c r="Q167" s="5">
        <v>8.0</v>
      </c>
    </row>
    <row r="168" ht="15.75" customHeight="1">
      <c r="A168" s="22" t="str">
        <f t="shared" si="3"/>
        <v>jueves</v>
      </c>
      <c r="B168" s="24" t="str">
        <f t="shared" si="4"/>
        <v>abril</v>
      </c>
      <c r="C168" s="37">
        <v>46128.0</v>
      </c>
      <c r="D168" s="5" t="s">
        <v>89</v>
      </c>
      <c r="E168" s="5">
        <v>14.0</v>
      </c>
      <c r="F168" s="5">
        <v>7.0</v>
      </c>
      <c r="G168" s="5">
        <v>0.0</v>
      </c>
      <c r="H168" s="5">
        <v>0.0</v>
      </c>
      <c r="J168" s="22" t="str">
        <f t="shared" si="29"/>
        <v>jueves</v>
      </c>
      <c r="K168" s="24" t="str">
        <f t="shared" si="30"/>
        <v>abril</v>
      </c>
      <c r="L168" s="37">
        <v>46128.0</v>
      </c>
      <c r="M168" s="5" t="s">
        <v>89</v>
      </c>
      <c r="N168" s="5">
        <v>14.0</v>
      </c>
      <c r="O168" s="5">
        <v>7.0</v>
      </c>
      <c r="P168" s="5">
        <v>0.0</v>
      </c>
      <c r="Q168" s="5">
        <v>0.0</v>
      </c>
    </row>
    <row r="169" ht="15.75" customHeight="1">
      <c r="A169" s="22" t="str">
        <f t="shared" si="3"/>
        <v>jueves</v>
      </c>
      <c r="B169" s="24" t="str">
        <f t="shared" si="4"/>
        <v>abril</v>
      </c>
      <c r="C169" s="37">
        <v>46128.0</v>
      </c>
      <c r="D169" s="28" t="s">
        <v>67</v>
      </c>
      <c r="E169" s="5">
        <v>80.0</v>
      </c>
      <c r="F169" s="5">
        <v>74.0</v>
      </c>
      <c r="G169" s="5">
        <v>0.0</v>
      </c>
      <c r="H169" s="5">
        <v>0.0</v>
      </c>
      <c r="J169" s="22" t="str">
        <f t="shared" si="29"/>
        <v>jueves</v>
      </c>
      <c r="K169" s="24" t="str">
        <f t="shared" si="30"/>
        <v>abril</v>
      </c>
      <c r="L169" s="37">
        <v>46128.0</v>
      </c>
      <c r="M169" s="28" t="s">
        <v>67</v>
      </c>
      <c r="N169" s="5">
        <v>80.0</v>
      </c>
      <c r="O169" s="5">
        <v>74.0</v>
      </c>
      <c r="P169" s="5">
        <v>0.0</v>
      </c>
      <c r="Q169" s="5">
        <v>0.0</v>
      </c>
    </row>
    <row r="170" ht="15.75" customHeight="1">
      <c r="A170" s="22" t="str">
        <f t="shared" si="3"/>
        <v>jueves</v>
      </c>
      <c r="B170" s="24" t="str">
        <f t="shared" si="4"/>
        <v>abril</v>
      </c>
      <c r="C170" s="37">
        <v>46128.0</v>
      </c>
      <c r="D170" s="28" t="s">
        <v>58</v>
      </c>
      <c r="E170" s="5">
        <v>65.0</v>
      </c>
      <c r="F170" s="5">
        <v>25.0</v>
      </c>
      <c r="G170" s="5">
        <v>0.0</v>
      </c>
      <c r="H170" s="5">
        <v>5.0</v>
      </c>
      <c r="J170" s="22" t="str">
        <f t="shared" si="29"/>
        <v>jueves</v>
      </c>
      <c r="K170" s="24" t="str">
        <f t="shared" si="30"/>
        <v>abril</v>
      </c>
      <c r="L170" s="37">
        <v>46128.0</v>
      </c>
      <c r="M170" s="28" t="s">
        <v>58</v>
      </c>
      <c r="N170" s="5">
        <v>65.0</v>
      </c>
      <c r="O170" s="5">
        <v>25.0</v>
      </c>
      <c r="P170" s="5">
        <v>0.0</v>
      </c>
      <c r="Q170" s="5">
        <v>5.0</v>
      </c>
    </row>
    <row r="171" ht="15.75" customHeight="1">
      <c r="A171" s="22" t="str">
        <f t="shared" si="3"/>
        <v>jueves</v>
      </c>
      <c r="B171" s="24" t="str">
        <f t="shared" si="4"/>
        <v>abril</v>
      </c>
      <c r="C171" s="37">
        <v>46128.0</v>
      </c>
      <c r="D171" s="28" t="s">
        <v>53</v>
      </c>
      <c r="E171" s="5">
        <v>36.0</v>
      </c>
      <c r="F171" s="5">
        <v>27.0</v>
      </c>
      <c r="G171" s="5">
        <v>1.0</v>
      </c>
      <c r="H171" s="5">
        <v>0.0</v>
      </c>
      <c r="J171" s="22" t="str">
        <f t="shared" si="29"/>
        <v>jueves</v>
      </c>
      <c r="K171" s="24" t="str">
        <f t="shared" si="30"/>
        <v>abril</v>
      </c>
      <c r="L171" s="37">
        <v>46128.0</v>
      </c>
      <c r="M171" s="28" t="s">
        <v>53</v>
      </c>
      <c r="N171" s="5">
        <v>36.0</v>
      </c>
      <c r="O171" s="5">
        <v>27.0</v>
      </c>
      <c r="P171" s="5">
        <v>1.0</v>
      </c>
      <c r="Q171" s="5">
        <v>0.0</v>
      </c>
    </row>
    <row r="172" ht="15.75" customHeight="1">
      <c r="A172" s="22" t="str">
        <f t="shared" si="3"/>
        <v>jueves</v>
      </c>
      <c r="B172" s="24" t="str">
        <f t="shared" si="4"/>
        <v>abril</v>
      </c>
      <c r="C172" s="37">
        <v>46128.0</v>
      </c>
      <c r="D172" s="28" t="s">
        <v>64</v>
      </c>
      <c r="E172" s="5">
        <v>120.0</v>
      </c>
      <c r="F172" s="5">
        <v>77.0</v>
      </c>
      <c r="G172" s="5">
        <v>4.0</v>
      </c>
      <c r="H172" s="5">
        <v>11.0</v>
      </c>
      <c r="J172" s="22" t="str">
        <f t="shared" si="29"/>
        <v>jueves</v>
      </c>
      <c r="K172" s="24" t="str">
        <f t="shared" si="30"/>
        <v>abril</v>
      </c>
      <c r="L172" s="37">
        <v>46128.0</v>
      </c>
      <c r="M172" s="28" t="s">
        <v>64</v>
      </c>
      <c r="N172" s="5">
        <v>120.0</v>
      </c>
      <c r="O172" s="5">
        <v>77.0</v>
      </c>
      <c r="P172" s="5">
        <v>4.0</v>
      </c>
      <c r="Q172" s="5">
        <v>11.0</v>
      </c>
    </row>
    <row r="173" ht="15.75" customHeight="1">
      <c r="A173" s="22" t="str">
        <f t="shared" si="3"/>
        <v>jueves</v>
      </c>
      <c r="B173" s="24" t="str">
        <f t="shared" si="4"/>
        <v>abril</v>
      </c>
      <c r="C173" s="37">
        <v>46128.0</v>
      </c>
      <c r="D173" s="28" t="s">
        <v>65</v>
      </c>
      <c r="E173" s="5">
        <v>61.0</v>
      </c>
      <c r="F173" s="5">
        <v>49.0</v>
      </c>
      <c r="G173" s="5">
        <v>3.0</v>
      </c>
      <c r="H173" s="5">
        <v>1.0</v>
      </c>
      <c r="J173" s="22" t="str">
        <f t="shared" si="29"/>
        <v>jueves</v>
      </c>
      <c r="K173" s="24" t="str">
        <f t="shared" si="30"/>
        <v>abril</v>
      </c>
      <c r="L173" s="37">
        <v>46128.0</v>
      </c>
      <c r="M173" s="28" t="s">
        <v>65</v>
      </c>
      <c r="N173" s="5">
        <v>61.0</v>
      </c>
      <c r="O173" s="5">
        <v>49.0</v>
      </c>
      <c r="P173" s="5">
        <v>3.0</v>
      </c>
      <c r="Q173" s="5">
        <v>1.0</v>
      </c>
    </row>
    <row r="174" ht="15.75" customHeight="1">
      <c r="A174" s="22" t="str">
        <f t="shared" si="3"/>
        <v>jueves</v>
      </c>
      <c r="B174" s="24" t="str">
        <f t="shared" si="4"/>
        <v>abril</v>
      </c>
      <c r="C174" s="37">
        <v>46128.0</v>
      </c>
      <c r="D174" s="28" t="s">
        <v>66</v>
      </c>
      <c r="E174" s="5">
        <v>105.0</v>
      </c>
      <c r="F174" s="5">
        <v>101.0</v>
      </c>
      <c r="G174" s="5">
        <v>0.0</v>
      </c>
      <c r="H174" s="5">
        <v>0.0</v>
      </c>
      <c r="J174" s="22" t="str">
        <f t="shared" si="29"/>
        <v>jueves</v>
      </c>
      <c r="K174" s="24" t="str">
        <f t="shared" si="30"/>
        <v>abril</v>
      </c>
      <c r="L174" s="37">
        <v>46128.0</v>
      </c>
      <c r="M174" s="28" t="s">
        <v>66</v>
      </c>
      <c r="N174" s="5">
        <v>105.0</v>
      </c>
      <c r="O174" s="5">
        <v>101.0</v>
      </c>
      <c r="P174" s="5">
        <v>0.0</v>
      </c>
      <c r="Q174" s="5">
        <v>0.0</v>
      </c>
    </row>
    <row r="175" ht="15.75" customHeight="1">
      <c r="A175" s="22" t="str">
        <f t="shared" si="3"/>
        <v>viernes</v>
      </c>
      <c r="B175" s="24" t="str">
        <f t="shared" si="4"/>
        <v>abril</v>
      </c>
      <c r="C175" s="37">
        <v>46129.0</v>
      </c>
      <c r="D175" s="28" t="s">
        <v>40</v>
      </c>
      <c r="E175" s="5">
        <v>56.0</v>
      </c>
      <c r="F175" s="5">
        <v>27.0</v>
      </c>
      <c r="G175" s="5">
        <v>3.0</v>
      </c>
      <c r="H175" s="5">
        <v>7.0</v>
      </c>
      <c r="J175" s="22" t="str">
        <f t="shared" si="29"/>
        <v>viernes</v>
      </c>
      <c r="K175" s="24" t="str">
        <f t="shared" si="30"/>
        <v>abril</v>
      </c>
      <c r="L175" s="37">
        <v>46129.0</v>
      </c>
      <c r="M175" s="28" t="s">
        <v>40</v>
      </c>
      <c r="N175" s="5">
        <v>56.0</v>
      </c>
      <c r="O175" s="5">
        <v>27.0</v>
      </c>
      <c r="P175" s="5">
        <v>3.0</v>
      </c>
      <c r="Q175" s="5">
        <v>7.0</v>
      </c>
    </row>
    <row r="176" ht="15.75" customHeight="1">
      <c r="A176" s="22" t="str">
        <f t="shared" si="3"/>
        <v>viernes</v>
      </c>
      <c r="B176" s="24" t="str">
        <f t="shared" si="4"/>
        <v>abril</v>
      </c>
      <c r="C176" s="37">
        <v>46129.0</v>
      </c>
      <c r="D176" s="28" t="s">
        <v>51</v>
      </c>
      <c r="E176" s="5">
        <v>56.0</v>
      </c>
      <c r="F176" s="5">
        <v>48.0</v>
      </c>
      <c r="G176" s="5">
        <v>1.0</v>
      </c>
      <c r="H176" s="5">
        <v>10.0</v>
      </c>
      <c r="J176" s="22" t="str">
        <f t="shared" si="29"/>
        <v>viernes</v>
      </c>
      <c r="K176" s="24" t="str">
        <f t="shared" si="30"/>
        <v>abril</v>
      </c>
      <c r="L176" s="37">
        <v>46129.0</v>
      </c>
      <c r="M176" s="28" t="s">
        <v>51</v>
      </c>
      <c r="N176" s="5">
        <v>56.0</v>
      </c>
      <c r="O176" s="5">
        <v>48.0</v>
      </c>
      <c r="P176" s="5">
        <v>1.0</v>
      </c>
      <c r="Q176" s="5">
        <v>10.0</v>
      </c>
    </row>
    <row r="177" ht="15.75" customHeight="1">
      <c r="A177" s="22" t="str">
        <f t="shared" si="3"/>
        <v>viernes</v>
      </c>
      <c r="B177" s="24" t="str">
        <f t="shared" si="4"/>
        <v>abril</v>
      </c>
      <c r="C177" s="37">
        <v>46129.0</v>
      </c>
      <c r="D177" s="28" t="s">
        <v>58</v>
      </c>
      <c r="E177" s="5">
        <v>54.0</v>
      </c>
      <c r="F177" s="5">
        <v>32.0</v>
      </c>
      <c r="G177" s="5">
        <v>4.0</v>
      </c>
      <c r="H177" s="5">
        <v>4.0</v>
      </c>
      <c r="J177" s="22" t="str">
        <f t="shared" si="29"/>
        <v>viernes</v>
      </c>
      <c r="K177" s="24" t="str">
        <f t="shared" si="30"/>
        <v>abril</v>
      </c>
      <c r="L177" s="37">
        <v>46129.0</v>
      </c>
      <c r="M177" s="28" t="s">
        <v>58</v>
      </c>
      <c r="N177" s="5">
        <v>54.0</v>
      </c>
      <c r="O177" s="5">
        <v>32.0</v>
      </c>
      <c r="P177" s="5">
        <v>4.0</v>
      </c>
      <c r="Q177" s="5">
        <v>4.0</v>
      </c>
    </row>
    <row r="178" ht="15.75" customHeight="1">
      <c r="A178" s="22" t="str">
        <f t="shared" si="3"/>
        <v>viernes</v>
      </c>
      <c r="B178" s="24" t="str">
        <f t="shared" si="4"/>
        <v>abril</v>
      </c>
      <c r="C178" s="37">
        <v>46129.0</v>
      </c>
      <c r="D178" s="28" t="s">
        <v>53</v>
      </c>
      <c r="E178" s="5">
        <v>53.0</v>
      </c>
      <c r="F178" s="5">
        <v>34.0</v>
      </c>
      <c r="G178" s="5">
        <v>0.0</v>
      </c>
      <c r="H178" s="5">
        <v>2.0</v>
      </c>
      <c r="J178" s="22" t="str">
        <f t="shared" si="29"/>
        <v>viernes</v>
      </c>
      <c r="K178" s="24" t="str">
        <f t="shared" si="30"/>
        <v>abril</v>
      </c>
      <c r="L178" s="37">
        <v>46129.0</v>
      </c>
      <c r="M178" s="28" t="s">
        <v>53</v>
      </c>
      <c r="N178" s="5">
        <v>53.0</v>
      </c>
      <c r="O178" s="5">
        <v>34.0</v>
      </c>
      <c r="P178" s="5">
        <v>0.0</v>
      </c>
      <c r="Q178" s="5">
        <v>2.0</v>
      </c>
    </row>
    <row r="179" ht="15.75" customHeight="1">
      <c r="A179" s="22" t="str">
        <f t="shared" si="3"/>
        <v>viernes</v>
      </c>
      <c r="B179" s="24" t="str">
        <f t="shared" si="4"/>
        <v>abril</v>
      </c>
      <c r="C179" s="37">
        <v>46129.0</v>
      </c>
      <c r="D179" s="28" t="s">
        <v>64</v>
      </c>
      <c r="E179" s="5">
        <v>106.0</v>
      </c>
      <c r="F179" s="5">
        <v>54.0</v>
      </c>
      <c r="G179" s="5">
        <v>4.0</v>
      </c>
      <c r="H179" s="5">
        <v>9.0</v>
      </c>
      <c r="J179" s="22" t="str">
        <f t="shared" si="29"/>
        <v>viernes</v>
      </c>
      <c r="K179" s="24" t="str">
        <f t="shared" si="30"/>
        <v>abril</v>
      </c>
      <c r="L179" s="37">
        <v>46129.0</v>
      </c>
      <c r="M179" s="28" t="s">
        <v>64</v>
      </c>
      <c r="N179" s="5">
        <v>106.0</v>
      </c>
      <c r="O179" s="5">
        <v>54.0</v>
      </c>
      <c r="P179" s="5">
        <v>4.0</v>
      </c>
      <c r="Q179" s="5">
        <v>9.0</v>
      </c>
    </row>
    <row r="180" ht="15.75" customHeight="1">
      <c r="A180" s="22" t="str">
        <f t="shared" si="3"/>
        <v>viernes</v>
      </c>
      <c r="B180" s="24" t="str">
        <f t="shared" si="4"/>
        <v>abril</v>
      </c>
      <c r="C180" s="37">
        <v>46129.0</v>
      </c>
      <c r="D180" s="28" t="s">
        <v>65</v>
      </c>
      <c r="E180" s="5">
        <v>91.0</v>
      </c>
      <c r="F180" s="5">
        <v>73.0</v>
      </c>
      <c r="G180" s="5">
        <v>4.0</v>
      </c>
      <c r="H180" s="5">
        <v>1.0</v>
      </c>
      <c r="J180" s="22" t="str">
        <f t="shared" si="29"/>
        <v>viernes</v>
      </c>
      <c r="K180" s="24" t="str">
        <f t="shared" si="30"/>
        <v>abril</v>
      </c>
      <c r="L180" s="37">
        <v>46129.0</v>
      </c>
      <c r="M180" s="28" t="s">
        <v>65</v>
      </c>
      <c r="N180" s="5">
        <v>91.0</v>
      </c>
      <c r="O180" s="5">
        <v>73.0</v>
      </c>
      <c r="P180" s="5">
        <v>4.0</v>
      </c>
      <c r="Q180" s="5">
        <v>1.0</v>
      </c>
    </row>
    <row r="181" ht="15.75" customHeight="1">
      <c r="A181" s="22" t="str">
        <f t="shared" si="3"/>
        <v>viernes</v>
      </c>
      <c r="B181" s="24" t="str">
        <f t="shared" si="4"/>
        <v>abril</v>
      </c>
      <c r="C181" s="37">
        <v>46129.0</v>
      </c>
      <c r="D181" s="28" t="s">
        <v>66</v>
      </c>
      <c r="E181" s="5">
        <v>126.0</v>
      </c>
      <c r="F181" s="5">
        <v>87.0</v>
      </c>
      <c r="G181" s="5">
        <v>0.0</v>
      </c>
      <c r="H181" s="5">
        <v>5.0</v>
      </c>
      <c r="J181" s="22" t="str">
        <f t="shared" si="29"/>
        <v>viernes</v>
      </c>
      <c r="K181" s="24" t="str">
        <f t="shared" si="30"/>
        <v>abril</v>
      </c>
      <c r="L181" s="37">
        <v>46129.0</v>
      </c>
      <c r="M181" s="28" t="s">
        <v>66</v>
      </c>
      <c r="N181" s="5">
        <v>126.0</v>
      </c>
      <c r="O181" s="5">
        <v>87.0</v>
      </c>
      <c r="P181" s="5">
        <v>0.0</v>
      </c>
      <c r="Q181" s="5">
        <v>5.0</v>
      </c>
    </row>
    <row r="182" ht="15.75" customHeight="1">
      <c r="A182" s="22" t="str">
        <f t="shared" si="3"/>
        <v>sábado</v>
      </c>
      <c r="B182" s="24" t="str">
        <f t="shared" si="4"/>
        <v>abril</v>
      </c>
      <c r="C182" s="37">
        <v>46130.0</v>
      </c>
      <c r="D182" s="28" t="s">
        <v>40</v>
      </c>
      <c r="E182" s="5">
        <v>61.0</v>
      </c>
      <c r="F182" s="5">
        <v>33.0</v>
      </c>
      <c r="G182" s="5">
        <v>2.0</v>
      </c>
      <c r="H182" s="5">
        <v>9.0</v>
      </c>
    </row>
    <row r="183" ht="15.75" customHeight="1">
      <c r="A183" s="22" t="str">
        <f t="shared" si="3"/>
        <v>sábado</v>
      </c>
      <c r="B183" s="24" t="str">
        <f t="shared" si="4"/>
        <v>abril</v>
      </c>
      <c r="C183" s="37">
        <v>46130.0</v>
      </c>
      <c r="D183" s="5" t="s">
        <v>43</v>
      </c>
      <c r="E183" s="5">
        <v>48.0</v>
      </c>
      <c r="F183" s="5">
        <v>25.0</v>
      </c>
      <c r="G183" s="5">
        <v>4.0</v>
      </c>
      <c r="H183" s="5">
        <v>5.0</v>
      </c>
    </row>
    <row r="184" ht="15.75" customHeight="1">
      <c r="A184" s="22" t="str">
        <f t="shared" si="3"/>
        <v>sábado</v>
      </c>
      <c r="B184" s="24" t="str">
        <f t="shared" si="4"/>
        <v>abril</v>
      </c>
      <c r="C184" s="37">
        <v>46130.0</v>
      </c>
      <c r="D184" s="28" t="s">
        <v>51</v>
      </c>
      <c r="E184" s="5">
        <v>64.0</v>
      </c>
      <c r="F184" s="5">
        <v>61.0</v>
      </c>
      <c r="G184" s="5">
        <v>3.0</v>
      </c>
      <c r="H184" s="5">
        <v>4.0</v>
      </c>
    </row>
    <row r="185" ht="15.75" customHeight="1">
      <c r="A185" s="22" t="str">
        <f t="shared" si="3"/>
        <v>sábado</v>
      </c>
      <c r="B185" s="24" t="str">
        <f t="shared" si="4"/>
        <v>abril</v>
      </c>
      <c r="C185" s="37">
        <v>46130.0</v>
      </c>
      <c r="D185" s="28" t="s">
        <v>59</v>
      </c>
      <c r="E185" s="5">
        <v>149.0</v>
      </c>
      <c r="F185" s="5">
        <v>102.0</v>
      </c>
      <c r="G185" s="5">
        <v>1.0</v>
      </c>
      <c r="H185" s="5">
        <v>0.0</v>
      </c>
    </row>
    <row r="186" ht="15.75" customHeight="1">
      <c r="A186" s="22" t="str">
        <f t="shared" si="3"/>
        <v>sábado</v>
      </c>
      <c r="B186" s="24" t="str">
        <f t="shared" si="4"/>
        <v>abril</v>
      </c>
      <c r="C186" s="37">
        <v>46130.0</v>
      </c>
      <c r="D186" s="28" t="s">
        <v>52</v>
      </c>
      <c r="E186" s="5">
        <v>40.0</v>
      </c>
      <c r="F186" s="5">
        <v>26.0</v>
      </c>
      <c r="G186" s="5">
        <v>4.0</v>
      </c>
      <c r="H186" s="5">
        <v>7.0</v>
      </c>
    </row>
    <row r="187" ht="15.75" customHeight="1">
      <c r="A187" s="22" t="str">
        <f t="shared" si="3"/>
        <v>sábado</v>
      </c>
      <c r="B187" s="24" t="str">
        <f t="shared" si="4"/>
        <v>abril</v>
      </c>
      <c r="C187" s="37">
        <v>46130.0</v>
      </c>
      <c r="D187" s="28" t="s">
        <v>53</v>
      </c>
      <c r="E187" s="5">
        <v>64.0</v>
      </c>
      <c r="F187" s="5">
        <v>23.0</v>
      </c>
      <c r="G187" s="5">
        <v>2.0</v>
      </c>
      <c r="H187" s="5">
        <v>0.0</v>
      </c>
    </row>
    <row r="188" ht="15.75" customHeight="1">
      <c r="A188" s="22" t="str">
        <f t="shared" si="3"/>
        <v>sábado</v>
      </c>
      <c r="B188" s="24" t="str">
        <f t="shared" si="4"/>
        <v>abril</v>
      </c>
      <c r="C188" s="37">
        <v>46130.0</v>
      </c>
      <c r="D188" s="28" t="s">
        <v>60</v>
      </c>
      <c r="E188" s="5">
        <v>128.0</v>
      </c>
      <c r="F188" s="5">
        <v>74.0</v>
      </c>
      <c r="G188" s="5">
        <v>3.0</v>
      </c>
      <c r="H188" s="5">
        <v>4.0</v>
      </c>
    </row>
    <row r="189" ht="15.75" customHeight="1">
      <c r="A189" s="22" t="str">
        <f t="shared" si="3"/>
        <v>domingo</v>
      </c>
      <c r="B189" s="24" t="str">
        <f t="shared" si="4"/>
        <v>abril</v>
      </c>
      <c r="C189" s="37">
        <v>46131.0</v>
      </c>
      <c r="D189" s="28" t="s">
        <v>39</v>
      </c>
      <c r="E189" s="5">
        <v>103.0</v>
      </c>
      <c r="F189" s="5">
        <v>61.0</v>
      </c>
      <c r="G189" s="5">
        <v>5.0</v>
      </c>
      <c r="H189" s="5">
        <v>0.0</v>
      </c>
    </row>
    <row r="190" ht="15.75" customHeight="1">
      <c r="A190" s="22" t="str">
        <f t="shared" si="3"/>
        <v>domingo</v>
      </c>
      <c r="B190" s="24" t="str">
        <f t="shared" si="4"/>
        <v>abril</v>
      </c>
      <c r="C190" s="37">
        <v>46131.0</v>
      </c>
      <c r="D190" s="28" t="s">
        <v>40</v>
      </c>
      <c r="E190" s="5">
        <v>82.0</v>
      </c>
      <c r="F190" s="5">
        <v>43.0</v>
      </c>
      <c r="G190" s="5">
        <v>4.0</v>
      </c>
      <c r="H190" s="5">
        <v>6.0</v>
      </c>
    </row>
    <row r="191" ht="15.75" customHeight="1">
      <c r="A191" s="22" t="str">
        <f t="shared" si="3"/>
        <v>domingo</v>
      </c>
      <c r="B191" s="24" t="str">
        <f t="shared" si="4"/>
        <v>abril</v>
      </c>
      <c r="C191" s="37">
        <v>46131.0</v>
      </c>
      <c r="D191" s="5" t="s">
        <v>43</v>
      </c>
      <c r="E191" s="5">
        <v>71.0</v>
      </c>
      <c r="F191" s="5">
        <v>30.0</v>
      </c>
      <c r="G191" s="5">
        <v>4.0</v>
      </c>
      <c r="H191" s="5">
        <v>13.0</v>
      </c>
    </row>
    <row r="192" ht="15.75" customHeight="1">
      <c r="A192" s="22" t="str">
        <f t="shared" si="3"/>
        <v>domingo</v>
      </c>
      <c r="B192" s="24" t="str">
        <f t="shared" si="4"/>
        <v>abril</v>
      </c>
      <c r="C192" s="37">
        <v>46131.0</v>
      </c>
      <c r="D192" s="28" t="s">
        <v>59</v>
      </c>
      <c r="E192" s="5">
        <v>159.0</v>
      </c>
      <c r="F192" s="5">
        <v>144.0</v>
      </c>
      <c r="G192" s="5">
        <v>1.0</v>
      </c>
      <c r="H192" s="5">
        <v>2.0</v>
      </c>
    </row>
    <row r="193" ht="15.75" customHeight="1">
      <c r="A193" s="22" t="str">
        <f t="shared" si="3"/>
        <v>domingo</v>
      </c>
      <c r="B193" s="24" t="str">
        <f t="shared" si="4"/>
        <v>abril</v>
      </c>
      <c r="C193" s="37">
        <v>46131.0</v>
      </c>
      <c r="D193" s="28" t="s">
        <v>52</v>
      </c>
      <c r="E193" s="5">
        <v>53.0</v>
      </c>
      <c r="F193" s="5">
        <v>38.0</v>
      </c>
      <c r="G193" s="5">
        <v>5.0</v>
      </c>
      <c r="H193" s="5">
        <v>2.0</v>
      </c>
    </row>
    <row r="194" ht="15.75" customHeight="1">
      <c r="A194" s="22" t="str">
        <f t="shared" si="3"/>
        <v>domingo</v>
      </c>
      <c r="B194" s="24" t="str">
        <f t="shared" si="4"/>
        <v>abril</v>
      </c>
      <c r="C194" s="37">
        <v>46131.0</v>
      </c>
      <c r="D194" s="28" t="s">
        <v>53</v>
      </c>
      <c r="E194" s="5">
        <v>81.0</v>
      </c>
      <c r="F194" s="5">
        <v>40.0</v>
      </c>
      <c r="G194" s="5">
        <v>3.0</v>
      </c>
      <c r="H194" s="5">
        <v>4.0</v>
      </c>
    </row>
    <row r="195" ht="15.75" customHeight="1">
      <c r="A195" s="22" t="str">
        <f t="shared" si="3"/>
        <v>domingo</v>
      </c>
      <c r="B195" s="24" t="str">
        <f t="shared" si="4"/>
        <v>abril</v>
      </c>
      <c r="C195" s="37">
        <v>46131.0</v>
      </c>
      <c r="D195" s="28" t="s">
        <v>60</v>
      </c>
      <c r="E195" s="5">
        <v>137.0</v>
      </c>
      <c r="F195" s="5">
        <v>57.0</v>
      </c>
      <c r="G195" s="5">
        <v>4.0</v>
      </c>
      <c r="H195" s="5">
        <v>1.0</v>
      </c>
    </row>
    <row r="196" ht="15.75" customHeight="1">
      <c r="A196" s="22" t="str">
        <f t="shared" si="3"/>
        <v>lunes</v>
      </c>
      <c r="B196" s="24" t="str">
        <f t="shared" si="4"/>
        <v>abril</v>
      </c>
      <c r="C196" s="37">
        <v>46132.0</v>
      </c>
      <c r="D196" s="28" t="s">
        <v>39</v>
      </c>
      <c r="E196" s="5">
        <v>49.0</v>
      </c>
      <c r="F196" s="5">
        <v>33.0</v>
      </c>
      <c r="G196" s="5">
        <v>1.0</v>
      </c>
      <c r="H196" s="5">
        <v>0.0</v>
      </c>
    </row>
    <row r="197" ht="15.75" customHeight="1">
      <c r="A197" s="22" t="str">
        <f t="shared" si="3"/>
        <v>lunes</v>
      </c>
      <c r="B197" s="24" t="str">
        <f t="shared" si="4"/>
        <v>abril</v>
      </c>
      <c r="C197" s="37">
        <v>46132.0</v>
      </c>
      <c r="D197" s="28" t="s">
        <v>41</v>
      </c>
      <c r="E197" s="5">
        <v>97.0</v>
      </c>
      <c r="F197" s="5">
        <v>75.0</v>
      </c>
      <c r="G197" s="5">
        <v>3.0</v>
      </c>
      <c r="H197" s="5">
        <v>9.0</v>
      </c>
    </row>
    <row r="198" ht="15.75" customHeight="1">
      <c r="A198" s="22" t="str">
        <f t="shared" si="3"/>
        <v>lunes</v>
      </c>
      <c r="B198" s="24" t="str">
        <f t="shared" si="4"/>
        <v>abril</v>
      </c>
      <c r="C198" s="37">
        <v>46132.0</v>
      </c>
      <c r="D198" s="28" t="s">
        <v>42</v>
      </c>
      <c r="E198" s="5">
        <v>64.0</v>
      </c>
      <c r="F198" s="5">
        <v>28.0</v>
      </c>
      <c r="G198" s="5">
        <v>5.0</v>
      </c>
      <c r="H198" s="5">
        <v>3.0</v>
      </c>
    </row>
    <row r="199" ht="15.75" customHeight="1">
      <c r="A199" s="22" t="str">
        <f t="shared" si="3"/>
        <v>lunes</v>
      </c>
      <c r="B199" s="24" t="str">
        <f t="shared" si="4"/>
        <v>abril</v>
      </c>
      <c r="C199" s="37">
        <v>46132.0</v>
      </c>
      <c r="D199" s="28" t="s">
        <v>44</v>
      </c>
      <c r="E199" s="5">
        <v>69.0</v>
      </c>
      <c r="F199" s="5">
        <v>70.0</v>
      </c>
      <c r="G199" s="5">
        <v>0.0</v>
      </c>
      <c r="H199" s="5">
        <v>0.0</v>
      </c>
    </row>
    <row r="200" ht="15.75" customHeight="1">
      <c r="A200" s="22" t="str">
        <f t="shared" si="3"/>
        <v>lunes</v>
      </c>
      <c r="B200" s="24" t="str">
        <f t="shared" si="4"/>
        <v>abril</v>
      </c>
      <c r="C200" s="37">
        <v>46132.0</v>
      </c>
      <c r="D200" s="5" t="s">
        <v>89</v>
      </c>
      <c r="E200" s="5">
        <v>73.0</v>
      </c>
      <c r="F200" s="5">
        <v>31.0</v>
      </c>
      <c r="G200" s="5">
        <v>0.0</v>
      </c>
      <c r="H200" s="5">
        <v>0.0</v>
      </c>
    </row>
    <row r="201" ht="15.75" customHeight="1">
      <c r="A201" s="22" t="str">
        <f t="shared" si="3"/>
        <v>lunes</v>
      </c>
      <c r="B201" s="24" t="str">
        <f t="shared" si="4"/>
        <v>abril</v>
      </c>
      <c r="C201" s="37">
        <v>46132.0</v>
      </c>
      <c r="D201" s="5" t="s">
        <v>90</v>
      </c>
      <c r="E201" s="5">
        <v>83.0</v>
      </c>
      <c r="F201" s="5">
        <v>39.0</v>
      </c>
      <c r="G201" s="5">
        <v>0.0</v>
      </c>
      <c r="H201" s="5">
        <v>0.0</v>
      </c>
    </row>
    <row r="202" ht="15.75" customHeight="1">
      <c r="A202" s="22" t="str">
        <f t="shared" si="3"/>
        <v>lunes</v>
      </c>
      <c r="B202" s="24" t="str">
        <f t="shared" si="4"/>
        <v>abril</v>
      </c>
      <c r="C202" s="37">
        <v>46132.0</v>
      </c>
      <c r="D202" s="28" t="s">
        <v>67</v>
      </c>
      <c r="E202" s="5">
        <v>89.0</v>
      </c>
      <c r="F202" s="5">
        <v>69.0</v>
      </c>
      <c r="G202" s="5">
        <v>5.0</v>
      </c>
      <c r="H202" s="5">
        <v>6.0</v>
      </c>
    </row>
    <row r="203" ht="15.75" customHeight="1">
      <c r="A203" s="22" t="str">
        <f t="shared" si="3"/>
        <v>lunes</v>
      </c>
      <c r="B203" s="24" t="str">
        <f t="shared" si="4"/>
        <v>abril</v>
      </c>
      <c r="C203" s="37">
        <v>46132.0</v>
      </c>
      <c r="D203" s="5" t="s">
        <v>93</v>
      </c>
      <c r="E203" s="5">
        <v>122.0</v>
      </c>
      <c r="F203" s="5">
        <v>71.0</v>
      </c>
      <c r="G203" s="5">
        <v>0.0</v>
      </c>
      <c r="H203" s="5">
        <v>0.0</v>
      </c>
    </row>
    <row r="204" ht="15.75" customHeight="1">
      <c r="A204" s="22" t="str">
        <f t="shared" si="3"/>
        <v>lunes</v>
      </c>
      <c r="B204" s="24" t="str">
        <f t="shared" si="4"/>
        <v>abril</v>
      </c>
      <c r="C204" s="37">
        <v>46132.0</v>
      </c>
      <c r="D204" s="28" t="s">
        <v>58</v>
      </c>
      <c r="E204" s="5">
        <v>76.0</v>
      </c>
      <c r="F204" s="5">
        <v>39.0</v>
      </c>
      <c r="G204" s="5">
        <v>2.0</v>
      </c>
      <c r="H204" s="5">
        <v>5.0</v>
      </c>
    </row>
    <row r="205" ht="15.75" customHeight="1">
      <c r="A205" s="22" t="str">
        <f t="shared" si="3"/>
        <v>lunes</v>
      </c>
      <c r="B205" s="24" t="str">
        <f t="shared" si="4"/>
        <v>abril</v>
      </c>
      <c r="C205" s="37">
        <v>46132.0</v>
      </c>
      <c r="D205" s="28" t="s">
        <v>64</v>
      </c>
      <c r="E205" s="5">
        <v>102.0</v>
      </c>
      <c r="F205" s="5">
        <v>52.0</v>
      </c>
      <c r="G205" s="5">
        <v>11.0</v>
      </c>
      <c r="H205" s="5">
        <v>0.0</v>
      </c>
    </row>
    <row r="206" ht="15.75" customHeight="1">
      <c r="A206" s="22" t="str">
        <f t="shared" si="3"/>
        <v>lunes</v>
      </c>
      <c r="B206" s="24" t="str">
        <f t="shared" si="4"/>
        <v>abril</v>
      </c>
      <c r="C206" s="37">
        <v>46132.0</v>
      </c>
      <c r="D206" s="28" t="s">
        <v>65</v>
      </c>
      <c r="E206" s="5">
        <v>69.0</v>
      </c>
      <c r="F206" s="5">
        <v>57.0</v>
      </c>
      <c r="G206" s="5">
        <v>3.0</v>
      </c>
      <c r="H206" s="5">
        <v>3.0</v>
      </c>
    </row>
    <row r="207" ht="15.75" customHeight="1">
      <c r="A207" s="22" t="str">
        <f t="shared" si="3"/>
        <v>lunes</v>
      </c>
      <c r="B207" s="24" t="str">
        <f t="shared" si="4"/>
        <v>abril</v>
      </c>
      <c r="C207" s="37">
        <v>46132.0</v>
      </c>
      <c r="D207" s="28" t="s">
        <v>60</v>
      </c>
      <c r="E207" s="5">
        <v>108.0</v>
      </c>
      <c r="F207" s="5">
        <v>40.0</v>
      </c>
      <c r="G207" s="5">
        <v>4.0</v>
      </c>
      <c r="H207" s="5">
        <v>20.0</v>
      </c>
    </row>
    <row r="208" ht="15.75" customHeight="1">
      <c r="A208" s="22" t="str">
        <f t="shared" si="3"/>
        <v>lunes</v>
      </c>
      <c r="B208" s="24" t="str">
        <f t="shared" si="4"/>
        <v>abril</v>
      </c>
      <c r="C208" s="37">
        <v>46132.0</v>
      </c>
      <c r="D208" s="28" t="s">
        <v>66</v>
      </c>
      <c r="E208" s="5">
        <v>104.0</v>
      </c>
      <c r="F208" s="5">
        <v>93.0</v>
      </c>
      <c r="G208" s="5">
        <v>1.0</v>
      </c>
      <c r="H208" s="5">
        <v>5.0</v>
      </c>
    </row>
    <row r="209" ht="15.75" customHeight="1">
      <c r="A209" s="22" t="str">
        <f t="shared" si="3"/>
        <v>martes</v>
      </c>
      <c r="B209" s="24" t="str">
        <f t="shared" si="4"/>
        <v>abril</v>
      </c>
      <c r="C209" s="37">
        <v>46133.0</v>
      </c>
      <c r="D209" s="28" t="s">
        <v>39</v>
      </c>
      <c r="E209" s="5">
        <v>65.0</v>
      </c>
      <c r="F209" s="5">
        <v>41.0</v>
      </c>
      <c r="G209" s="5">
        <v>0.0</v>
      </c>
      <c r="H209" s="5">
        <v>9.0</v>
      </c>
    </row>
    <row r="210" ht="15.75" customHeight="1">
      <c r="A210" s="22" t="str">
        <f t="shared" si="3"/>
        <v>martes</v>
      </c>
      <c r="B210" s="24" t="str">
        <f t="shared" si="4"/>
        <v>abril</v>
      </c>
      <c r="C210" s="37">
        <v>46133.0</v>
      </c>
      <c r="D210" s="28" t="s">
        <v>41</v>
      </c>
      <c r="E210" s="5">
        <v>76.0</v>
      </c>
      <c r="F210" s="5">
        <v>58.0</v>
      </c>
      <c r="G210" s="5">
        <v>1.0</v>
      </c>
      <c r="H210" s="5">
        <v>2.0</v>
      </c>
    </row>
    <row r="211" ht="15.75" customHeight="1">
      <c r="A211" s="22" t="str">
        <f t="shared" si="3"/>
        <v>martes</v>
      </c>
      <c r="B211" s="24" t="str">
        <f t="shared" si="4"/>
        <v>abril</v>
      </c>
      <c r="C211" s="37">
        <v>46133.0</v>
      </c>
      <c r="D211" s="28" t="s">
        <v>42</v>
      </c>
      <c r="E211" s="5">
        <v>91.0</v>
      </c>
      <c r="F211" s="5">
        <v>57.0</v>
      </c>
      <c r="G211" s="5">
        <v>2.0</v>
      </c>
      <c r="H211" s="5">
        <v>12.0</v>
      </c>
    </row>
    <row r="212" ht="15.75" customHeight="1">
      <c r="A212" s="22" t="str">
        <f t="shared" si="3"/>
        <v>martes</v>
      </c>
      <c r="B212" s="24" t="str">
        <f t="shared" si="4"/>
        <v>abril</v>
      </c>
      <c r="C212" s="37">
        <v>46133.0</v>
      </c>
      <c r="D212" s="5" t="s">
        <v>89</v>
      </c>
      <c r="E212" s="5">
        <v>96.0</v>
      </c>
      <c r="F212" s="5">
        <v>49.0</v>
      </c>
      <c r="G212" s="5">
        <v>0.0</v>
      </c>
      <c r="H212" s="5">
        <v>0.0</v>
      </c>
    </row>
    <row r="213" ht="15.75" customHeight="1">
      <c r="A213" s="22" t="str">
        <f t="shared" si="3"/>
        <v>martes</v>
      </c>
      <c r="B213" s="24" t="str">
        <f t="shared" si="4"/>
        <v>abril</v>
      </c>
      <c r="C213" s="37">
        <v>46133.0</v>
      </c>
      <c r="D213" s="5" t="s">
        <v>90</v>
      </c>
      <c r="E213" s="5">
        <v>90.0</v>
      </c>
      <c r="F213" s="5">
        <v>74.0</v>
      </c>
      <c r="G213" s="5">
        <v>0.0</v>
      </c>
      <c r="H213" s="5">
        <v>0.0</v>
      </c>
    </row>
    <row r="214" ht="15.75" customHeight="1">
      <c r="A214" s="22" t="str">
        <f t="shared" si="3"/>
        <v>martes</v>
      </c>
      <c r="B214" s="24" t="str">
        <f t="shared" si="4"/>
        <v>abril</v>
      </c>
      <c r="C214" s="37">
        <v>46133.0</v>
      </c>
      <c r="D214" s="28" t="s">
        <v>59</v>
      </c>
      <c r="E214" s="5">
        <v>71.0</v>
      </c>
      <c r="F214" s="5">
        <v>63.0</v>
      </c>
      <c r="G214" s="5">
        <v>4.0</v>
      </c>
      <c r="H214" s="5">
        <v>1.0</v>
      </c>
    </row>
    <row r="215" ht="15.75" customHeight="1">
      <c r="A215" s="22" t="str">
        <f t="shared" si="3"/>
        <v>martes</v>
      </c>
      <c r="B215" s="24" t="str">
        <f t="shared" si="4"/>
        <v>abril</v>
      </c>
      <c r="C215" s="37">
        <v>46133.0</v>
      </c>
      <c r="D215" s="5" t="s">
        <v>46</v>
      </c>
      <c r="E215" s="5">
        <v>120.0</v>
      </c>
      <c r="F215" s="5">
        <v>33.0</v>
      </c>
      <c r="G215" s="5">
        <v>1.0</v>
      </c>
      <c r="H215" s="5">
        <v>6.0</v>
      </c>
    </row>
    <row r="216" ht="15.75" customHeight="1">
      <c r="A216" s="22" t="str">
        <f t="shared" si="3"/>
        <v>martes</v>
      </c>
      <c r="B216" s="24" t="str">
        <f t="shared" si="4"/>
        <v>abril</v>
      </c>
      <c r="C216" s="37">
        <v>46133.0</v>
      </c>
      <c r="D216" s="28" t="s">
        <v>67</v>
      </c>
      <c r="E216" s="5">
        <v>81.0</v>
      </c>
      <c r="F216" s="5">
        <v>67.0</v>
      </c>
      <c r="G216" s="5">
        <v>2.0</v>
      </c>
      <c r="H216" s="5">
        <v>0.0</v>
      </c>
    </row>
    <row r="217" ht="15.75" customHeight="1">
      <c r="A217" s="22" t="str">
        <f t="shared" si="3"/>
        <v>martes</v>
      </c>
      <c r="B217" s="24" t="str">
        <f t="shared" si="4"/>
        <v>abril</v>
      </c>
      <c r="C217" s="37">
        <v>46133.0</v>
      </c>
      <c r="D217" s="5" t="s">
        <v>93</v>
      </c>
      <c r="E217" s="5">
        <v>123.0</v>
      </c>
      <c r="F217" s="5">
        <v>90.0</v>
      </c>
      <c r="G217" s="5">
        <v>0.0</v>
      </c>
      <c r="H217" s="5">
        <v>0.0</v>
      </c>
    </row>
    <row r="218" ht="15.75" customHeight="1">
      <c r="A218" s="22" t="str">
        <f t="shared" si="3"/>
        <v>martes</v>
      </c>
      <c r="B218" s="24" t="str">
        <f t="shared" si="4"/>
        <v>abril</v>
      </c>
      <c r="C218" s="37">
        <v>46133.0</v>
      </c>
      <c r="D218" s="28" t="s">
        <v>58</v>
      </c>
      <c r="E218" s="5">
        <v>87.0</v>
      </c>
      <c r="F218" s="5">
        <v>49.0</v>
      </c>
      <c r="G218" s="5">
        <v>3.0</v>
      </c>
      <c r="H218" s="5">
        <v>0.0</v>
      </c>
    </row>
    <row r="219" ht="15.75" customHeight="1">
      <c r="A219" s="22" t="str">
        <f t="shared" si="3"/>
        <v>martes</v>
      </c>
      <c r="B219" s="24" t="str">
        <f t="shared" si="4"/>
        <v>abril</v>
      </c>
      <c r="C219" s="37">
        <v>46133.0</v>
      </c>
      <c r="D219" s="28" t="s">
        <v>64</v>
      </c>
      <c r="E219" s="5">
        <v>143.0</v>
      </c>
      <c r="F219" s="5">
        <v>95.0</v>
      </c>
      <c r="G219" s="5">
        <v>4.0</v>
      </c>
      <c r="H219" s="5">
        <v>5.0</v>
      </c>
    </row>
    <row r="220" ht="15.75" customHeight="1">
      <c r="A220" s="22" t="str">
        <f t="shared" si="3"/>
        <v>martes</v>
      </c>
      <c r="B220" s="24" t="str">
        <f t="shared" si="4"/>
        <v>abril</v>
      </c>
      <c r="C220" s="37">
        <v>46133.0</v>
      </c>
      <c r="D220" s="28" t="s">
        <v>65</v>
      </c>
      <c r="E220" s="5">
        <v>81.0</v>
      </c>
      <c r="F220" s="5">
        <v>62.0</v>
      </c>
      <c r="G220" s="5">
        <v>3.0</v>
      </c>
      <c r="H220" s="5">
        <v>4.0</v>
      </c>
    </row>
    <row r="221" ht="15.75" customHeight="1">
      <c r="A221" s="22" t="str">
        <f t="shared" si="3"/>
        <v>martes</v>
      </c>
      <c r="B221" s="24" t="str">
        <f t="shared" si="4"/>
        <v>abril</v>
      </c>
      <c r="C221" s="37">
        <v>46133.0</v>
      </c>
      <c r="D221" s="28" t="s">
        <v>66</v>
      </c>
      <c r="E221" s="5">
        <v>83.0</v>
      </c>
      <c r="F221" s="5">
        <v>66.0</v>
      </c>
      <c r="G221" s="5">
        <v>0.0</v>
      </c>
      <c r="H221" s="5">
        <v>1.0</v>
      </c>
    </row>
    <row r="222" ht="15.75" customHeight="1">
      <c r="A222" s="22" t="str">
        <f t="shared" si="3"/>
        <v>miércoles</v>
      </c>
      <c r="B222" s="24" t="str">
        <f t="shared" si="4"/>
        <v>abril</v>
      </c>
      <c r="C222" s="37">
        <v>46134.0</v>
      </c>
      <c r="D222" s="28" t="s">
        <v>39</v>
      </c>
      <c r="E222" s="5">
        <v>82.0</v>
      </c>
      <c r="F222" s="5">
        <v>53.0</v>
      </c>
      <c r="G222" s="5">
        <v>2.0</v>
      </c>
      <c r="H222" s="5">
        <v>8.0</v>
      </c>
    </row>
    <row r="223" ht="15.75" customHeight="1">
      <c r="A223" s="22" t="str">
        <f t="shared" si="3"/>
        <v>miércoles</v>
      </c>
      <c r="B223" s="24" t="str">
        <f t="shared" si="4"/>
        <v>abril</v>
      </c>
      <c r="C223" s="37">
        <v>46134.0</v>
      </c>
      <c r="D223" s="28" t="s">
        <v>42</v>
      </c>
      <c r="E223" s="5">
        <v>87.0</v>
      </c>
      <c r="F223" s="5">
        <v>52.0</v>
      </c>
      <c r="G223" s="5">
        <v>2.0</v>
      </c>
      <c r="H223" s="5">
        <v>5.0</v>
      </c>
    </row>
    <row r="224" ht="15.75" customHeight="1">
      <c r="A224" s="22" t="str">
        <f t="shared" si="3"/>
        <v>miércoles</v>
      </c>
      <c r="B224" s="24" t="str">
        <f t="shared" si="4"/>
        <v>abril</v>
      </c>
      <c r="C224" s="37">
        <v>46134.0</v>
      </c>
      <c r="D224" s="5" t="s">
        <v>108</v>
      </c>
      <c r="E224" s="5">
        <v>76.0</v>
      </c>
      <c r="F224" s="5">
        <v>36.0</v>
      </c>
      <c r="G224" s="5">
        <v>0.0</v>
      </c>
      <c r="H224" s="5">
        <v>0.0</v>
      </c>
    </row>
    <row r="225" ht="15.75" customHeight="1">
      <c r="A225" s="22" t="str">
        <f t="shared" si="3"/>
        <v>miércoles</v>
      </c>
      <c r="B225" s="24" t="str">
        <f t="shared" si="4"/>
        <v>abril</v>
      </c>
      <c r="C225" s="37">
        <v>46134.0</v>
      </c>
      <c r="D225" s="28" t="s">
        <v>51</v>
      </c>
      <c r="E225" s="5">
        <v>102.0</v>
      </c>
      <c r="F225" s="5">
        <v>89.0</v>
      </c>
      <c r="G225" s="5">
        <v>2.0</v>
      </c>
      <c r="H225" s="5">
        <v>16.0</v>
      </c>
    </row>
    <row r="226" ht="15.75" customHeight="1">
      <c r="A226" s="22" t="str">
        <f t="shared" si="3"/>
        <v>miércoles</v>
      </c>
      <c r="B226" s="24" t="str">
        <f t="shared" si="4"/>
        <v>abril</v>
      </c>
      <c r="C226" s="37">
        <v>46134.0</v>
      </c>
      <c r="D226" s="5" t="s">
        <v>89</v>
      </c>
      <c r="E226" s="5">
        <v>109.0</v>
      </c>
      <c r="F226" s="5">
        <v>55.0</v>
      </c>
      <c r="G226" s="5">
        <v>0.0</v>
      </c>
      <c r="H226" s="5">
        <v>0.0</v>
      </c>
    </row>
    <row r="227" ht="15.75" customHeight="1">
      <c r="A227" s="22" t="str">
        <f t="shared" si="3"/>
        <v>miércoles</v>
      </c>
      <c r="B227" s="24" t="str">
        <f t="shared" si="4"/>
        <v>abril</v>
      </c>
      <c r="C227" s="37">
        <v>46134.0</v>
      </c>
      <c r="D227" s="5" t="s">
        <v>46</v>
      </c>
      <c r="E227" s="5">
        <v>89.0</v>
      </c>
      <c r="F227" s="5">
        <v>47.0</v>
      </c>
      <c r="G227" s="5">
        <v>7.0</v>
      </c>
      <c r="H227" s="5">
        <v>4.0</v>
      </c>
    </row>
    <row r="228" ht="15.75" customHeight="1">
      <c r="A228" s="22" t="str">
        <f t="shared" si="3"/>
        <v>miércoles</v>
      </c>
      <c r="B228" s="24" t="str">
        <f t="shared" si="4"/>
        <v>abril</v>
      </c>
      <c r="C228" s="37">
        <v>46134.0</v>
      </c>
      <c r="D228" s="28" t="s">
        <v>67</v>
      </c>
      <c r="E228" s="5">
        <v>85.0</v>
      </c>
      <c r="F228" s="5">
        <v>78.0</v>
      </c>
      <c r="G228" s="5">
        <v>2.0</v>
      </c>
      <c r="H228" s="5">
        <v>0.0</v>
      </c>
    </row>
    <row r="229" ht="15.75" customHeight="1">
      <c r="A229" s="22" t="str">
        <f t="shared" si="3"/>
        <v>miércoles</v>
      </c>
      <c r="B229" s="24" t="str">
        <f t="shared" si="4"/>
        <v>abril</v>
      </c>
      <c r="C229" s="37">
        <v>46134.0</v>
      </c>
      <c r="D229" s="5" t="s">
        <v>93</v>
      </c>
      <c r="E229" s="5">
        <v>117.0</v>
      </c>
      <c r="F229" s="5">
        <v>62.0</v>
      </c>
      <c r="G229" s="5">
        <v>0.0</v>
      </c>
      <c r="H229" s="5">
        <v>0.0</v>
      </c>
    </row>
    <row r="230" ht="15.75" customHeight="1">
      <c r="A230" s="22" t="str">
        <f t="shared" si="3"/>
        <v>miércoles</v>
      </c>
      <c r="B230" s="24" t="str">
        <f t="shared" si="4"/>
        <v>abril</v>
      </c>
      <c r="C230" s="37">
        <v>46134.0</v>
      </c>
      <c r="D230" s="28" t="s">
        <v>58</v>
      </c>
      <c r="E230" s="5">
        <v>69.0</v>
      </c>
      <c r="F230" s="5">
        <v>34.0</v>
      </c>
      <c r="G230" s="5">
        <v>4.0</v>
      </c>
      <c r="H230" s="5">
        <v>8.0</v>
      </c>
    </row>
    <row r="231" ht="15.75" customHeight="1">
      <c r="A231" s="22" t="str">
        <f t="shared" si="3"/>
        <v>miércoles</v>
      </c>
      <c r="B231" s="24" t="str">
        <f t="shared" si="4"/>
        <v>abril</v>
      </c>
      <c r="C231" s="37">
        <v>46134.0</v>
      </c>
      <c r="D231" s="28" t="s">
        <v>64</v>
      </c>
      <c r="E231" s="5">
        <v>148.0</v>
      </c>
      <c r="F231" s="5">
        <v>96.0</v>
      </c>
      <c r="G231" s="5">
        <v>7.0</v>
      </c>
      <c r="H231" s="5">
        <v>17.0</v>
      </c>
    </row>
    <row r="232" ht="15.75" customHeight="1">
      <c r="A232" s="22" t="str">
        <f t="shared" si="3"/>
        <v>miércoles</v>
      </c>
      <c r="B232" s="24" t="str">
        <f t="shared" si="4"/>
        <v>abril</v>
      </c>
      <c r="C232" s="37">
        <v>46134.0</v>
      </c>
      <c r="D232" s="28" t="s">
        <v>65</v>
      </c>
      <c r="E232" s="5">
        <v>69.0</v>
      </c>
      <c r="F232" s="5">
        <v>57.0</v>
      </c>
      <c r="G232" s="5">
        <v>3.0</v>
      </c>
      <c r="H232" s="5">
        <v>6.0</v>
      </c>
    </row>
    <row r="233" ht="15.75" customHeight="1">
      <c r="A233" s="22" t="str">
        <f t="shared" si="3"/>
        <v>miércoles</v>
      </c>
      <c r="B233" s="24" t="str">
        <f t="shared" si="4"/>
        <v>abril</v>
      </c>
      <c r="C233" s="37">
        <v>46134.0</v>
      </c>
      <c r="D233" s="28" t="s">
        <v>66</v>
      </c>
      <c r="E233" s="5">
        <v>124.0</v>
      </c>
      <c r="F233" s="5">
        <v>104.0</v>
      </c>
      <c r="G233" s="5">
        <v>0.0</v>
      </c>
      <c r="H233" s="5">
        <v>1.0</v>
      </c>
    </row>
    <row r="234" ht="15.75" customHeight="1">
      <c r="A234" s="22" t="str">
        <f t="shared" si="3"/>
        <v>jueves</v>
      </c>
      <c r="B234" s="24" t="str">
        <f t="shared" si="4"/>
        <v>abril</v>
      </c>
      <c r="C234" s="37">
        <v>46135.0</v>
      </c>
      <c r="D234" s="5" t="s">
        <v>107</v>
      </c>
      <c r="E234" s="5">
        <v>100.0</v>
      </c>
      <c r="F234" s="5">
        <v>53.0</v>
      </c>
      <c r="G234" s="5">
        <v>0.0</v>
      </c>
      <c r="H234" s="5">
        <v>0.0</v>
      </c>
    </row>
    <row r="235" ht="15.75" customHeight="1">
      <c r="A235" s="22" t="str">
        <f t="shared" si="3"/>
        <v>jueves</v>
      </c>
      <c r="B235" s="24" t="str">
        <f t="shared" si="4"/>
        <v>abril</v>
      </c>
      <c r="C235" s="37">
        <v>46135.0</v>
      </c>
      <c r="D235" s="28" t="s">
        <v>40</v>
      </c>
      <c r="E235" s="5">
        <v>47.0</v>
      </c>
      <c r="F235" s="5">
        <v>26.0</v>
      </c>
      <c r="G235" s="5">
        <v>4.0</v>
      </c>
      <c r="H235" s="5">
        <v>10.0</v>
      </c>
    </row>
    <row r="236" ht="15.75" customHeight="1">
      <c r="A236" s="22" t="str">
        <f t="shared" si="3"/>
        <v>jueves</v>
      </c>
      <c r="B236" s="24" t="str">
        <f t="shared" si="4"/>
        <v>abril</v>
      </c>
      <c r="C236" s="37">
        <v>46135.0</v>
      </c>
      <c r="D236" s="28" t="s">
        <v>41</v>
      </c>
      <c r="E236" s="5">
        <v>83.0</v>
      </c>
      <c r="F236" s="5">
        <v>57.0</v>
      </c>
      <c r="G236" s="5">
        <v>0.0</v>
      </c>
      <c r="H236" s="5">
        <v>0.0</v>
      </c>
    </row>
    <row r="237" ht="15.75" customHeight="1">
      <c r="A237" s="22" t="str">
        <f t="shared" si="3"/>
        <v>jueves</v>
      </c>
      <c r="B237" s="24" t="str">
        <f t="shared" si="4"/>
        <v>abril</v>
      </c>
      <c r="C237" s="37">
        <v>46135.0</v>
      </c>
      <c r="D237" s="28" t="s">
        <v>42</v>
      </c>
      <c r="E237" s="5">
        <v>65.0</v>
      </c>
      <c r="F237" s="5">
        <v>44.0</v>
      </c>
      <c r="G237" s="5">
        <v>3.0</v>
      </c>
      <c r="H237" s="5">
        <v>6.0</v>
      </c>
    </row>
    <row r="238" ht="15.75" customHeight="1">
      <c r="A238" s="22" t="str">
        <f t="shared" si="3"/>
        <v>jueves</v>
      </c>
      <c r="B238" s="24" t="str">
        <f t="shared" si="4"/>
        <v>abril</v>
      </c>
      <c r="C238" s="37">
        <v>46135.0</v>
      </c>
      <c r="D238" s="5" t="s">
        <v>117</v>
      </c>
      <c r="E238" s="5">
        <v>123.0</v>
      </c>
      <c r="F238" s="5">
        <v>51.0</v>
      </c>
      <c r="G238" s="5">
        <v>0.0</v>
      </c>
      <c r="H238" s="5">
        <v>0.0</v>
      </c>
    </row>
    <row r="239" ht="15.75" customHeight="1">
      <c r="A239" s="22" t="str">
        <f t="shared" si="3"/>
        <v>jueves</v>
      </c>
      <c r="B239" s="24" t="str">
        <f t="shared" si="4"/>
        <v>abril</v>
      </c>
      <c r="C239" s="37">
        <v>46135.0</v>
      </c>
      <c r="D239" s="28" t="s">
        <v>51</v>
      </c>
      <c r="E239" s="5">
        <v>51.0</v>
      </c>
      <c r="F239" s="5">
        <v>43.0</v>
      </c>
      <c r="G239" s="5">
        <v>3.0</v>
      </c>
      <c r="H239" s="5">
        <v>8.0</v>
      </c>
    </row>
    <row r="240" ht="15.75" customHeight="1">
      <c r="A240" s="22" t="str">
        <f t="shared" si="3"/>
        <v>jueves</v>
      </c>
      <c r="B240" s="24" t="str">
        <f t="shared" si="4"/>
        <v>abril</v>
      </c>
      <c r="C240" s="37">
        <v>46135.0</v>
      </c>
      <c r="D240" s="5" t="s">
        <v>89</v>
      </c>
      <c r="E240" s="5">
        <v>82.0</v>
      </c>
      <c r="F240" s="5">
        <v>30.0</v>
      </c>
      <c r="G240" s="5">
        <v>0.0</v>
      </c>
      <c r="H240" s="5">
        <v>0.0</v>
      </c>
    </row>
    <row r="241" ht="15.75" customHeight="1">
      <c r="A241" s="22" t="str">
        <f t="shared" si="3"/>
        <v>jueves</v>
      </c>
      <c r="B241" s="24" t="str">
        <f t="shared" si="4"/>
        <v>abril</v>
      </c>
      <c r="C241" s="37">
        <v>46135.0</v>
      </c>
      <c r="D241" s="28" t="s">
        <v>58</v>
      </c>
      <c r="E241" s="5">
        <v>70.0</v>
      </c>
      <c r="F241" s="5">
        <v>33.0</v>
      </c>
      <c r="G241" s="5">
        <v>0.0</v>
      </c>
      <c r="H241" s="5">
        <v>2.0</v>
      </c>
    </row>
    <row r="242" ht="15.75" customHeight="1">
      <c r="A242" s="22" t="str">
        <f t="shared" si="3"/>
        <v>jueves</v>
      </c>
      <c r="B242" s="24" t="str">
        <f t="shared" si="4"/>
        <v>abril</v>
      </c>
      <c r="C242" s="37">
        <v>46135.0</v>
      </c>
      <c r="D242" s="28" t="s">
        <v>52</v>
      </c>
      <c r="E242" s="5">
        <v>28.0</v>
      </c>
      <c r="F242" s="5">
        <v>16.0</v>
      </c>
      <c r="G242" s="5">
        <v>2.0</v>
      </c>
      <c r="H242" s="5">
        <v>9.0</v>
      </c>
    </row>
    <row r="243" ht="15.75" customHeight="1">
      <c r="A243" s="22" t="str">
        <f t="shared" si="3"/>
        <v>jueves</v>
      </c>
      <c r="B243" s="24" t="str">
        <f t="shared" si="4"/>
        <v>abril</v>
      </c>
      <c r="C243" s="37">
        <v>46135.0</v>
      </c>
      <c r="D243" s="28" t="s">
        <v>64</v>
      </c>
      <c r="E243" s="5">
        <v>147.0</v>
      </c>
      <c r="F243" s="5">
        <v>93.0</v>
      </c>
      <c r="G243" s="5">
        <v>5.0</v>
      </c>
      <c r="H243" s="5">
        <v>13.0</v>
      </c>
    </row>
    <row r="244" ht="15.75" customHeight="1">
      <c r="A244" s="22" t="str">
        <f t="shared" si="3"/>
        <v>jueves</v>
      </c>
      <c r="B244" s="24" t="str">
        <f t="shared" si="4"/>
        <v>abril</v>
      </c>
      <c r="C244" s="37">
        <v>46135.0</v>
      </c>
      <c r="D244" s="28" t="s">
        <v>65</v>
      </c>
      <c r="E244" s="5">
        <v>69.0</v>
      </c>
      <c r="F244" s="5">
        <v>64.0</v>
      </c>
      <c r="G244" s="5">
        <v>3.0</v>
      </c>
      <c r="H244" s="5">
        <v>1.0</v>
      </c>
    </row>
    <row r="245" ht="15.75" customHeight="1">
      <c r="A245" s="22" t="str">
        <f t="shared" si="3"/>
        <v>jueves</v>
      </c>
      <c r="B245" s="24" t="str">
        <f t="shared" si="4"/>
        <v>abril</v>
      </c>
      <c r="C245" s="37">
        <v>46135.0</v>
      </c>
      <c r="D245" s="28" t="s">
        <v>66</v>
      </c>
      <c r="E245" s="5">
        <v>115.0</v>
      </c>
      <c r="F245" s="5">
        <v>99.0</v>
      </c>
      <c r="G245" s="5">
        <v>1.0</v>
      </c>
      <c r="H245" s="5">
        <v>5.0</v>
      </c>
    </row>
    <row r="246" ht="15.75" customHeight="1">
      <c r="A246" s="22" t="str">
        <f t="shared" si="3"/>
        <v>viernes</v>
      </c>
      <c r="B246" s="24" t="str">
        <f t="shared" si="4"/>
        <v>abril</v>
      </c>
      <c r="C246" s="37">
        <v>46136.0</v>
      </c>
      <c r="D246" s="28" t="s">
        <v>40</v>
      </c>
      <c r="E246" s="5">
        <v>61.0</v>
      </c>
      <c r="F246" s="5">
        <v>32.0</v>
      </c>
      <c r="G246" s="5">
        <v>7.0</v>
      </c>
      <c r="H246" s="5">
        <v>9.0</v>
      </c>
    </row>
    <row r="247" ht="15.75" customHeight="1">
      <c r="A247" s="22" t="str">
        <f t="shared" si="3"/>
        <v>viernes</v>
      </c>
      <c r="B247" s="24" t="str">
        <f t="shared" si="4"/>
        <v>abril</v>
      </c>
      <c r="C247" s="37">
        <v>46136.0</v>
      </c>
      <c r="D247" s="28" t="s">
        <v>51</v>
      </c>
      <c r="E247" s="5">
        <v>65.0</v>
      </c>
      <c r="F247" s="5">
        <v>54.0</v>
      </c>
      <c r="G247" s="5">
        <v>4.0</v>
      </c>
      <c r="H247" s="5">
        <v>8.0</v>
      </c>
    </row>
    <row r="248" ht="15.75" customHeight="1">
      <c r="A248" s="22" t="str">
        <f t="shared" si="3"/>
        <v>viernes</v>
      </c>
      <c r="B248" s="24" t="str">
        <f t="shared" si="4"/>
        <v>abril</v>
      </c>
      <c r="C248" s="37">
        <v>46136.0</v>
      </c>
      <c r="D248" s="28" t="s">
        <v>58</v>
      </c>
      <c r="E248" s="5">
        <v>69.0</v>
      </c>
      <c r="F248" s="5">
        <v>37.0</v>
      </c>
      <c r="G248" s="5">
        <v>5.0</v>
      </c>
      <c r="H248" s="5">
        <v>3.0</v>
      </c>
    </row>
    <row r="249" ht="15.75" customHeight="1">
      <c r="A249" s="22" t="str">
        <f t="shared" si="3"/>
        <v>viernes</v>
      </c>
      <c r="B249" s="24" t="str">
        <f t="shared" si="4"/>
        <v>abril</v>
      </c>
      <c r="C249" s="37">
        <v>46136.0</v>
      </c>
      <c r="D249" s="28" t="s">
        <v>52</v>
      </c>
      <c r="E249" s="5">
        <v>36.0</v>
      </c>
      <c r="F249" s="5">
        <v>25.0</v>
      </c>
      <c r="G249" s="5">
        <v>5.0</v>
      </c>
      <c r="H249" s="5">
        <v>0.0</v>
      </c>
    </row>
    <row r="250" ht="15.75" customHeight="1">
      <c r="A250" s="22" t="str">
        <f t="shared" si="3"/>
        <v>viernes</v>
      </c>
      <c r="B250" s="24" t="str">
        <f t="shared" si="4"/>
        <v>abril</v>
      </c>
      <c r="C250" s="37">
        <v>46136.0</v>
      </c>
      <c r="D250" s="28" t="s">
        <v>64</v>
      </c>
      <c r="E250" s="5">
        <v>118.0</v>
      </c>
      <c r="F250" s="5">
        <v>76.0</v>
      </c>
      <c r="G250" s="5">
        <v>8.0</v>
      </c>
      <c r="H250" s="5">
        <v>4.0</v>
      </c>
    </row>
    <row r="251" ht="15.75" customHeight="1">
      <c r="A251" s="22" t="str">
        <f t="shared" si="3"/>
        <v>viernes</v>
      </c>
      <c r="B251" s="24" t="str">
        <f t="shared" si="4"/>
        <v>abril</v>
      </c>
      <c r="C251" s="37">
        <v>46136.0</v>
      </c>
      <c r="D251" s="28" t="s">
        <v>65</v>
      </c>
      <c r="E251" s="5">
        <v>68.0</v>
      </c>
      <c r="F251" s="5">
        <v>49.0</v>
      </c>
      <c r="G251" s="5">
        <v>3.0</v>
      </c>
      <c r="H251" s="5">
        <v>4.0</v>
      </c>
    </row>
    <row r="252" ht="15.75" customHeight="1">
      <c r="A252" s="22" t="str">
        <f t="shared" si="3"/>
        <v>viernes</v>
      </c>
      <c r="B252" s="24" t="str">
        <f t="shared" si="4"/>
        <v>abril</v>
      </c>
      <c r="C252" s="37">
        <v>46136.0</v>
      </c>
      <c r="D252" s="28" t="s">
        <v>66</v>
      </c>
      <c r="E252" s="5">
        <v>117.0</v>
      </c>
      <c r="F252" s="5">
        <v>99.0</v>
      </c>
      <c r="G252" s="5">
        <v>0.0</v>
      </c>
      <c r="H252" s="5">
        <v>7.0</v>
      </c>
    </row>
    <row r="253" ht="15.75" customHeight="1">
      <c r="A253" s="22" t="str">
        <f t="shared" si="3"/>
        <v>sábado</v>
      </c>
      <c r="B253" s="24" t="str">
        <f t="shared" si="4"/>
        <v>abril</v>
      </c>
      <c r="C253" s="37">
        <v>46137.0</v>
      </c>
      <c r="D253" s="28" t="s">
        <v>40</v>
      </c>
      <c r="E253" s="5">
        <v>55.0</v>
      </c>
      <c r="F253" s="5">
        <v>38.0</v>
      </c>
      <c r="G253" s="5">
        <v>4.0</v>
      </c>
      <c r="H253" s="5">
        <v>12.0</v>
      </c>
    </row>
    <row r="254" ht="15.75" customHeight="1">
      <c r="A254" s="22" t="str">
        <f t="shared" si="3"/>
        <v>sábado</v>
      </c>
      <c r="B254" s="24" t="str">
        <f t="shared" si="4"/>
        <v>abril</v>
      </c>
      <c r="C254" s="37">
        <v>46137.0</v>
      </c>
      <c r="D254" s="5" t="s">
        <v>43</v>
      </c>
      <c r="E254" s="5">
        <v>78.0</v>
      </c>
      <c r="F254" s="5">
        <v>57.0</v>
      </c>
      <c r="G254" s="5">
        <v>3.0</v>
      </c>
      <c r="H254" s="5">
        <v>5.0</v>
      </c>
    </row>
    <row r="255" ht="15.75" customHeight="1">
      <c r="A255" s="22" t="str">
        <f t="shared" si="3"/>
        <v>sábado</v>
      </c>
      <c r="B255" s="24" t="str">
        <f t="shared" si="4"/>
        <v>abril</v>
      </c>
      <c r="C255" s="37">
        <v>46137.0</v>
      </c>
      <c r="D255" s="28" t="s">
        <v>51</v>
      </c>
      <c r="E255" s="5">
        <v>40.0</v>
      </c>
      <c r="F255" s="5">
        <v>33.0</v>
      </c>
      <c r="G255" s="5">
        <v>1.0</v>
      </c>
      <c r="H255" s="5">
        <v>2.0</v>
      </c>
    </row>
    <row r="256" ht="15.75" customHeight="1">
      <c r="A256" s="22" t="str">
        <f t="shared" si="3"/>
        <v>sábado</v>
      </c>
      <c r="B256" s="24" t="str">
        <f t="shared" si="4"/>
        <v>abril</v>
      </c>
      <c r="C256" s="37">
        <v>46137.0</v>
      </c>
      <c r="D256" s="28" t="s">
        <v>59</v>
      </c>
      <c r="E256" s="5">
        <v>103.0</v>
      </c>
      <c r="F256" s="5">
        <v>102.0</v>
      </c>
      <c r="G256" s="5">
        <v>1.0</v>
      </c>
      <c r="H256" s="5">
        <v>1.0</v>
      </c>
    </row>
    <row r="257" ht="15.75" customHeight="1">
      <c r="A257" s="22" t="str">
        <f t="shared" si="3"/>
        <v>sábado</v>
      </c>
      <c r="B257" s="24" t="str">
        <f t="shared" si="4"/>
        <v>abril</v>
      </c>
      <c r="C257" s="37">
        <v>46137.0</v>
      </c>
      <c r="D257" s="28" t="s">
        <v>52</v>
      </c>
      <c r="E257" s="5">
        <v>41.0</v>
      </c>
      <c r="F257" s="5">
        <v>33.0</v>
      </c>
      <c r="G257" s="5">
        <v>2.0</v>
      </c>
      <c r="H257" s="5">
        <v>3.0</v>
      </c>
    </row>
    <row r="258" ht="15.75" customHeight="1">
      <c r="A258" s="22" t="str">
        <f t="shared" si="3"/>
        <v>sábado</v>
      </c>
      <c r="B258" s="24" t="str">
        <f t="shared" si="4"/>
        <v>abril</v>
      </c>
      <c r="C258" s="37">
        <v>46137.0</v>
      </c>
      <c r="D258" s="28" t="s">
        <v>53</v>
      </c>
      <c r="E258" s="5">
        <v>84.0</v>
      </c>
      <c r="F258" s="5">
        <v>44.0</v>
      </c>
      <c r="G258" s="5">
        <v>1.0</v>
      </c>
      <c r="H258" s="5">
        <v>2.0</v>
      </c>
    </row>
    <row r="259" ht="15.75" customHeight="1">
      <c r="A259" s="22" t="str">
        <f t="shared" si="3"/>
        <v>sábado</v>
      </c>
      <c r="B259" s="24" t="str">
        <f t="shared" si="4"/>
        <v>abril</v>
      </c>
      <c r="C259" s="37">
        <v>46137.0</v>
      </c>
      <c r="D259" s="28" t="s">
        <v>60</v>
      </c>
      <c r="E259" s="5">
        <v>124.0</v>
      </c>
      <c r="F259" s="5">
        <v>74.0</v>
      </c>
      <c r="G259" s="5">
        <v>2.0</v>
      </c>
      <c r="H259" s="5">
        <v>3.0</v>
      </c>
    </row>
    <row r="260" ht="15.75" customHeight="1">
      <c r="A260" s="22" t="str">
        <f t="shared" si="3"/>
        <v>sábado</v>
      </c>
      <c r="B260" s="24" t="str">
        <f t="shared" si="4"/>
        <v>abril</v>
      </c>
      <c r="C260" s="37">
        <v>46137.0</v>
      </c>
      <c r="D260" s="28" t="s">
        <v>39</v>
      </c>
      <c r="E260" s="5">
        <v>76.0</v>
      </c>
      <c r="F260" s="5">
        <v>48.0</v>
      </c>
      <c r="G260" s="5">
        <v>1.0</v>
      </c>
      <c r="H260" s="5">
        <v>2.0</v>
      </c>
    </row>
    <row r="261" ht="15.75" customHeight="1">
      <c r="A261" s="22" t="str">
        <f t="shared" si="3"/>
        <v>sábado</v>
      </c>
      <c r="B261" s="24" t="str">
        <f t="shared" si="4"/>
        <v>abril</v>
      </c>
      <c r="C261" s="37">
        <v>46137.0</v>
      </c>
      <c r="D261" s="28" t="s">
        <v>40</v>
      </c>
      <c r="E261" s="5">
        <v>105.0</v>
      </c>
      <c r="F261" s="5">
        <v>71.0</v>
      </c>
      <c r="G261" s="5">
        <v>1.0</v>
      </c>
      <c r="H261" s="5">
        <v>4.0</v>
      </c>
    </row>
    <row r="262" ht="15.75" customHeight="1">
      <c r="A262" s="22" t="str">
        <f t="shared" si="3"/>
        <v>sábado</v>
      </c>
      <c r="B262" s="24" t="str">
        <f t="shared" si="4"/>
        <v>abril</v>
      </c>
      <c r="C262" s="37">
        <v>46137.0</v>
      </c>
      <c r="D262" s="5" t="s">
        <v>43</v>
      </c>
      <c r="E262" s="5">
        <v>94.0</v>
      </c>
      <c r="F262" s="5">
        <v>65.0</v>
      </c>
      <c r="G262" s="5">
        <v>6.0</v>
      </c>
      <c r="H262" s="5">
        <v>2.0</v>
      </c>
    </row>
    <row r="263" ht="15.75" customHeight="1">
      <c r="A263" s="22" t="str">
        <f t="shared" si="3"/>
        <v>sábado</v>
      </c>
      <c r="B263" s="24" t="str">
        <f t="shared" si="4"/>
        <v>abril</v>
      </c>
      <c r="C263" s="37">
        <v>46137.0</v>
      </c>
      <c r="D263" s="28" t="s">
        <v>59</v>
      </c>
      <c r="E263" s="5">
        <v>120.0</v>
      </c>
      <c r="F263" s="5">
        <v>120.0</v>
      </c>
      <c r="G263" s="5">
        <v>2.0</v>
      </c>
      <c r="H263" s="5">
        <v>0.0</v>
      </c>
    </row>
    <row r="264" ht="15.75" customHeight="1">
      <c r="A264" s="22" t="str">
        <f t="shared" si="3"/>
        <v>sábado</v>
      </c>
      <c r="B264" s="24" t="str">
        <f t="shared" si="4"/>
        <v>abril</v>
      </c>
      <c r="C264" s="37">
        <v>46137.0</v>
      </c>
      <c r="D264" s="28" t="s">
        <v>53</v>
      </c>
      <c r="E264" s="5">
        <v>85.0</v>
      </c>
      <c r="F264" s="5">
        <v>37.0</v>
      </c>
      <c r="G264" s="5">
        <v>2.0</v>
      </c>
      <c r="H264" s="5">
        <v>4.0</v>
      </c>
    </row>
    <row r="265" ht="15.75" customHeight="1">
      <c r="A265" s="22" t="str">
        <f t="shared" si="3"/>
        <v>sábado</v>
      </c>
      <c r="B265" s="24" t="str">
        <f t="shared" si="4"/>
        <v>abril</v>
      </c>
      <c r="C265" s="37">
        <v>46137.0</v>
      </c>
      <c r="D265" s="28" t="s">
        <v>60</v>
      </c>
      <c r="E265" s="5">
        <v>142.0</v>
      </c>
      <c r="F265" s="5">
        <v>68.0</v>
      </c>
      <c r="G265" s="5">
        <v>3.0</v>
      </c>
      <c r="H265" s="5">
        <v>4.0</v>
      </c>
    </row>
    <row r="266" ht="15.75" customHeight="1">
      <c r="A266" s="22" t="str">
        <f t="shared" si="3"/>
        <v>domingo</v>
      </c>
      <c r="B266" s="24" t="str">
        <f t="shared" si="4"/>
        <v>abril</v>
      </c>
      <c r="C266" s="37">
        <v>46138.0</v>
      </c>
      <c r="D266" s="28" t="s">
        <v>39</v>
      </c>
      <c r="E266" s="5">
        <v>76.0</v>
      </c>
      <c r="F266" s="5">
        <v>48.0</v>
      </c>
      <c r="G266" s="5">
        <v>1.0</v>
      </c>
      <c r="H266" s="5">
        <v>2.0</v>
      </c>
    </row>
    <row r="267" ht="15.75" customHeight="1">
      <c r="A267" s="22" t="str">
        <f t="shared" si="3"/>
        <v>domingo</v>
      </c>
      <c r="B267" s="24" t="str">
        <f t="shared" si="4"/>
        <v>abril</v>
      </c>
      <c r="C267" s="37">
        <v>46138.0</v>
      </c>
      <c r="D267" s="28" t="s">
        <v>40</v>
      </c>
      <c r="E267" s="5">
        <v>105.0</v>
      </c>
      <c r="F267" s="5">
        <v>71.0</v>
      </c>
      <c r="G267" s="5">
        <v>1.0</v>
      </c>
      <c r="H267" s="5">
        <v>4.0</v>
      </c>
    </row>
    <row r="268" ht="15.75" customHeight="1">
      <c r="A268" s="22" t="str">
        <f t="shared" si="3"/>
        <v>domingo</v>
      </c>
      <c r="B268" s="24" t="str">
        <f t="shared" si="4"/>
        <v>abril</v>
      </c>
      <c r="C268" s="37">
        <v>46138.0</v>
      </c>
      <c r="D268" s="5" t="s">
        <v>43</v>
      </c>
      <c r="E268" s="5">
        <v>94.0</v>
      </c>
      <c r="F268" s="5">
        <v>65.0</v>
      </c>
      <c r="G268" s="5">
        <v>6.0</v>
      </c>
      <c r="H268" s="5">
        <v>2.0</v>
      </c>
    </row>
    <row r="269" ht="15.75" customHeight="1">
      <c r="A269" s="22" t="str">
        <f t="shared" si="3"/>
        <v>domingo</v>
      </c>
      <c r="B269" s="24" t="str">
        <f t="shared" si="4"/>
        <v>abril</v>
      </c>
      <c r="C269" s="37">
        <v>46138.0</v>
      </c>
      <c r="D269" s="28" t="s">
        <v>59</v>
      </c>
      <c r="E269" s="5">
        <v>120.0</v>
      </c>
      <c r="F269" s="5">
        <v>120.0</v>
      </c>
      <c r="G269" s="5">
        <v>2.0</v>
      </c>
      <c r="H269" s="5">
        <v>0.0</v>
      </c>
    </row>
    <row r="270" ht="15.75" customHeight="1">
      <c r="A270" s="22" t="str">
        <f t="shared" si="3"/>
        <v>domingo</v>
      </c>
      <c r="B270" s="24" t="str">
        <f t="shared" si="4"/>
        <v>abril</v>
      </c>
      <c r="C270" s="37">
        <v>46138.0</v>
      </c>
      <c r="D270" s="28" t="s">
        <v>53</v>
      </c>
      <c r="E270" s="5">
        <v>85.0</v>
      </c>
      <c r="F270" s="5">
        <v>37.0</v>
      </c>
      <c r="G270" s="5">
        <v>2.0</v>
      </c>
      <c r="H270" s="5">
        <v>4.0</v>
      </c>
    </row>
    <row r="271" ht="15.75" customHeight="1">
      <c r="A271" s="22" t="str">
        <f t="shared" si="3"/>
        <v>domingo</v>
      </c>
      <c r="B271" s="24" t="str">
        <f t="shared" si="4"/>
        <v>abril</v>
      </c>
      <c r="C271" s="37">
        <v>46138.0</v>
      </c>
      <c r="D271" s="28" t="s">
        <v>60</v>
      </c>
      <c r="E271" s="5">
        <v>142.0</v>
      </c>
      <c r="F271" s="5">
        <v>68.0</v>
      </c>
      <c r="G271" s="5">
        <v>3.0</v>
      </c>
      <c r="H271" s="5">
        <v>4.0</v>
      </c>
    </row>
    <row r="272" ht="15.75" customHeight="1">
      <c r="A272" s="22" t="str">
        <f t="shared" si="3"/>
        <v>lunes</v>
      </c>
      <c r="B272" s="24" t="str">
        <f t="shared" si="4"/>
        <v>abril</v>
      </c>
      <c r="C272" s="37">
        <v>46139.0</v>
      </c>
      <c r="D272" s="28" t="s">
        <v>39</v>
      </c>
      <c r="E272" s="5">
        <v>40.0</v>
      </c>
      <c r="F272" s="5">
        <v>34.0</v>
      </c>
      <c r="G272" s="5">
        <v>7.0</v>
      </c>
      <c r="H272" s="5">
        <v>6.0</v>
      </c>
    </row>
    <row r="273" ht="15.75" customHeight="1">
      <c r="A273" s="22" t="str">
        <f t="shared" si="3"/>
        <v>lunes</v>
      </c>
      <c r="B273" s="24" t="str">
        <f t="shared" si="4"/>
        <v>abril</v>
      </c>
      <c r="C273" s="37">
        <v>46139.0</v>
      </c>
      <c r="D273" s="28" t="s">
        <v>41</v>
      </c>
      <c r="E273" s="5">
        <v>61.0</v>
      </c>
      <c r="F273" s="5">
        <v>43.0</v>
      </c>
      <c r="G273" s="5">
        <v>4.0</v>
      </c>
      <c r="H273" s="5">
        <v>2.0</v>
      </c>
    </row>
    <row r="274" ht="15.75" customHeight="1">
      <c r="A274" s="22" t="str">
        <f t="shared" si="3"/>
        <v>lunes</v>
      </c>
      <c r="B274" s="24" t="str">
        <f t="shared" si="4"/>
        <v>abril</v>
      </c>
      <c r="C274" s="37">
        <v>46139.0</v>
      </c>
      <c r="D274" s="28" t="s">
        <v>42</v>
      </c>
      <c r="E274" s="5">
        <v>80.0</v>
      </c>
      <c r="F274" s="5">
        <v>55.0</v>
      </c>
      <c r="G274" s="5">
        <v>3.0</v>
      </c>
      <c r="H274" s="5">
        <v>3.0</v>
      </c>
    </row>
    <row r="275" ht="15.75" customHeight="1">
      <c r="A275" s="22" t="str">
        <f t="shared" si="3"/>
        <v>lunes</v>
      </c>
      <c r="B275" s="24" t="str">
        <f t="shared" si="4"/>
        <v>abril</v>
      </c>
      <c r="C275" s="37">
        <v>46139.0</v>
      </c>
      <c r="D275" s="28" t="s">
        <v>44</v>
      </c>
      <c r="E275" s="5">
        <v>36.0</v>
      </c>
      <c r="F275" s="5">
        <v>38.0</v>
      </c>
      <c r="G275" s="5">
        <v>0.0</v>
      </c>
      <c r="H275" s="5">
        <v>0.0</v>
      </c>
    </row>
    <row r="276" ht="15.75" customHeight="1">
      <c r="A276" s="22" t="str">
        <f t="shared" si="3"/>
        <v>lunes</v>
      </c>
      <c r="B276" s="24" t="str">
        <f t="shared" si="4"/>
        <v>abril</v>
      </c>
      <c r="C276" s="37">
        <v>46139.0</v>
      </c>
      <c r="D276" s="5" t="s">
        <v>89</v>
      </c>
      <c r="E276" s="5">
        <v>95.0</v>
      </c>
      <c r="F276" s="5">
        <v>49.0</v>
      </c>
      <c r="G276" s="5">
        <v>0.0</v>
      </c>
      <c r="H276" s="5">
        <v>0.0</v>
      </c>
    </row>
    <row r="277" ht="15.75" customHeight="1">
      <c r="A277" s="22" t="str">
        <f t="shared" si="3"/>
        <v>lunes</v>
      </c>
      <c r="B277" s="24" t="str">
        <f t="shared" si="4"/>
        <v>abril</v>
      </c>
      <c r="C277" s="37">
        <v>46139.0</v>
      </c>
      <c r="D277" s="5" t="s">
        <v>90</v>
      </c>
      <c r="E277" s="5">
        <v>63.0</v>
      </c>
      <c r="F277" s="5">
        <v>35.0</v>
      </c>
      <c r="G277" s="5">
        <v>0.0</v>
      </c>
      <c r="H277" s="5">
        <v>0.0</v>
      </c>
    </row>
    <row r="278" ht="15.75" customHeight="1">
      <c r="A278" s="22" t="str">
        <f t="shared" si="3"/>
        <v>lunes</v>
      </c>
      <c r="B278" s="24" t="str">
        <f t="shared" si="4"/>
        <v>abril</v>
      </c>
      <c r="C278" s="37">
        <v>46139.0</v>
      </c>
      <c r="D278" s="28" t="s">
        <v>59</v>
      </c>
      <c r="E278" s="5">
        <v>61.0</v>
      </c>
      <c r="F278" s="5">
        <v>53.0</v>
      </c>
      <c r="G278" s="5">
        <v>2.0</v>
      </c>
      <c r="H278" s="5">
        <v>1.0</v>
      </c>
    </row>
    <row r="279" ht="15.75" customHeight="1">
      <c r="A279" s="22" t="str">
        <f t="shared" si="3"/>
        <v>lunes</v>
      </c>
      <c r="B279" s="24" t="str">
        <f t="shared" si="4"/>
        <v>abril</v>
      </c>
      <c r="C279" s="37">
        <v>46139.0</v>
      </c>
      <c r="D279" s="28" t="s">
        <v>67</v>
      </c>
      <c r="E279" s="5">
        <v>72.0</v>
      </c>
      <c r="F279" s="5">
        <v>63.0</v>
      </c>
      <c r="G279" s="5">
        <v>0.0</v>
      </c>
      <c r="H279" s="5">
        <v>0.0</v>
      </c>
    </row>
    <row r="280" ht="15.75" customHeight="1">
      <c r="A280" s="22" t="str">
        <f t="shared" si="3"/>
        <v>lunes</v>
      </c>
      <c r="B280" s="24" t="str">
        <f t="shared" si="4"/>
        <v>abril</v>
      </c>
      <c r="C280" s="37">
        <v>46139.0</v>
      </c>
      <c r="D280" s="5" t="s">
        <v>93</v>
      </c>
      <c r="E280" s="5">
        <v>75.0</v>
      </c>
      <c r="F280" s="5">
        <v>44.0</v>
      </c>
      <c r="G280" s="5">
        <v>0.0</v>
      </c>
      <c r="H280" s="5">
        <v>0.0</v>
      </c>
    </row>
    <row r="281" ht="15.75" customHeight="1">
      <c r="A281" s="22" t="str">
        <f t="shared" si="3"/>
        <v>lunes</v>
      </c>
      <c r="B281" s="24" t="str">
        <f t="shared" si="4"/>
        <v>abril</v>
      </c>
      <c r="C281" s="37">
        <v>46139.0</v>
      </c>
      <c r="D281" s="28" t="s">
        <v>58</v>
      </c>
      <c r="E281" s="5">
        <v>59.0</v>
      </c>
      <c r="F281" s="5">
        <v>22.0</v>
      </c>
      <c r="G281" s="5">
        <v>2.0</v>
      </c>
      <c r="H281" s="5">
        <v>1.0</v>
      </c>
    </row>
    <row r="282" ht="15.75" customHeight="1">
      <c r="A282" s="22" t="str">
        <f t="shared" si="3"/>
        <v>lunes</v>
      </c>
      <c r="B282" s="24" t="str">
        <f t="shared" si="4"/>
        <v>abril</v>
      </c>
      <c r="C282" s="37">
        <v>46139.0</v>
      </c>
      <c r="D282" s="28" t="s">
        <v>64</v>
      </c>
      <c r="E282" s="5">
        <v>123.0</v>
      </c>
      <c r="F282" s="5">
        <v>76.0</v>
      </c>
      <c r="G282" s="5">
        <v>0.0</v>
      </c>
      <c r="H282" s="5">
        <v>0.0</v>
      </c>
    </row>
    <row r="283" ht="15.75" customHeight="1">
      <c r="A283" s="22" t="str">
        <f t="shared" si="3"/>
        <v>lunes</v>
      </c>
      <c r="B283" s="24" t="str">
        <f t="shared" si="4"/>
        <v>abril</v>
      </c>
      <c r="C283" s="37">
        <v>46139.0</v>
      </c>
      <c r="D283" s="28" t="s">
        <v>65</v>
      </c>
      <c r="E283" s="5">
        <v>57.0</v>
      </c>
      <c r="F283" s="5">
        <v>47.0</v>
      </c>
      <c r="G283" s="5">
        <v>3.0</v>
      </c>
      <c r="H283" s="5">
        <v>3.0</v>
      </c>
    </row>
    <row r="284" ht="15.75" customHeight="1">
      <c r="A284" s="22" t="str">
        <f t="shared" si="3"/>
        <v>lunes</v>
      </c>
      <c r="B284" s="24" t="str">
        <f t="shared" si="4"/>
        <v>abril</v>
      </c>
      <c r="C284" s="37">
        <v>46139.0</v>
      </c>
      <c r="D284" s="28" t="s">
        <v>60</v>
      </c>
      <c r="E284" s="5">
        <v>107.0</v>
      </c>
      <c r="F284" s="5">
        <v>50.0</v>
      </c>
      <c r="G284" s="5">
        <v>6.0</v>
      </c>
      <c r="H284" s="5">
        <v>11.0</v>
      </c>
    </row>
    <row r="285" ht="15.75" customHeight="1">
      <c r="A285" s="22" t="str">
        <f t="shared" si="3"/>
        <v>lunes</v>
      </c>
      <c r="B285" s="24" t="str">
        <f t="shared" si="4"/>
        <v>abril</v>
      </c>
      <c r="C285" s="37">
        <v>46139.0</v>
      </c>
      <c r="D285" s="28" t="s">
        <v>66</v>
      </c>
      <c r="E285" s="5">
        <v>76.0</v>
      </c>
      <c r="F285" s="5">
        <v>70.0</v>
      </c>
      <c r="G285" s="5">
        <v>1.0</v>
      </c>
      <c r="H285" s="5">
        <v>7.0</v>
      </c>
    </row>
    <row r="286" ht="15.75" customHeight="1">
      <c r="A286" s="22" t="str">
        <f t="shared" si="3"/>
        <v>martes</v>
      </c>
      <c r="B286" s="24" t="str">
        <f t="shared" si="4"/>
        <v>abril</v>
      </c>
      <c r="C286" s="37">
        <v>46140.0</v>
      </c>
      <c r="D286" s="28" t="s">
        <v>39</v>
      </c>
      <c r="E286" s="5">
        <v>45.0</v>
      </c>
      <c r="F286" s="5">
        <v>19.0</v>
      </c>
      <c r="G286" s="5">
        <v>0.0</v>
      </c>
      <c r="H286" s="5">
        <v>4.0</v>
      </c>
    </row>
    <row r="287" ht="15.75" customHeight="1">
      <c r="A287" s="22" t="str">
        <f t="shared" si="3"/>
        <v>martes</v>
      </c>
      <c r="B287" s="24" t="str">
        <f t="shared" si="4"/>
        <v>abril</v>
      </c>
      <c r="C287" s="37">
        <v>46140.0</v>
      </c>
      <c r="D287" s="28" t="s">
        <v>41</v>
      </c>
      <c r="E287" s="5">
        <v>51.0</v>
      </c>
      <c r="F287" s="5">
        <v>41.0</v>
      </c>
      <c r="G287" s="5">
        <v>3.0</v>
      </c>
      <c r="H287" s="5">
        <v>3.0</v>
      </c>
    </row>
    <row r="288" ht="15.75" customHeight="1">
      <c r="A288" s="22" t="str">
        <f t="shared" si="3"/>
        <v>martes</v>
      </c>
      <c r="B288" s="24" t="str">
        <f t="shared" si="4"/>
        <v>abril</v>
      </c>
      <c r="C288" s="37">
        <v>46140.0</v>
      </c>
      <c r="D288" s="28" t="s">
        <v>42</v>
      </c>
      <c r="E288" s="5">
        <v>74.0</v>
      </c>
      <c r="F288" s="5">
        <v>46.0</v>
      </c>
      <c r="G288" s="5">
        <v>2.0</v>
      </c>
      <c r="H288" s="5">
        <v>4.0</v>
      </c>
    </row>
    <row r="289" ht="15.75" customHeight="1">
      <c r="A289" s="22" t="str">
        <f t="shared" si="3"/>
        <v>martes</v>
      </c>
      <c r="B289" s="24" t="str">
        <f t="shared" si="4"/>
        <v>abril</v>
      </c>
      <c r="C289" s="37">
        <v>46140.0</v>
      </c>
      <c r="D289" s="5" t="s">
        <v>89</v>
      </c>
      <c r="E289" s="5">
        <v>109.0</v>
      </c>
      <c r="F289" s="5">
        <v>49.0</v>
      </c>
      <c r="G289" s="5">
        <v>0.0</v>
      </c>
      <c r="H289" s="5">
        <v>0.0</v>
      </c>
    </row>
    <row r="290" ht="15.75" customHeight="1">
      <c r="A290" s="22" t="str">
        <f t="shared" si="3"/>
        <v>martes</v>
      </c>
      <c r="B290" s="24" t="str">
        <f t="shared" si="4"/>
        <v>abril</v>
      </c>
      <c r="C290" s="37">
        <v>46140.0</v>
      </c>
      <c r="D290" s="5" t="s">
        <v>90</v>
      </c>
      <c r="E290" s="5">
        <v>61.0</v>
      </c>
      <c r="F290" s="5">
        <v>33.0</v>
      </c>
      <c r="G290" s="5">
        <v>0.0</v>
      </c>
      <c r="H290" s="5">
        <v>0.0</v>
      </c>
    </row>
    <row r="291" ht="15.75" customHeight="1">
      <c r="A291" s="22" t="str">
        <f t="shared" si="3"/>
        <v>martes</v>
      </c>
      <c r="B291" s="24" t="str">
        <f t="shared" si="4"/>
        <v>abril</v>
      </c>
      <c r="C291" s="37">
        <v>46140.0</v>
      </c>
      <c r="D291" s="5" t="s">
        <v>46</v>
      </c>
      <c r="E291" s="5">
        <v>69.0</v>
      </c>
      <c r="F291" s="5">
        <v>38.0</v>
      </c>
      <c r="G291" s="5">
        <v>5.0</v>
      </c>
      <c r="H291" s="5">
        <v>19.0</v>
      </c>
    </row>
    <row r="292" ht="15.75" customHeight="1">
      <c r="A292" s="22" t="str">
        <f t="shared" si="3"/>
        <v>martes</v>
      </c>
      <c r="B292" s="24" t="str">
        <f t="shared" si="4"/>
        <v>abril</v>
      </c>
      <c r="C292" s="37">
        <v>46140.0</v>
      </c>
      <c r="D292" s="28" t="s">
        <v>67</v>
      </c>
      <c r="E292" s="5">
        <v>76.0</v>
      </c>
      <c r="F292" s="5">
        <v>70.0</v>
      </c>
      <c r="G292" s="5">
        <v>3.0</v>
      </c>
      <c r="H292" s="5">
        <v>3.0</v>
      </c>
    </row>
    <row r="293" ht="15.75" customHeight="1">
      <c r="A293" s="22" t="str">
        <f t="shared" si="3"/>
        <v>martes</v>
      </c>
      <c r="B293" s="24" t="str">
        <f t="shared" si="4"/>
        <v>abril</v>
      </c>
      <c r="C293" s="37">
        <v>46140.0</v>
      </c>
      <c r="D293" s="5" t="s">
        <v>93</v>
      </c>
      <c r="E293" s="5">
        <v>85.0</v>
      </c>
      <c r="F293" s="5">
        <v>58.0</v>
      </c>
      <c r="G293" s="5">
        <v>0.0</v>
      </c>
      <c r="H293" s="5">
        <v>0.0</v>
      </c>
    </row>
    <row r="294" ht="15.75" customHeight="1">
      <c r="A294" s="22" t="str">
        <f t="shared" si="3"/>
        <v>martes</v>
      </c>
      <c r="B294" s="24" t="str">
        <f t="shared" si="4"/>
        <v>abril</v>
      </c>
      <c r="C294" s="37">
        <v>46140.0</v>
      </c>
      <c r="D294" s="28" t="s">
        <v>58</v>
      </c>
      <c r="E294" s="5">
        <v>59.0</v>
      </c>
      <c r="F294" s="5">
        <v>27.0</v>
      </c>
      <c r="G294" s="5">
        <v>2.0</v>
      </c>
      <c r="H294" s="5">
        <v>2.0</v>
      </c>
    </row>
    <row r="295" ht="15.75" customHeight="1">
      <c r="A295" s="22" t="str">
        <f t="shared" si="3"/>
        <v>martes</v>
      </c>
      <c r="B295" s="24" t="str">
        <f t="shared" si="4"/>
        <v>abril</v>
      </c>
      <c r="C295" s="37">
        <v>46140.0</v>
      </c>
      <c r="D295" s="28" t="s">
        <v>52</v>
      </c>
      <c r="E295" s="5">
        <v>21.0</v>
      </c>
      <c r="F295" s="5">
        <v>14.0</v>
      </c>
      <c r="G295" s="5">
        <v>2.0</v>
      </c>
      <c r="H295" s="5">
        <v>2.0</v>
      </c>
    </row>
    <row r="296" ht="15.75" customHeight="1">
      <c r="A296" s="22" t="str">
        <f t="shared" si="3"/>
        <v>martes</v>
      </c>
      <c r="B296" s="24" t="str">
        <f t="shared" si="4"/>
        <v>abril</v>
      </c>
      <c r="C296" s="37">
        <v>46140.0</v>
      </c>
      <c r="D296" s="28" t="s">
        <v>64</v>
      </c>
      <c r="E296" s="5">
        <v>118.0</v>
      </c>
      <c r="F296" s="5">
        <v>61.0</v>
      </c>
      <c r="G296" s="5">
        <v>3.0</v>
      </c>
      <c r="H296" s="5">
        <v>3.0</v>
      </c>
    </row>
    <row r="297" ht="15.75" customHeight="1">
      <c r="A297" s="22" t="str">
        <f t="shared" si="3"/>
        <v>martes</v>
      </c>
      <c r="B297" s="24" t="str">
        <f t="shared" si="4"/>
        <v>abril</v>
      </c>
      <c r="C297" s="37">
        <v>46140.0</v>
      </c>
      <c r="D297" s="28" t="s">
        <v>65</v>
      </c>
      <c r="E297" s="5">
        <v>54.0</v>
      </c>
      <c r="F297" s="5">
        <v>47.0</v>
      </c>
      <c r="G297" s="5">
        <v>2.0</v>
      </c>
      <c r="H297" s="5">
        <v>1.0</v>
      </c>
    </row>
    <row r="298" ht="15.75" customHeight="1">
      <c r="A298" s="22" t="str">
        <f t="shared" si="3"/>
        <v>martes</v>
      </c>
      <c r="B298" s="24" t="str">
        <f t="shared" si="4"/>
        <v>abril</v>
      </c>
      <c r="C298" s="37">
        <v>46140.0</v>
      </c>
      <c r="D298" s="28" t="s">
        <v>66</v>
      </c>
      <c r="E298" s="5">
        <v>92.0</v>
      </c>
      <c r="F298" s="5">
        <v>83.0</v>
      </c>
      <c r="G298" s="5">
        <v>0.0</v>
      </c>
      <c r="H298" s="5">
        <v>5.0</v>
      </c>
    </row>
    <row r="299" ht="15.75" customHeight="1">
      <c r="A299" s="22" t="str">
        <f t="shared" si="3"/>
        <v>miércoles</v>
      </c>
      <c r="B299" s="24" t="str">
        <f t="shared" si="4"/>
        <v>abril</v>
      </c>
      <c r="C299" s="37">
        <v>46141.0</v>
      </c>
      <c r="D299" s="28" t="s">
        <v>39</v>
      </c>
      <c r="E299" s="5">
        <v>50.0</v>
      </c>
      <c r="F299" s="5">
        <v>34.0</v>
      </c>
      <c r="G299" s="5">
        <v>1.0</v>
      </c>
      <c r="H299" s="5">
        <v>6.0</v>
      </c>
    </row>
    <row r="300" ht="15.75" customHeight="1">
      <c r="A300" s="22" t="str">
        <f t="shared" si="3"/>
        <v>miércoles</v>
      </c>
      <c r="B300" s="24" t="str">
        <f t="shared" si="4"/>
        <v>abril</v>
      </c>
      <c r="C300" s="37">
        <v>46141.0</v>
      </c>
      <c r="D300" s="5" t="s">
        <v>107</v>
      </c>
      <c r="E300" s="5">
        <v>63.0</v>
      </c>
      <c r="F300" s="5">
        <v>40.0</v>
      </c>
      <c r="G300" s="5">
        <v>0.0</v>
      </c>
      <c r="H300" s="5">
        <v>0.0</v>
      </c>
    </row>
    <row r="301" ht="15.75" customHeight="1">
      <c r="A301" s="22" t="str">
        <f t="shared" si="3"/>
        <v>miércoles</v>
      </c>
      <c r="B301" s="24" t="str">
        <f t="shared" si="4"/>
        <v>abril</v>
      </c>
      <c r="C301" s="37">
        <v>46141.0</v>
      </c>
      <c r="D301" s="28" t="s">
        <v>42</v>
      </c>
      <c r="E301" s="5">
        <v>77.0</v>
      </c>
      <c r="F301" s="5">
        <v>60.0</v>
      </c>
      <c r="G301" s="5">
        <v>4.0</v>
      </c>
      <c r="H301" s="5">
        <v>2.0</v>
      </c>
    </row>
    <row r="302" ht="15.75" customHeight="1">
      <c r="A302" s="22" t="str">
        <f t="shared" si="3"/>
        <v>miércoles</v>
      </c>
      <c r="B302" s="24" t="str">
        <f t="shared" si="4"/>
        <v>abril</v>
      </c>
      <c r="C302" s="37">
        <v>46141.0</v>
      </c>
      <c r="D302" s="5" t="s">
        <v>108</v>
      </c>
      <c r="E302" s="5">
        <v>53.0</v>
      </c>
      <c r="F302" s="5">
        <v>23.0</v>
      </c>
      <c r="G302" s="5">
        <v>0.0</v>
      </c>
      <c r="H302" s="5">
        <v>0.0</v>
      </c>
    </row>
    <row r="303" ht="15.75" customHeight="1">
      <c r="A303" s="22" t="str">
        <f t="shared" si="3"/>
        <v>miércoles</v>
      </c>
      <c r="B303" s="24" t="str">
        <f t="shared" si="4"/>
        <v>abril</v>
      </c>
      <c r="C303" s="37">
        <v>46141.0</v>
      </c>
      <c r="D303" s="28" t="s">
        <v>51</v>
      </c>
      <c r="E303" s="5">
        <v>98.0</v>
      </c>
      <c r="F303" s="5">
        <v>85.0</v>
      </c>
      <c r="G303" s="5">
        <v>3.0</v>
      </c>
      <c r="H303" s="5">
        <v>6.0</v>
      </c>
    </row>
    <row r="304" ht="15.75" customHeight="1">
      <c r="A304" s="22" t="str">
        <f t="shared" si="3"/>
        <v>miércoles</v>
      </c>
      <c r="B304" s="24" t="str">
        <f t="shared" si="4"/>
        <v>abril</v>
      </c>
      <c r="C304" s="37">
        <v>46141.0</v>
      </c>
      <c r="D304" s="5" t="s">
        <v>89</v>
      </c>
      <c r="E304" s="5">
        <v>117.0</v>
      </c>
      <c r="F304" s="5">
        <v>64.0</v>
      </c>
      <c r="G304" s="5">
        <v>0.0</v>
      </c>
      <c r="H304" s="5">
        <v>0.0</v>
      </c>
    </row>
    <row r="305" ht="15.75" customHeight="1">
      <c r="A305" s="22" t="str">
        <f t="shared" si="3"/>
        <v>miércoles</v>
      </c>
      <c r="B305" s="24" t="str">
        <f t="shared" si="4"/>
        <v>abril</v>
      </c>
      <c r="C305" s="37">
        <v>46141.0</v>
      </c>
      <c r="D305" s="5" t="s">
        <v>46</v>
      </c>
      <c r="E305" s="5">
        <v>66.0</v>
      </c>
      <c r="F305" s="5">
        <v>36.0</v>
      </c>
      <c r="G305" s="5">
        <v>2.0</v>
      </c>
      <c r="H305" s="5">
        <v>6.0</v>
      </c>
    </row>
    <row r="306" ht="15.75" customHeight="1">
      <c r="A306" s="22" t="str">
        <f t="shared" si="3"/>
        <v>miércoles</v>
      </c>
      <c r="B306" s="24" t="str">
        <f t="shared" si="4"/>
        <v>abril</v>
      </c>
      <c r="C306" s="37">
        <v>46141.0</v>
      </c>
      <c r="D306" s="28" t="s">
        <v>67</v>
      </c>
      <c r="E306" s="5">
        <v>81.0</v>
      </c>
      <c r="F306" s="5">
        <v>66.0</v>
      </c>
      <c r="G306" s="5">
        <v>0.0</v>
      </c>
      <c r="H306" s="5">
        <v>6.0</v>
      </c>
    </row>
    <row r="307" ht="15.75" customHeight="1">
      <c r="A307" s="22" t="str">
        <f t="shared" si="3"/>
        <v>miércoles</v>
      </c>
      <c r="B307" s="24" t="str">
        <f t="shared" si="4"/>
        <v>abril</v>
      </c>
      <c r="C307" s="37">
        <v>46141.0</v>
      </c>
      <c r="D307" s="5" t="s">
        <v>93</v>
      </c>
      <c r="E307" s="5">
        <v>96.0</v>
      </c>
      <c r="F307" s="5">
        <v>66.0</v>
      </c>
      <c r="G307" s="5">
        <v>0.0</v>
      </c>
      <c r="H307" s="5">
        <v>0.0</v>
      </c>
    </row>
    <row r="308" ht="15.75" customHeight="1">
      <c r="A308" s="22" t="str">
        <f t="shared" si="3"/>
        <v>miércoles</v>
      </c>
      <c r="B308" s="24" t="str">
        <f t="shared" si="4"/>
        <v>abril</v>
      </c>
      <c r="C308" s="37">
        <v>46141.0</v>
      </c>
      <c r="D308" s="28" t="s">
        <v>58</v>
      </c>
      <c r="E308" s="5">
        <v>58.0</v>
      </c>
      <c r="F308" s="5">
        <v>34.0</v>
      </c>
      <c r="G308" s="5">
        <v>2.0</v>
      </c>
      <c r="H308" s="5">
        <v>2.0</v>
      </c>
    </row>
    <row r="309" ht="15.75" customHeight="1">
      <c r="A309" s="22" t="str">
        <f t="shared" si="3"/>
        <v>miércoles</v>
      </c>
      <c r="B309" s="24" t="str">
        <f t="shared" si="4"/>
        <v>abril</v>
      </c>
      <c r="C309" s="37">
        <v>46141.0</v>
      </c>
      <c r="D309" s="28" t="s">
        <v>64</v>
      </c>
      <c r="E309" s="5">
        <v>101.0</v>
      </c>
      <c r="F309" s="5">
        <v>59.0</v>
      </c>
      <c r="G309" s="5">
        <v>5.0</v>
      </c>
      <c r="H309" s="5">
        <v>4.0</v>
      </c>
    </row>
    <row r="310" ht="15.75" customHeight="1">
      <c r="A310" s="22" t="str">
        <f t="shared" si="3"/>
        <v>miércoles</v>
      </c>
      <c r="B310" s="24" t="str">
        <f t="shared" si="4"/>
        <v>abril</v>
      </c>
      <c r="C310" s="37">
        <v>46141.0</v>
      </c>
      <c r="D310" s="28" t="s">
        <v>65</v>
      </c>
      <c r="E310" s="5">
        <v>73.0</v>
      </c>
      <c r="F310" s="5">
        <v>57.0</v>
      </c>
      <c r="G310" s="5">
        <v>3.0</v>
      </c>
      <c r="H310" s="5">
        <v>3.0</v>
      </c>
    </row>
    <row r="311" ht="15.75" customHeight="1">
      <c r="A311" s="22" t="str">
        <f t="shared" si="3"/>
        <v>miércoles</v>
      </c>
      <c r="B311" s="24" t="str">
        <f t="shared" si="4"/>
        <v>abril</v>
      </c>
      <c r="C311" s="37">
        <v>46141.0</v>
      </c>
      <c r="D311" s="28" t="s">
        <v>66</v>
      </c>
      <c r="E311" s="5">
        <v>147.0</v>
      </c>
      <c r="F311" s="5">
        <v>126.0</v>
      </c>
      <c r="G311" s="5">
        <v>0.0</v>
      </c>
      <c r="H311" s="5">
        <v>2.0</v>
      </c>
    </row>
    <row r="312" ht="15.75" customHeight="1">
      <c r="A312" s="22" t="str">
        <f t="shared" si="3"/>
        <v>jueves</v>
      </c>
      <c r="B312" s="24" t="str">
        <f t="shared" si="4"/>
        <v>abril</v>
      </c>
      <c r="C312" s="37">
        <v>46142.0</v>
      </c>
      <c r="D312" s="5" t="s">
        <v>107</v>
      </c>
      <c r="E312" s="5">
        <v>90.0</v>
      </c>
      <c r="F312" s="5">
        <v>61.0</v>
      </c>
      <c r="G312" s="5">
        <v>0.0</v>
      </c>
      <c r="H312" s="5">
        <v>0.0</v>
      </c>
    </row>
    <row r="313" ht="15.75" customHeight="1">
      <c r="A313" s="22" t="str">
        <f t="shared" si="3"/>
        <v>jueves</v>
      </c>
      <c r="B313" s="24" t="str">
        <f t="shared" si="4"/>
        <v>abril</v>
      </c>
      <c r="C313" s="37">
        <v>46142.0</v>
      </c>
      <c r="D313" s="28" t="s">
        <v>40</v>
      </c>
      <c r="E313" s="5">
        <v>67.0</v>
      </c>
      <c r="F313" s="5">
        <v>27.0</v>
      </c>
      <c r="G313" s="5">
        <v>1.0</v>
      </c>
      <c r="H313" s="5">
        <v>8.0</v>
      </c>
    </row>
    <row r="314" ht="15.75" customHeight="1">
      <c r="A314" s="22" t="str">
        <f t="shared" si="3"/>
        <v>jueves</v>
      </c>
      <c r="B314" s="24" t="str">
        <f t="shared" si="4"/>
        <v>abril</v>
      </c>
      <c r="C314" s="37">
        <v>46142.0</v>
      </c>
      <c r="D314" s="28" t="s">
        <v>41</v>
      </c>
      <c r="E314" s="5">
        <v>65.0</v>
      </c>
      <c r="F314" s="5">
        <v>51.0</v>
      </c>
      <c r="G314" s="5">
        <v>1.0</v>
      </c>
      <c r="H314" s="5">
        <v>3.0</v>
      </c>
    </row>
    <row r="315" ht="15.75" customHeight="1">
      <c r="A315" s="22" t="str">
        <f t="shared" si="3"/>
        <v>jueves</v>
      </c>
      <c r="B315" s="24" t="str">
        <f t="shared" si="4"/>
        <v>abril</v>
      </c>
      <c r="C315" s="37">
        <v>46142.0</v>
      </c>
      <c r="D315" s="28" t="s">
        <v>42</v>
      </c>
      <c r="E315" s="5">
        <v>60.0</v>
      </c>
      <c r="F315" s="5">
        <v>47.0</v>
      </c>
      <c r="G315" s="5">
        <v>6.0</v>
      </c>
      <c r="H315" s="5">
        <v>9.0</v>
      </c>
    </row>
    <row r="316" ht="15.75" customHeight="1">
      <c r="A316" s="22" t="str">
        <f t="shared" si="3"/>
        <v>jueves</v>
      </c>
      <c r="B316" s="24" t="str">
        <f t="shared" si="4"/>
        <v>abril</v>
      </c>
      <c r="C316" s="37">
        <v>46142.0</v>
      </c>
      <c r="D316" s="5" t="s">
        <v>117</v>
      </c>
      <c r="E316" s="5">
        <v>111.0</v>
      </c>
      <c r="F316" s="5">
        <v>56.0</v>
      </c>
      <c r="G316" s="5">
        <v>0.0</v>
      </c>
      <c r="H316" s="5">
        <v>0.0</v>
      </c>
    </row>
    <row r="317" ht="15.75" customHeight="1">
      <c r="A317" s="22" t="str">
        <f t="shared" si="3"/>
        <v>jueves</v>
      </c>
      <c r="B317" s="24" t="str">
        <f t="shared" si="4"/>
        <v>abril</v>
      </c>
      <c r="C317" s="37">
        <v>46142.0</v>
      </c>
      <c r="D317" s="28" t="s">
        <v>51</v>
      </c>
      <c r="E317" s="5">
        <v>50.0</v>
      </c>
      <c r="F317" s="5">
        <v>42.0</v>
      </c>
      <c r="G317" s="5">
        <v>7.0</v>
      </c>
      <c r="H317" s="5">
        <v>14.0</v>
      </c>
    </row>
    <row r="318" ht="15.75" customHeight="1">
      <c r="A318" s="22" t="str">
        <f t="shared" si="3"/>
        <v>jueves</v>
      </c>
      <c r="B318" s="24" t="str">
        <f t="shared" si="4"/>
        <v>abril</v>
      </c>
      <c r="C318" s="37">
        <v>46142.0</v>
      </c>
      <c r="D318" s="5" t="s">
        <v>89</v>
      </c>
      <c r="E318" s="5">
        <v>64.0</v>
      </c>
      <c r="F318" s="5">
        <v>37.0</v>
      </c>
      <c r="G318" s="5">
        <v>0.0</v>
      </c>
      <c r="H318" s="5">
        <v>0.0</v>
      </c>
    </row>
    <row r="319" ht="15.75" customHeight="1">
      <c r="A319" s="22" t="str">
        <f t="shared" si="3"/>
        <v>jueves</v>
      </c>
      <c r="B319" s="24" t="str">
        <f t="shared" si="4"/>
        <v>abril</v>
      </c>
      <c r="C319" s="37">
        <v>46142.0</v>
      </c>
      <c r="D319" s="28" t="s">
        <v>67</v>
      </c>
      <c r="E319" s="5">
        <v>75.0</v>
      </c>
      <c r="F319" s="5">
        <v>69.0</v>
      </c>
      <c r="G319" s="5">
        <v>0.0</v>
      </c>
      <c r="H319" s="5">
        <v>0.0</v>
      </c>
    </row>
    <row r="320" ht="15.75" customHeight="1">
      <c r="A320" s="22" t="str">
        <f t="shared" si="3"/>
        <v>jueves</v>
      </c>
      <c r="B320" s="24" t="str">
        <f t="shared" si="4"/>
        <v>abril</v>
      </c>
      <c r="C320" s="37">
        <v>46142.0</v>
      </c>
      <c r="D320" s="28" t="s">
        <v>58</v>
      </c>
      <c r="E320" s="5">
        <v>54.0</v>
      </c>
      <c r="F320" s="5">
        <v>23.0</v>
      </c>
      <c r="G320" s="5">
        <v>3.0</v>
      </c>
      <c r="H320" s="5">
        <v>3.0</v>
      </c>
    </row>
    <row r="321" ht="15.75" customHeight="1">
      <c r="A321" s="22" t="str">
        <f t="shared" si="3"/>
        <v>jueves</v>
      </c>
      <c r="B321" s="24" t="str">
        <f t="shared" si="4"/>
        <v>abril</v>
      </c>
      <c r="C321" s="37">
        <v>46142.0</v>
      </c>
      <c r="D321" s="28" t="s">
        <v>52</v>
      </c>
      <c r="E321" s="5">
        <v>24.0</v>
      </c>
      <c r="F321" s="5">
        <v>17.0</v>
      </c>
      <c r="G321" s="5">
        <v>6.0</v>
      </c>
      <c r="H321" s="5">
        <v>8.0</v>
      </c>
    </row>
    <row r="322" ht="15.75" customHeight="1">
      <c r="A322" s="22" t="str">
        <f t="shared" si="3"/>
        <v>jueves</v>
      </c>
      <c r="B322" s="24" t="str">
        <f t="shared" si="4"/>
        <v>abril</v>
      </c>
      <c r="C322" s="37">
        <v>46142.0</v>
      </c>
      <c r="D322" s="28" t="s">
        <v>53</v>
      </c>
      <c r="E322" s="5">
        <v>71.0</v>
      </c>
      <c r="F322" s="5">
        <v>49.0</v>
      </c>
      <c r="G322" s="5">
        <v>0.0</v>
      </c>
      <c r="H322" s="5">
        <v>0.0</v>
      </c>
    </row>
    <row r="323" ht="15.75" customHeight="1">
      <c r="A323" s="22" t="str">
        <f t="shared" si="3"/>
        <v>jueves</v>
      </c>
      <c r="B323" s="24" t="str">
        <f t="shared" si="4"/>
        <v>abril</v>
      </c>
      <c r="C323" s="37">
        <v>46142.0</v>
      </c>
      <c r="D323" s="28" t="s">
        <v>64</v>
      </c>
      <c r="E323" s="5">
        <v>162.0</v>
      </c>
      <c r="F323" s="5">
        <v>104.0</v>
      </c>
      <c r="G323" s="5">
        <v>4.0</v>
      </c>
      <c r="H323" s="5">
        <v>8.0</v>
      </c>
    </row>
    <row r="324" ht="15.75" customHeight="1">
      <c r="A324" s="22" t="str">
        <f t="shared" si="3"/>
        <v>jueves</v>
      </c>
      <c r="B324" s="24" t="str">
        <f t="shared" si="4"/>
        <v>abril</v>
      </c>
      <c r="C324" s="37">
        <v>46142.0</v>
      </c>
      <c r="D324" s="28" t="s">
        <v>65</v>
      </c>
      <c r="E324" s="5">
        <v>44.0</v>
      </c>
      <c r="F324" s="5">
        <v>37.0</v>
      </c>
      <c r="G324" s="5">
        <v>2.0</v>
      </c>
      <c r="H324" s="5">
        <v>3.0</v>
      </c>
    </row>
    <row r="325" ht="15.75" customHeight="1">
      <c r="A325" s="22" t="str">
        <f t="shared" si="3"/>
        <v>jueves</v>
      </c>
      <c r="B325" s="24" t="str">
        <f t="shared" si="4"/>
        <v>abril</v>
      </c>
      <c r="C325" s="37">
        <v>46142.0</v>
      </c>
      <c r="D325" s="28" t="s">
        <v>66</v>
      </c>
      <c r="E325" s="5">
        <v>116.0</v>
      </c>
      <c r="F325" s="5">
        <v>106.0</v>
      </c>
      <c r="G325" s="5">
        <v>0.0</v>
      </c>
      <c r="H325" s="5">
        <v>3.0</v>
      </c>
    </row>
    <row r="326" ht="15.75" customHeight="1">
      <c r="A326" s="22"/>
      <c r="B326" s="24"/>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U$50:$AB$66"/>
  <mergeCells count="18">
    <mergeCell ref="J1:K1"/>
    <mergeCell ref="AA1:AB1"/>
    <mergeCell ref="J2:N2"/>
    <mergeCell ref="O2:P2"/>
    <mergeCell ref="Q2:R2"/>
    <mergeCell ref="S2:S3"/>
    <mergeCell ref="J22:R22"/>
    <mergeCell ref="O49:P49"/>
    <mergeCell ref="Q49:R49"/>
    <mergeCell ref="V68:Y68"/>
    <mergeCell ref="K23:N23"/>
    <mergeCell ref="O23:P23"/>
    <mergeCell ref="Q23:R23"/>
    <mergeCell ref="U23:X23"/>
    <mergeCell ref="Y23:Z23"/>
    <mergeCell ref="AA23:AB23"/>
    <mergeCell ref="J49:N49"/>
    <mergeCell ref="AA49:AB49"/>
  </mergeCells>
  <conditionalFormatting sqref="P4:P18">
    <cfRule type="colorScale" priority="1">
      <colorScale>
        <cfvo type="min"/>
        <cfvo type="percentile" val="50"/>
        <cfvo type="max"/>
        <color rgb="FFEA9999"/>
        <color rgb="FFFFD666"/>
        <color rgb="FF93C47D"/>
      </colorScale>
    </cfRule>
  </conditionalFormatting>
  <conditionalFormatting sqref="Q4:Q18">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93C47D"/>
      </colorScale>
    </cfRule>
  </conditionalFormatting>
  <conditionalFormatting sqref="R4:R18">
    <cfRule type="colorScale" priority="4">
      <colorScale>
        <cfvo type="min"/>
        <cfvo type="percentile" val="50"/>
        <cfvo type="max"/>
        <color rgb="FFEA9999"/>
        <color rgb="FFFFD666"/>
        <color rgb="FF93C47D"/>
      </colorScale>
    </cfRule>
  </conditionalFormatting>
  <conditionalFormatting sqref="M4:M18">
    <cfRule type="colorScale" priority="5">
      <colorScale>
        <cfvo type="min"/>
        <cfvo type="percentile" val="50"/>
        <cfvo type="max"/>
        <color rgb="FFDD7E6B"/>
        <color rgb="FFFFD666"/>
        <color rgb="FF6AA84F"/>
      </colorScale>
    </cfRule>
  </conditionalFormatting>
  <conditionalFormatting sqref="N4:N18">
    <cfRule type="colorScale" priority="6">
      <colorScale>
        <cfvo type="min"/>
        <cfvo type="percentile" val="50"/>
        <cfvo type="max"/>
        <color rgb="FFEA9999"/>
        <color rgb="FFFFD666"/>
        <color rgb="FF6AA84F"/>
      </colorScale>
    </cfRule>
  </conditionalFormatting>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5" t="s">
        <v>101</v>
      </c>
      <c r="D1" s="6" t="s">
        <v>102</v>
      </c>
      <c r="F1" s="5">
        <v>289.0</v>
      </c>
      <c r="J1" s="9">
        <v>46082.0</v>
      </c>
      <c r="X1" s="5"/>
    </row>
    <row r="2" ht="15.75" customHeight="1">
      <c r="D2" s="6" t="s">
        <v>105</v>
      </c>
      <c r="J2" s="12" t="s">
        <v>106</v>
      </c>
      <c r="O2" s="13" t="s">
        <v>18</v>
      </c>
      <c r="Q2" s="13" t="s">
        <v>19</v>
      </c>
      <c r="S2" s="14" t="s">
        <v>20</v>
      </c>
      <c r="Z2" s="10" t="s">
        <v>9</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0" t="s">
        <v>25</v>
      </c>
      <c r="AA3" s="20" t="s">
        <v>37</v>
      </c>
    </row>
    <row r="4" ht="15.75" customHeight="1">
      <c r="A4" s="22" t="str">
        <f t="shared" ref="A4:A314" si="2">TEXT(C4,"dddd")</f>
        <v>domingo</v>
      </c>
      <c r="B4" s="24" t="str">
        <f t="shared" ref="B4:B314" si="3">TEXT(C4,"mmmm")</f>
        <v>marzo</v>
      </c>
      <c r="C4" s="37">
        <v>46082.0</v>
      </c>
      <c r="D4" s="26" t="s">
        <v>39</v>
      </c>
      <c r="E4" s="27">
        <v>105.0</v>
      </c>
      <c r="F4" s="27">
        <v>46.0</v>
      </c>
      <c r="G4" s="27">
        <v>1.0</v>
      </c>
      <c r="H4" s="27">
        <v>4.0</v>
      </c>
      <c r="J4" s="28" t="s">
        <v>39</v>
      </c>
      <c r="K4" s="23">
        <f t="shared" ref="K4:K18" si="4">AVERAGEIF($D$4:$D$350,J4,$E$4:$E$350)</f>
        <v>87.22222222</v>
      </c>
      <c r="L4" s="23">
        <f t="shared" ref="L4:L18" si="5">AVERAGEIF($D$4:$D$350,J4,$F$4:$F$350)</f>
        <v>44.27777778</v>
      </c>
      <c r="M4" s="23">
        <f t="shared" ref="M4:M18" si="6">AVERAGEIF($D$4:$D$350,J4,$G$4:$G$350)</f>
        <v>1.833333333</v>
      </c>
      <c r="N4" s="23">
        <f t="shared" ref="N4:N18" si="7">AVERAGEIF($D$4:$D$350,J4,$H$4:$H$350)</f>
        <v>8</v>
      </c>
      <c r="O4" s="29">
        <f t="shared" ref="O4:O18" si="8">K4/S4</f>
        <v>10.90277778</v>
      </c>
      <c r="P4" s="29">
        <f t="shared" ref="P4:P18" si="9">L4/S4</f>
        <v>5.534722222</v>
      </c>
      <c r="Q4" s="23">
        <f t="shared" ref="Q4:Q18" si="10">K4*T4</f>
        <v>436.1111111</v>
      </c>
      <c r="R4" s="23">
        <f t="shared" ref="R4:R18" si="11">L4*T4</f>
        <v>221.3888889</v>
      </c>
      <c r="S4" s="30">
        <v>8.0</v>
      </c>
      <c r="T4" s="30">
        <v>5.0</v>
      </c>
      <c r="Z4" s="23">
        <f t="shared" ref="Z4:AA4" si="1">V4/4</f>
        <v>0</v>
      </c>
      <c r="AA4" s="23">
        <f t="shared" si="1"/>
        <v>0</v>
      </c>
    </row>
    <row r="5" ht="15.75" customHeight="1">
      <c r="A5" s="22" t="str">
        <f t="shared" si="2"/>
        <v>domingo</v>
      </c>
      <c r="B5" s="24" t="str">
        <f t="shared" si="3"/>
        <v>marzo</v>
      </c>
      <c r="C5" s="37">
        <v>46082.0</v>
      </c>
      <c r="D5" s="28" t="s">
        <v>40</v>
      </c>
      <c r="E5" s="5">
        <v>88.0</v>
      </c>
      <c r="F5" s="5">
        <v>44.0</v>
      </c>
      <c r="G5" s="5">
        <v>5.0</v>
      </c>
      <c r="H5" s="5">
        <v>8.0</v>
      </c>
      <c r="J5" s="28" t="s">
        <v>40</v>
      </c>
      <c r="K5" s="23">
        <f t="shared" si="4"/>
        <v>73.28571429</v>
      </c>
      <c r="L5" s="23">
        <f t="shared" si="5"/>
        <v>39.57142857</v>
      </c>
      <c r="M5" s="23">
        <f t="shared" si="6"/>
        <v>4.785714286</v>
      </c>
      <c r="N5" s="23">
        <f t="shared" si="7"/>
        <v>9.785714286</v>
      </c>
      <c r="O5" s="29">
        <f t="shared" si="8"/>
        <v>7.328571429</v>
      </c>
      <c r="P5" s="29">
        <f t="shared" si="9"/>
        <v>3.957142857</v>
      </c>
      <c r="Q5" s="23">
        <f t="shared" si="10"/>
        <v>293.1428571</v>
      </c>
      <c r="R5" s="23">
        <f t="shared" si="11"/>
        <v>158.2857143</v>
      </c>
      <c r="S5" s="30">
        <v>10.0</v>
      </c>
      <c r="T5" s="30">
        <v>4.0</v>
      </c>
      <c r="V5" s="59"/>
      <c r="W5" s="59"/>
      <c r="X5" s="59"/>
      <c r="Y5" s="59"/>
      <c r="Z5" s="23">
        <f t="shared" ref="Z5:AA5" si="12">V5/4</f>
        <v>0</v>
      </c>
      <c r="AA5" s="23">
        <f t="shared" si="12"/>
        <v>0</v>
      </c>
    </row>
    <row r="6" ht="15.75" customHeight="1">
      <c r="A6" s="22" t="str">
        <f t="shared" si="2"/>
        <v>domingo</v>
      </c>
      <c r="B6" s="24" t="str">
        <f t="shared" si="3"/>
        <v>marzo</v>
      </c>
      <c r="C6" s="37">
        <v>46082.0</v>
      </c>
      <c r="D6" s="5" t="s">
        <v>43</v>
      </c>
      <c r="E6" s="5">
        <v>84.0</v>
      </c>
      <c r="F6" s="5">
        <v>50.0</v>
      </c>
      <c r="G6" s="5">
        <v>6.0</v>
      </c>
      <c r="H6" s="5">
        <v>15.0</v>
      </c>
      <c r="J6" s="28" t="s">
        <v>44</v>
      </c>
      <c r="K6" s="23">
        <f t="shared" si="4"/>
        <v>51.16666667</v>
      </c>
      <c r="L6" s="23">
        <f t="shared" si="5"/>
        <v>49.83333333</v>
      </c>
      <c r="M6" s="23">
        <f t="shared" si="6"/>
        <v>0</v>
      </c>
      <c r="N6" s="23">
        <f t="shared" si="7"/>
        <v>0</v>
      </c>
      <c r="O6" s="29">
        <f t="shared" si="8"/>
        <v>4.651515152</v>
      </c>
      <c r="P6" s="29">
        <f t="shared" si="9"/>
        <v>4.53030303</v>
      </c>
      <c r="Q6" s="23">
        <f t="shared" si="10"/>
        <v>204.6666667</v>
      </c>
      <c r="R6" s="23">
        <f t="shared" si="11"/>
        <v>199.3333333</v>
      </c>
      <c r="S6" s="30">
        <v>11.0</v>
      </c>
      <c r="T6" s="30">
        <v>4.0</v>
      </c>
      <c r="V6" s="59"/>
      <c r="W6" s="59"/>
      <c r="X6" s="59"/>
      <c r="Y6" s="59"/>
      <c r="Z6" s="23">
        <f t="shared" ref="Z6:AA6" si="13">V6/4</f>
        <v>0</v>
      </c>
      <c r="AA6" s="23">
        <f t="shared" si="13"/>
        <v>0</v>
      </c>
    </row>
    <row r="7" ht="15.75" customHeight="1">
      <c r="A7" s="22" t="str">
        <f t="shared" si="2"/>
        <v>domingo</v>
      </c>
      <c r="B7" s="24" t="str">
        <f t="shared" si="3"/>
        <v>marzo</v>
      </c>
      <c r="C7" s="37">
        <v>46082.0</v>
      </c>
      <c r="D7" s="28" t="s">
        <v>44</v>
      </c>
      <c r="E7" s="5">
        <v>116.0</v>
      </c>
      <c r="F7" s="5">
        <v>106.0</v>
      </c>
      <c r="G7" s="5">
        <v>0.0</v>
      </c>
      <c r="H7" s="5">
        <v>0.0</v>
      </c>
      <c r="J7" s="28" t="s">
        <v>59</v>
      </c>
      <c r="K7" s="23">
        <f t="shared" si="4"/>
        <v>84.08333333</v>
      </c>
      <c r="L7" s="23">
        <f t="shared" si="5"/>
        <v>71.58333333</v>
      </c>
      <c r="M7" s="23">
        <f t="shared" si="6"/>
        <v>2.333333333</v>
      </c>
      <c r="N7" s="23">
        <f t="shared" si="7"/>
        <v>1</v>
      </c>
      <c r="O7" s="29">
        <f t="shared" si="8"/>
        <v>7.643939394</v>
      </c>
      <c r="P7" s="29">
        <f t="shared" si="9"/>
        <v>6.507575758</v>
      </c>
      <c r="Q7" s="23">
        <f t="shared" si="10"/>
        <v>336.3333333</v>
      </c>
      <c r="R7" s="23">
        <f t="shared" si="11"/>
        <v>286.3333333</v>
      </c>
      <c r="S7" s="30">
        <v>11.0</v>
      </c>
      <c r="T7" s="30">
        <v>4.0</v>
      </c>
      <c r="V7" s="59"/>
      <c r="W7" s="59"/>
      <c r="X7" s="59"/>
      <c r="Y7" s="59"/>
      <c r="Z7" s="23">
        <f t="shared" ref="Z7:AA7" si="14">V7/4</f>
        <v>0</v>
      </c>
      <c r="AA7" s="23">
        <f t="shared" si="14"/>
        <v>0</v>
      </c>
    </row>
    <row r="8" ht="15.75" customHeight="1">
      <c r="A8" s="22" t="str">
        <f t="shared" si="2"/>
        <v>domingo</v>
      </c>
      <c r="B8" s="24" t="str">
        <f t="shared" si="3"/>
        <v>marzo</v>
      </c>
      <c r="C8" s="37">
        <v>46082.0</v>
      </c>
      <c r="D8" s="28" t="s">
        <v>59</v>
      </c>
      <c r="E8" s="5">
        <v>112.0</v>
      </c>
      <c r="F8" s="5">
        <v>99.0</v>
      </c>
      <c r="G8" s="5">
        <v>0.0</v>
      </c>
      <c r="H8" s="5">
        <v>0.0</v>
      </c>
      <c r="J8" s="28" t="s">
        <v>52</v>
      </c>
      <c r="K8" s="23">
        <f t="shared" si="4"/>
        <v>46.73333333</v>
      </c>
      <c r="L8" s="23">
        <f t="shared" si="5"/>
        <v>31.86666667</v>
      </c>
      <c r="M8" s="23">
        <f t="shared" si="6"/>
        <v>4.6</v>
      </c>
      <c r="N8" s="23">
        <f t="shared" si="7"/>
        <v>5.4</v>
      </c>
      <c r="O8" s="29">
        <f t="shared" si="8"/>
        <v>4.673333333</v>
      </c>
      <c r="P8" s="29">
        <f t="shared" si="9"/>
        <v>3.186666667</v>
      </c>
      <c r="Q8" s="23">
        <f t="shared" si="10"/>
        <v>186.9333333</v>
      </c>
      <c r="R8" s="23">
        <f t="shared" si="11"/>
        <v>127.4666667</v>
      </c>
      <c r="S8" s="30">
        <v>10.0</v>
      </c>
      <c r="T8" s="30">
        <v>4.0</v>
      </c>
      <c r="V8" s="59"/>
      <c r="W8" s="59"/>
      <c r="X8" s="59"/>
      <c r="Y8" s="59"/>
      <c r="Z8" s="23">
        <f t="shared" ref="Z8:AA8" si="15">V8/4</f>
        <v>0</v>
      </c>
      <c r="AA8" s="23">
        <f t="shared" si="15"/>
        <v>0</v>
      </c>
    </row>
    <row r="9" ht="15.75" customHeight="1">
      <c r="A9" s="22" t="str">
        <f t="shared" si="2"/>
        <v>domingo</v>
      </c>
      <c r="B9" s="24" t="str">
        <f t="shared" si="3"/>
        <v>marzo</v>
      </c>
      <c r="C9" s="37">
        <v>46082.0</v>
      </c>
      <c r="D9" s="28" t="s">
        <v>52</v>
      </c>
      <c r="E9" s="5">
        <v>36.0</v>
      </c>
      <c r="F9" s="5">
        <v>19.0</v>
      </c>
      <c r="G9" s="5">
        <v>3.0</v>
      </c>
      <c r="H9" s="5">
        <v>4.0</v>
      </c>
      <c r="J9" s="28" t="s">
        <v>53</v>
      </c>
      <c r="K9" s="23">
        <f t="shared" si="4"/>
        <v>101.5625</v>
      </c>
      <c r="L9" s="23">
        <f t="shared" si="5"/>
        <v>54</v>
      </c>
      <c r="M9" s="23">
        <f t="shared" si="6"/>
        <v>2.5625</v>
      </c>
      <c r="N9" s="23">
        <f t="shared" si="7"/>
        <v>4.5</v>
      </c>
      <c r="O9" s="29">
        <f t="shared" si="8"/>
        <v>10.15625</v>
      </c>
      <c r="P9" s="29">
        <f t="shared" si="9"/>
        <v>5.4</v>
      </c>
      <c r="Q9" s="23">
        <f t="shared" si="10"/>
        <v>406.25</v>
      </c>
      <c r="R9" s="23">
        <f t="shared" si="11"/>
        <v>216</v>
      </c>
      <c r="S9" s="30">
        <v>10.0</v>
      </c>
      <c r="T9" s="30">
        <v>4.0</v>
      </c>
      <c r="V9" s="59"/>
      <c r="W9" s="59"/>
      <c r="X9" s="59"/>
      <c r="Y9" s="59"/>
      <c r="Z9" s="23">
        <f t="shared" ref="Z9:AA9" si="16">V9/4</f>
        <v>0</v>
      </c>
      <c r="AA9" s="23">
        <f t="shared" si="16"/>
        <v>0</v>
      </c>
    </row>
    <row r="10" ht="15.75" customHeight="1">
      <c r="A10" s="22" t="str">
        <f t="shared" si="2"/>
        <v>domingo</v>
      </c>
      <c r="B10" s="24" t="str">
        <f t="shared" si="3"/>
        <v>marzo</v>
      </c>
      <c r="C10" s="37">
        <v>46082.0</v>
      </c>
      <c r="D10" s="28" t="s">
        <v>53</v>
      </c>
      <c r="E10" s="5">
        <v>173.0</v>
      </c>
      <c r="F10" s="5">
        <v>63.0</v>
      </c>
      <c r="G10" s="5">
        <v>0.0</v>
      </c>
      <c r="H10" s="5">
        <v>11.0</v>
      </c>
      <c r="J10" s="28" t="s">
        <v>60</v>
      </c>
      <c r="K10" s="23">
        <f t="shared" si="4"/>
        <v>132.6666667</v>
      </c>
      <c r="L10" s="23">
        <f t="shared" si="5"/>
        <v>63.25</v>
      </c>
      <c r="M10" s="23">
        <f t="shared" si="6"/>
        <v>3.583333333</v>
      </c>
      <c r="N10" s="23">
        <f t="shared" si="7"/>
        <v>7.083333333</v>
      </c>
      <c r="O10" s="29">
        <f t="shared" si="8"/>
        <v>13.26666667</v>
      </c>
      <c r="P10" s="29">
        <f t="shared" si="9"/>
        <v>6.325</v>
      </c>
      <c r="Q10" s="23">
        <f t="shared" si="10"/>
        <v>530.6666667</v>
      </c>
      <c r="R10" s="23">
        <f t="shared" si="11"/>
        <v>253</v>
      </c>
      <c r="S10" s="30">
        <v>10.0</v>
      </c>
      <c r="T10" s="30">
        <v>4.0</v>
      </c>
      <c r="V10" s="59"/>
      <c r="W10" s="59"/>
      <c r="X10" s="59"/>
      <c r="Y10" s="59"/>
      <c r="Z10" s="23">
        <f t="shared" ref="Z10:AA10" si="17">V10/4</f>
        <v>0</v>
      </c>
      <c r="AA10" s="23">
        <f t="shared" si="17"/>
        <v>0</v>
      </c>
    </row>
    <row r="11" ht="15.75" customHeight="1">
      <c r="A11" s="22" t="str">
        <f t="shared" si="2"/>
        <v>domingo</v>
      </c>
      <c r="B11" s="24" t="str">
        <f t="shared" si="3"/>
        <v>marzo</v>
      </c>
      <c r="C11" s="37">
        <v>46082.0</v>
      </c>
      <c r="D11" s="28" t="s">
        <v>60</v>
      </c>
      <c r="E11" s="5">
        <v>172.0</v>
      </c>
      <c r="F11" s="5">
        <v>106.0</v>
      </c>
      <c r="G11" s="5">
        <v>4.0</v>
      </c>
      <c r="H11" s="5">
        <v>4.0</v>
      </c>
      <c r="J11" s="28" t="s">
        <v>41</v>
      </c>
      <c r="K11" s="23">
        <f t="shared" si="4"/>
        <v>76.3125</v>
      </c>
      <c r="L11" s="23">
        <f t="shared" si="5"/>
        <v>57.8125</v>
      </c>
      <c r="M11" s="23">
        <f t="shared" si="6"/>
        <v>1.8125</v>
      </c>
      <c r="N11" s="23">
        <f t="shared" si="7"/>
        <v>6.0625</v>
      </c>
      <c r="O11" s="29">
        <f t="shared" si="8"/>
        <v>6.9375</v>
      </c>
      <c r="P11" s="29">
        <f t="shared" si="9"/>
        <v>5.255681818</v>
      </c>
      <c r="Q11" s="23">
        <f t="shared" si="10"/>
        <v>305.25</v>
      </c>
      <c r="R11" s="23">
        <f t="shared" si="11"/>
        <v>231.25</v>
      </c>
      <c r="S11" s="30">
        <v>11.0</v>
      </c>
      <c r="T11" s="30">
        <v>4.0</v>
      </c>
      <c r="V11" s="59"/>
      <c r="W11" s="59"/>
      <c r="X11" s="59"/>
      <c r="Y11" s="59"/>
      <c r="Z11" s="23">
        <f t="shared" ref="Z11:AA11" si="18">V11/4</f>
        <v>0</v>
      </c>
      <c r="AA11" s="23">
        <f t="shared" si="18"/>
        <v>0</v>
      </c>
    </row>
    <row r="12" ht="15.75" customHeight="1">
      <c r="A12" s="22" t="str">
        <f t="shared" si="2"/>
        <v>lunes</v>
      </c>
      <c r="B12" s="24" t="str">
        <f t="shared" si="3"/>
        <v>marzo</v>
      </c>
      <c r="C12" s="37">
        <v>46083.0</v>
      </c>
      <c r="D12" s="28" t="s">
        <v>39</v>
      </c>
      <c r="E12" s="5">
        <v>80.0</v>
      </c>
      <c r="F12" s="5">
        <v>49.0</v>
      </c>
      <c r="G12" s="5">
        <v>3.0</v>
      </c>
      <c r="H12" s="5">
        <v>6.0</v>
      </c>
      <c r="J12" s="28" t="s">
        <v>42</v>
      </c>
      <c r="K12" s="23">
        <f t="shared" si="4"/>
        <v>90.88235294</v>
      </c>
      <c r="L12" s="23">
        <f t="shared" si="5"/>
        <v>52.76470588</v>
      </c>
      <c r="M12" s="23">
        <f t="shared" si="6"/>
        <v>3.117647059</v>
      </c>
      <c r="N12" s="23">
        <f t="shared" si="7"/>
        <v>18.17647059</v>
      </c>
      <c r="O12" s="29">
        <f t="shared" si="8"/>
        <v>9.088235294</v>
      </c>
      <c r="P12" s="29">
        <f t="shared" si="9"/>
        <v>5.276470588</v>
      </c>
      <c r="Q12" s="23">
        <f t="shared" si="10"/>
        <v>363.5294118</v>
      </c>
      <c r="R12" s="23">
        <f t="shared" si="11"/>
        <v>211.0588235</v>
      </c>
      <c r="S12" s="30">
        <v>10.0</v>
      </c>
      <c r="T12" s="30">
        <v>4.0</v>
      </c>
      <c r="V12" s="59"/>
      <c r="W12" s="59"/>
      <c r="X12" s="59"/>
      <c r="Y12" s="59"/>
      <c r="Z12" s="23">
        <f t="shared" ref="Z12:AA12" si="19">V12/4</f>
        <v>0</v>
      </c>
      <c r="AA12" s="23">
        <f t="shared" si="19"/>
        <v>0</v>
      </c>
    </row>
    <row r="13" ht="15.75" customHeight="1">
      <c r="A13" s="22" t="str">
        <f t="shared" si="2"/>
        <v>lunes</v>
      </c>
      <c r="B13" s="24" t="str">
        <f t="shared" si="3"/>
        <v>marzo</v>
      </c>
      <c r="C13" s="37">
        <v>46083.0</v>
      </c>
      <c r="D13" s="28" t="s">
        <v>41</v>
      </c>
      <c r="E13" s="5">
        <v>82.0</v>
      </c>
      <c r="F13" s="5">
        <v>52.0</v>
      </c>
      <c r="G13" s="5">
        <v>2.0</v>
      </c>
      <c r="H13" s="5">
        <v>5.0</v>
      </c>
      <c r="J13" s="28" t="s">
        <v>67</v>
      </c>
      <c r="K13" s="23">
        <f t="shared" si="4"/>
        <v>80</v>
      </c>
      <c r="L13" s="23">
        <f t="shared" si="5"/>
        <v>67.25</v>
      </c>
      <c r="M13" s="23">
        <f t="shared" si="6"/>
        <v>2.9375</v>
      </c>
      <c r="N13" s="23">
        <f t="shared" si="7"/>
        <v>3.375</v>
      </c>
      <c r="O13" s="29">
        <f t="shared" si="8"/>
        <v>8</v>
      </c>
      <c r="P13" s="29">
        <f t="shared" si="9"/>
        <v>6.725</v>
      </c>
      <c r="Q13" s="23">
        <f t="shared" si="10"/>
        <v>320</v>
      </c>
      <c r="R13" s="23">
        <f t="shared" si="11"/>
        <v>269</v>
      </c>
      <c r="S13" s="30">
        <v>10.0</v>
      </c>
      <c r="T13" s="30">
        <v>4.0</v>
      </c>
      <c r="V13" s="59"/>
      <c r="W13" s="59"/>
      <c r="X13" s="59"/>
      <c r="Y13" s="59"/>
      <c r="Z13" s="23">
        <f t="shared" ref="Z13:AA13" si="20">V13/4</f>
        <v>0</v>
      </c>
      <c r="AA13" s="23">
        <f t="shared" si="20"/>
        <v>0</v>
      </c>
    </row>
    <row r="14" ht="15.75" customHeight="1">
      <c r="A14" s="22" t="str">
        <f t="shared" si="2"/>
        <v>lunes</v>
      </c>
      <c r="B14" s="24" t="str">
        <f t="shared" si="3"/>
        <v>marzo</v>
      </c>
      <c r="C14" s="37">
        <v>46083.0</v>
      </c>
      <c r="D14" s="28" t="s">
        <v>42</v>
      </c>
      <c r="E14" s="5">
        <v>98.0</v>
      </c>
      <c r="F14" s="5">
        <v>47.0</v>
      </c>
      <c r="G14" s="5">
        <v>4.0</v>
      </c>
      <c r="H14" s="5">
        <v>15.0</v>
      </c>
      <c r="J14" s="28" t="s">
        <v>58</v>
      </c>
      <c r="K14" s="23">
        <f t="shared" si="4"/>
        <v>72.08695652</v>
      </c>
      <c r="L14" s="23">
        <f t="shared" si="5"/>
        <v>33.2173913</v>
      </c>
      <c r="M14" s="23">
        <f t="shared" si="6"/>
        <v>4.260869565</v>
      </c>
      <c r="N14" s="23">
        <f t="shared" si="7"/>
        <v>2.826086957</v>
      </c>
      <c r="O14" s="29">
        <f t="shared" si="8"/>
        <v>9.010869565</v>
      </c>
      <c r="P14" s="29">
        <f t="shared" si="9"/>
        <v>4.152173913</v>
      </c>
      <c r="Q14" s="23">
        <f t="shared" si="10"/>
        <v>360.4347826</v>
      </c>
      <c r="R14" s="23">
        <f t="shared" si="11"/>
        <v>166.0869565</v>
      </c>
      <c r="S14" s="30">
        <v>8.0</v>
      </c>
      <c r="T14" s="30">
        <v>5.0</v>
      </c>
      <c r="V14" s="59"/>
      <c r="W14" s="59"/>
      <c r="X14" s="59"/>
      <c r="Y14" s="59"/>
      <c r="Z14" s="23">
        <f t="shared" ref="Z14:AA14" si="21">V14/4</f>
        <v>0</v>
      </c>
      <c r="AA14" s="23">
        <f t="shared" si="21"/>
        <v>0</v>
      </c>
    </row>
    <row r="15" ht="15.75" customHeight="1">
      <c r="A15" s="22" t="str">
        <f t="shared" si="2"/>
        <v>lunes</v>
      </c>
      <c r="B15" s="24" t="str">
        <f t="shared" si="3"/>
        <v>marzo</v>
      </c>
      <c r="C15" s="37">
        <v>46083.0</v>
      </c>
      <c r="D15" s="28" t="s">
        <v>44</v>
      </c>
      <c r="E15" s="5">
        <v>58.0</v>
      </c>
      <c r="F15" s="5">
        <v>55.0</v>
      </c>
      <c r="G15" s="5">
        <v>0.0</v>
      </c>
      <c r="H15" s="5">
        <v>0.0</v>
      </c>
      <c r="J15" s="28" t="s">
        <v>64</v>
      </c>
      <c r="K15" s="23">
        <f t="shared" si="4"/>
        <v>138.5714286</v>
      </c>
      <c r="L15" s="23">
        <f t="shared" si="5"/>
        <v>77.66666667</v>
      </c>
      <c r="M15" s="23">
        <f t="shared" si="6"/>
        <v>5.904761905</v>
      </c>
      <c r="N15" s="23">
        <f t="shared" si="7"/>
        <v>8.333333333</v>
      </c>
      <c r="O15" s="29">
        <f t="shared" si="8"/>
        <v>17.32142857</v>
      </c>
      <c r="P15" s="29">
        <f t="shared" si="9"/>
        <v>9.708333333</v>
      </c>
      <c r="Q15" s="23">
        <f t="shared" si="10"/>
        <v>692.8571429</v>
      </c>
      <c r="R15" s="23">
        <f t="shared" si="11"/>
        <v>388.3333333</v>
      </c>
      <c r="S15" s="30">
        <v>8.0</v>
      </c>
      <c r="T15" s="30">
        <v>5.0</v>
      </c>
      <c r="V15" s="59"/>
      <c r="W15" s="59"/>
      <c r="X15" s="59"/>
      <c r="Y15" s="59"/>
      <c r="Z15" s="23">
        <f t="shared" ref="Z15:AA15" si="22">V15/4</f>
        <v>0</v>
      </c>
      <c r="AA15" s="23">
        <f t="shared" si="22"/>
        <v>0</v>
      </c>
    </row>
    <row r="16" ht="15.75" customHeight="1">
      <c r="A16" s="22" t="str">
        <f t="shared" si="2"/>
        <v>lunes</v>
      </c>
      <c r="B16" s="24" t="str">
        <f t="shared" si="3"/>
        <v>marzo</v>
      </c>
      <c r="C16" s="37">
        <v>46083.0</v>
      </c>
      <c r="D16" s="5" t="s">
        <v>89</v>
      </c>
      <c r="E16" s="5">
        <v>152.0</v>
      </c>
      <c r="F16" s="5">
        <v>38.0</v>
      </c>
      <c r="G16" s="5">
        <v>0.0</v>
      </c>
      <c r="H16" s="5">
        <v>0.0</v>
      </c>
      <c r="J16" s="28" t="s">
        <v>65</v>
      </c>
      <c r="K16" s="23">
        <f t="shared" si="4"/>
        <v>79.52173913</v>
      </c>
      <c r="L16" s="23">
        <f t="shared" si="5"/>
        <v>60.86956522</v>
      </c>
      <c r="M16" s="23">
        <f t="shared" si="6"/>
        <v>3.173913043</v>
      </c>
      <c r="N16" s="23">
        <f t="shared" si="7"/>
        <v>4</v>
      </c>
      <c r="O16" s="29">
        <f t="shared" si="8"/>
        <v>9.940217391</v>
      </c>
      <c r="P16" s="29">
        <f t="shared" si="9"/>
        <v>7.608695652</v>
      </c>
      <c r="Q16" s="23">
        <f t="shared" si="10"/>
        <v>397.6086957</v>
      </c>
      <c r="R16" s="23">
        <f t="shared" si="11"/>
        <v>304.3478261</v>
      </c>
      <c r="S16" s="30">
        <v>8.0</v>
      </c>
      <c r="T16" s="30">
        <v>5.0</v>
      </c>
      <c r="V16" s="59"/>
      <c r="W16" s="59"/>
      <c r="X16" s="59"/>
      <c r="Y16" s="59"/>
      <c r="Z16" s="23">
        <f t="shared" ref="Z16:AA16" si="23">V16/4</f>
        <v>0</v>
      </c>
      <c r="AA16" s="23">
        <f t="shared" si="23"/>
        <v>0</v>
      </c>
    </row>
    <row r="17" ht="15.75" customHeight="1">
      <c r="A17" s="22" t="str">
        <f t="shared" si="2"/>
        <v>lunes</v>
      </c>
      <c r="B17" s="24" t="str">
        <f t="shared" si="3"/>
        <v>marzo</v>
      </c>
      <c r="C17" s="37">
        <v>46083.0</v>
      </c>
      <c r="D17" s="5" t="s">
        <v>90</v>
      </c>
      <c r="E17" s="5">
        <v>99.0</v>
      </c>
      <c r="F17" s="5">
        <v>58.0</v>
      </c>
      <c r="G17" s="5">
        <v>0.0</v>
      </c>
      <c r="H17" s="5">
        <v>0.0</v>
      </c>
      <c r="J17" s="28" t="s">
        <v>51</v>
      </c>
      <c r="K17" s="23">
        <f t="shared" si="4"/>
        <v>59.75</v>
      </c>
      <c r="L17" s="23">
        <f t="shared" si="5"/>
        <v>44.9375</v>
      </c>
      <c r="M17" s="23">
        <f t="shared" si="6"/>
        <v>1.75</v>
      </c>
      <c r="N17" s="23">
        <f t="shared" si="7"/>
        <v>13.5625</v>
      </c>
      <c r="O17" s="29">
        <f t="shared" si="8"/>
        <v>5.431818182</v>
      </c>
      <c r="P17" s="29">
        <f t="shared" si="9"/>
        <v>4.085227273</v>
      </c>
      <c r="Q17" s="23">
        <f t="shared" si="10"/>
        <v>239</v>
      </c>
      <c r="R17" s="23">
        <f t="shared" si="11"/>
        <v>179.75</v>
      </c>
      <c r="S17" s="30">
        <v>11.0</v>
      </c>
      <c r="T17" s="30">
        <v>4.0</v>
      </c>
      <c r="V17" s="59"/>
      <c r="W17" s="59"/>
      <c r="X17" s="59"/>
      <c r="Y17" s="59"/>
      <c r="Z17" s="23">
        <f t="shared" ref="Z17:AA17" si="24">V17/4</f>
        <v>0</v>
      </c>
      <c r="AA17" s="23">
        <f t="shared" si="24"/>
        <v>0</v>
      </c>
    </row>
    <row r="18" ht="15.75" customHeight="1">
      <c r="A18" s="22" t="str">
        <f t="shared" si="2"/>
        <v>lunes</v>
      </c>
      <c r="B18" s="24" t="str">
        <f t="shared" si="3"/>
        <v>marzo</v>
      </c>
      <c r="C18" s="37">
        <v>46083.0</v>
      </c>
      <c r="D18" s="28" t="s">
        <v>59</v>
      </c>
      <c r="E18" s="5">
        <v>57.0</v>
      </c>
      <c r="F18" s="5">
        <v>43.0</v>
      </c>
      <c r="G18" s="5">
        <v>3.0</v>
      </c>
      <c r="H18" s="5">
        <v>0.0</v>
      </c>
      <c r="J18" s="28" t="s">
        <v>66</v>
      </c>
      <c r="K18" s="23">
        <f t="shared" si="4"/>
        <v>109.6956522</v>
      </c>
      <c r="L18" s="23">
        <f t="shared" si="5"/>
        <v>89.08695652</v>
      </c>
      <c r="M18" s="23">
        <f t="shared" si="6"/>
        <v>1.173913043</v>
      </c>
      <c r="N18" s="23">
        <f t="shared" si="7"/>
        <v>3.869565217</v>
      </c>
      <c r="O18" s="29">
        <f t="shared" si="8"/>
        <v>13.71195652</v>
      </c>
      <c r="P18" s="29">
        <f t="shared" si="9"/>
        <v>11.13586957</v>
      </c>
      <c r="Q18" s="23">
        <f t="shared" si="10"/>
        <v>548.4782609</v>
      </c>
      <c r="R18" s="23">
        <f t="shared" si="11"/>
        <v>445.4347826</v>
      </c>
      <c r="S18" s="30">
        <v>8.0</v>
      </c>
      <c r="T18" s="30">
        <v>5.0</v>
      </c>
      <c r="V18" s="59"/>
      <c r="W18" s="59"/>
      <c r="X18" s="59"/>
      <c r="Y18" s="59"/>
      <c r="Z18" s="23">
        <f t="shared" ref="Z18:AA18" si="25">V18/4</f>
        <v>0</v>
      </c>
      <c r="AA18" s="23">
        <f t="shared" si="25"/>
        <v>0</v>
      </c>
    </row>
    <row r="19" ht="15.75" customHeight="1">
      <c r="A19" s="22" t="str">
        <f t="shared" si="2"/>
        <v>lunes</v>
      </c>
      <c r="B19" s="24" t="str">
        <f t="shared" si="3"/>
        <v>marzo</v>
      </c>
      <c r="C19" s="37">
        <v>46083.0</v>
      </c>
      <c r="D19" s="28" t="s">
        <v>67</v>
      </c>
      <c r="E19" s="5">
        <v>94.0</v>
      </c>
      <c r="F19" s="5">
        <v>85.0</v>
      </c>
      <c r="G19" s="5">
        <v>4.0</v>
      </c>
      <c r="H19" s="5">
        <v>3.0</v>
      </c>
      <c r="AO19" s="38"/>
    </row>
    <row r="20" ht="15.75" customHeight="1">
      <c r="A20" s="22" t="str">
        <f t="shared" si="2"/>
        <v>lunes</v>
      </c>
      <c r="B20" s="24" t="str">
        <f t="shared" si="3"/>
        <v>marzo</v>
      </c>
      <c r="C20" s="37">
        <v>46083.0</v>
      </c>
      <c r="D20" s="5" t="s">
        <v>93</v>
      </c>
      <c r="E20" s="5">
        <v>119.0</v>
      </c>
      <c r="F20" s="5">
        <v>86.0</v>
      </c>
      <c r="G20" s="5">
        <v>0.0</v>
      </c>
      <c r="H20" s="5">
        <v>0.0</v>
      </c>
      <c r="J20" s="39" t="s">
        <v>69</v>
      </c>
      <c r="K20" s="40">
        <f t="shared" ref="K20:R20" si="26">AVERAGE(K4:K18)</f>
        <v>85.56940439</v>
      </c>
      <c r="L20" s="40">
        <f t="shared" si="26"/>
        <v>55.86585502</v>
      </c>
      <c r="M20" s="40">
        <f t="shared" si="26"/>
        <v>2.921954593</v>
      </c>
      <c r="N20" s="40">
        <f t="shared" si="26"/>
        <v>6.398300248</v>
      </c>
      <c r="O20" s="39">
        <f t="shared" si="26"/>
        <v>9.204338618</v>
      </c>
      <c r="P20" s="39">
        <f t="shared" si="26"/>
        <v>5.959257512</v>
      </c>
      <c r="Q20" s="39">
        <f t="shared" si="26"/>
        <v>374.7508175</v>
      </c>
      <c r="R20" s="39">
        <f t="shared" si="26"/>
        <v>243.8046439</v>
      </c>
      <c r="AN20" s="38"/>
      <c r="AO20" s="38"/>
    </row>
    <row r="21" ht="15.75" customHeight="1">
      <c r="A21" s="22" t="str">
        <f t="shared" si="2"/>
        <v>lunes</v>
      </c>
      <c r="B21" s="24" t="str">
        <f t="shared" si="3"/>
        <v>marzo</v>
      </c>
      <c r="C21" s="37">
        <v>46083.0</v>
      </c>
      <c r="D21" s="28" t="s">
        <v>58</v>
      </c>
      <c r="E21" s="5">
        <v>67.0</v>
      </c>
      <c r="F21" s="5">
        <v>21.0</v>
      </c>
      <c r="G21" s="5">
        <v>5.0</v>
      </c>
      <c r="H21" s="5">
        <v>3.0</v>
      </c>
      <c r="J21" s="5" t="s">
        <v>121</v>
      </c>
      <c r="AN21" s="38"/>
      <c r="AO21" s="38"/>
    </row>
    <row r="22" ht="15.75" customHeight="1">
      <c r="A22" s="22" t="str">
        <f t="shared" si="2"/>
        <v>lunes</v>
      </c>
      <c r="B22" s="24" t="str">
        <f t="shared" si="3"/>
        <v>marzo</v>
      </c>
      <c r="C22" s="37">
        <v>46083.0</v>
      </c>
      <c r="D22" s="28" t="s">
        <v>64</v>
      </c>
      <c r="E22" s="5">
        <v>134.0</v>
      </c>
      <c r="F22" s="5">
        <v>73.0</v>
      </c>
      <c r="G22" s="5">
        <v>6.0</v>
      </c>
      <c r="H22" s="5">
        <v>8.0</v>
      </c>
      <c r="J22" s="42" t="s">
        <v>73</v>
      </c>
      <c r="AN22" s="38"/>
      <c r="AO22" s="30"/>
    </row>
    <row r="23" ht="15.75" customHeight="1">
      <c r="A23" s="22" t="str">
        <f t="shared" si="2"/>
        <v>lunes</v>
      </c>
      <c r="B23" s="24" t="str">
        <f t="shared" si="3"/>
        <v>marzo</v>
      </c>
      <c r="C23" s="37">
        <v>46083.0</v>
      </c>
      <c r="D23" s="28" t="s">
        <v>65</v>
      </c>
      <c r="E23" s="5">
        <v>68.0</v>
      </c>
      <c r="F23" s="5">
        <v>49.0</v>
      </c>
      <c r="G23" s="5">
        <v>3.0</v>
      </c>
      <c r="H23" s="5">
        <v>3.0</v>
      </c>
      <c r="K23" s="44" t="s">
        <v>74</v>
      </c>
      <c r="O23" s="45" t="s">
        <v>75</v>
      </c>
      <c r="Q23" s="45" t="s">
        <v>76</v>
      </c>
      <c r="AN23" s="30"/>
      <c r="AO23" s="30"/>
    </row>
    <row r="24" ht="15.75" customHeight="1">
      <c r="A24" s="22" t="str">
        <f t="shared" si="2"/>
        <v>lunes</v>
      </c>
      <c r="B24" s="24" t="str">
        <f t="shared" si="3"/>
        <v>marzo</v>
      </c>
      <c r="C24" s="37">
        <v>46083.0</v>
      </c>
      <c r="D24" s="28" t="s">
        <v>60</v>
      </c>
      <c r="E24" s="5">
        <v>120.0</v>
      </c>
      <c r="F24" s="5">
        <v>51.0</v>
      </c>
      <c r="G24" s="5">
        <v>2.0</v>
      </c>
      <c r="H24" s="5">
        <v>9.0</v>
      </c>
      <c r="K24" s="47" t="s">
        <v>25</v>
      </c>
      <c r="L24" s="47" t="s">
        <v>26</v>
      </c>
      <c r="M24" s="48" t="s">
        <v>79</v>
      </c>
      <c r="N24" s="47" t="s">
        <v>31</v>
      </c>
      <c r="O24" s="47" t="s">
        <v>25</v>
      </c>
      <c r="P24" s="47" t="s">
        <v>26</v>
      </c>
      <c r="Q24" s="47" t="s">
        <v>25</v>
      </c>
      <c r="R24" s="47" t="s">
        <v>26</v>
      </c>
      <c r="AN24" s="30"/>
      <c r="AO24" s="30"/>
    </row>
    <row r="25" ht="15.75" customHeight="1">
      <c r="A25" s="22" t="str">
        <f t="shared" si="2"/>
        <v>lunes</v>
      </c>
      <c r="B25" s="24" t="str">
        <f t="shared" si="3"/>
        <v>marzo</v>
      </c>
      <c r="C25" s="37">
        <v>46083.0</v>
      </c>
      <c r="D25" s="28" t="s">
        <v>66</v>
      </c>
      <c r="E25" s="5">
        <v>126.0</v>
      </c>
      <c r="F25" s="5">
        <v>116.0</v>
      </c>
      <c r="G25" s="5">
        <v>1.0</v>
      </c>
      <c r="H25" s="5">
        <v>6.0</v>
      </c>
      <c r="J25" s="16"/>
      <c r="K25" s="49" t="s">
        <v>64</v>
      </c>
      <c r="L25" s="49" t="s">
        <v>66</v>
      </c>
      <c r="M25" s="49" t="s">
        <v>64</v>
      </c>
      <c r="N25" s="49" t="s">
        <v>42</v>
      </c>
      <c r="O25" s="49" t="s">
        <v>64</v>
      </c>
      <c r="P25" s="49" t="s">
        <v>66</v>
      </c>
      <c r="Q25" s="49" t="s">
        <v>64</v>
      </c>
      <c r="R25" s="50" t="s">
        <v>66</v>
      </c>
      <c r="AN25" s="30"/>
      <c r="AO25" s="51"/>
    </row>
    <row r="26" ht="15.75" customHeight="1">
      <c r="A26" s="22" t="str">
        <f t="shared" si="2"/>
        <v>martes</v>
      </c>
      <c r="B26" s="24" t="str">
        <f t="shared" si="3"/>
        <v>marzo</v>
      </c>
      <c r="C26" s="37">
        <v>46084.0</v>
      </c>
      <c r="D26" s="28" t="s">
        <v>39</v>
      </c>
      <c r="E26" s="5">
        <v>82.0</v>
      </c>
      <c r="F26" s="5">
        <v>35.0</v>
      </c>
      <c r="G26" s="5">
        <v>1.0</v>
      </c>
      <c r="H26" s="5">
        <v>11.0</v>
      </c>
      <c r="J26" s="16"/>
      <c r="K26" s="49" t="s">
        <v>60</v>
      </c>
      <c r="L26" s="49" t="s">
        <v>64</v>
      </c>
      <c r="M26" s="49" t="s">
        <v>40</v>
      </c>
      <c r="N26" s="49" t="s">
        <v>51</v>
      </c>
      <c r="O26" s="49" t="s">
        <v>66</v>
      </c>
      <c r="P26" s="49" t="s">
        <v>64</v>
      </c>
      <c r="Q26" s="49" t="s">
        <v>66</v>
      </c>
      <c r="R26" s="50" t="s">
        <v>64</v>
      </c>
      <c r="AN26" s="51"/>
      <c r="AO26" s="51"/>
    </row>
    <row r="27" ht="15.75" customHeight="1">
      <c r="A27" s="22" t="str">
        <f t="shared" si="2"/>
        <v>martes</v>
      </c>
      <c r="B27" s="24" t="str">
        <f t="shared" si="3"/>
        <v>marzo</v>
      </c>
      <c r="C27" s="37">
        <v>46084.0</v>
      </c>
      <c r="D27" s="28" t="s">
        <v>41</v>
      </c>
      <c r="E27" s="5">
        <v>81.0</v>
      </c>
      <c r="F27" s="5">
        <v>55.0</v>
      </c>
      <c r="G27" s="5">
        <v>3.0</v>
      </c>
      <c r="H27" s="5">
        <v>8.0</v>
      </c>
      <c r="J27" s="16"/>
      <c r="K27" s="49" t="s">
        <v>66</v>
      </c>
      <c r="L27" s="49" t="s">
        <v>59</v>
      </c>
      <c r="M27" s="49" t="s">
        <v>52</v>
      </c>
      <c r="N27" s="49" t="s">
        <v>40</v>
      </c>
      <c r="O27" s="49" t="s">
        <v>60</v>
      </c>
      <c r="P27" s="49" t="s">
        <v>65</v>
      </c>
      <c r="Q27" s="49" t="s">
        <v>60</v>
      </c>
      <c r="R27" s="50" t="s">
        <v>65</v>
      </c>
    </row>
    <row r="28" ht="15.75" customHeight="1">
      <c r="A28" s="22" t="str">
        <f t="shared" si="2"/>
        <v>martes</v>
      </c>
      <c r="B28" s="24" t="str">
        <f t="shared" si="3"/>
        <v>marzo</v>
      </c>
      <c r="C28" s="37">
        <v>46084.0</v>
      </c>
      <c r="D28" s="28" t="s">
        <v>42</v>
      </c>
      <c r="E28" s="5">
        <v>92.0</v>
      </c>
      <c r="F28" s="5">
        <v>46.0</v>
      </c>
      <c r="G28" s="5">
        <v>1.0</v>
      </c>
      <c r="H28" s="5">
        <v>17.0</v>
      </c>
      <c r="J28" s="53"/>
      <c r="K28" s="49" t="s">
        <v>53</v>
      </c>
      <c r="L28" s="49" t="s">
        <v>67</v>
      </c>
      <c r="M28" s="49" t="s">
        <v>58</v>
      </c>
      <c r="N28" s="49" t="s">
        <v>64</v>
      </c>
      <c r="O28" s="49" t="s">
        <v>39</v>
      </c>
      <c r="P28" s="49" t="s">
        <v>67</v>
      </c>
      <c r="Q28" s="49" t="s">
        <v>39</v>
      </c>
      <c r="R28" s="50" t="s">
        <v>59</v>
      </c>
      <c r="U28" s="55"/>
    </row>
    <row r="29" ht="15.75" customHeight="1">
      <c r="A29" s="22" t="str">
        <f t="shared" si="2"/>
        <v>martes</v>
      </c>
      <c r="B29" s="24" t="str">
        <f t="shared" si="3"/>
        <v>marzo</v>
      </c>
      <c r="C29" s="37">
        <v>46084.0</v>
      </c>
      <c r="D29" s="5" t="s">
        <v>89</v>
      </c>
      <c r="E29" s="5">
        <v>0.0</v>
      </c>
      <c r="F29" s="5">
        <v>0.0</v>
      </c>
      <c r="G29" s="5">
        <v>0.0</v>
      </c>
      <c r="H29" s="5">
        <v>0.0</v>
      </c>
      <c r="J29" s="53"/>
      <c r="K29" s="49" t="s">
        <v>42</v>
      </c>
      <c r="L29" s="49" t="s">
        <v>60</v>
      </c>
      <c r="M29" s="49" t="s">
        <v>60</v>
      </c>
      <c r="N29" s="49" t="s">
        <v>39</v>
      </c>
      <c r="O29" s="49" t="s">
        <v>53</v>
      </c>
      <c r="P29" s="49" t="s">
        <v>59</v>
      </c>
      <c r="Q29" s="49" t="s">
        <v>53</v>
      </c>
      <c r="R29" s="50" t="s">
        <v>67</v>
      </c>
    </row>
    <row r="30" ht="15.75" customHeight="1">
      <c r="A30" s="22" t="str">
        <f t="shared" si="2"/>
        <v>martes</v>
      </c>
      <c r="B30" s="24" t="str">
        <f t="shared" si="3"/>
        <v>marzo</v>
      </c>
      <c r="C30" s="37">
        <v>46084.0</v>
      </c>
      <c r="D30" s="5" t="s">
        <v>90</v>
      </c>
      <c r="E30" s="5">
        <v>178.0</v>
      </c>
      <c r="F30" s="5">
        <v>91.0</v>
      </c>
      <c r="G30" s="5">
        <v>0.0</v>
      </c>
      <c r="H30" s="5">
        <v>0.0</v>
      </c>
      <c r="J30" s="53"/>
      <c r="K30" s="52" t="s">
        <v>39</v>
      </c>
      <c r="L30" s="52" t="s">
        <v>65</v>
      </c>
      <c r="M30" s="52" t="s">
        <v>65</v>
      </c>
      <c r="N30" s="52" t="s">
        <v>60</v>
      </c>
      <c r="O30" s="52" t="s">
        <v>65</v>
      </c>
      <c r="P30" s="52" t="s">
        <v>60</v>
      </c>
      <c r="Q30" s="52" t="s">
        <v>65</v>
      </c>
      <c r="R30" s="52" t="s">
        <v>60</v>
      </c>
    </row>
    <row r="31" ht="15.75" customHeight="1">
      <c r="A31" s="22" t="str">
        <f t="shared" si="2"/>
        <v>martes</v>
      </c>
      <c r="B31" s="24" t="str">
        <f t="shared" si="3"/>
        <v>marzo</v>
      </c>
      <c r="C31" s="37">
        <v>46084.0</v>
      </c>
      <c r="D31" s="28" t="s">
        <v>67</v>
      </c>
      <c r="E31" s="5">
        <v>80.0</v>
      </c>
      <c r="F31" s="5">
        <v>68.0</v>
      </c>
      <c r="G31" s="5">
        <v>4.0</v>
      </c>
      <c r="H31" s="5">
        <v>3.0</v>
      </c>
      <c r="J31" s="53"/>
      <c r="K31" s="52" t="s">
        <v>59</v>
      </c>
      <c r="L31" s="52" t="s">
        <v>41</v>
      </c>
      <c r="M31" s="52" t="s">
        <v>42</v>
      </c>
      <c r="N31" s="52" t="s">
        <v>41</v>
      </c>
      <c r="O31" s="52" t="s">
        <v>42</v>
      </c>
      <c r="P31" s="52" t="s">
        <v>39</v>
      </c>
      <c r="Q31" s="52" t="s">
        <v>42</v>
      </c>
      <c r="R31" s="52" t="s">
        <v>41</v>
      </c>
    </row>
    <row r="32" ht="15.75" customHeight="1">
      <c r="A32" s="22" t="str">
        <f t="shared" si="2"/>
        <v>martes</v>
      </c>
      <c r="B32" s="24" t="str">
        <f t="shared" si="3"/>
        <v>marzo</v>
      </c>
      <c r="C32" s="37">
        <v>46084.0</v>
      </c>
      <c r="D32" s="5" t="s">
        <v>93</v>
      </c>
      <c r="E32" s="5">
        <v>107.0</v>
      </c>
      <c r="F32" s="5">
        <v>75.0</v>
      </c>
      <c r="G32" s="5">
        <v>0.0</v>
      </c>
      <c r="H32" s="5">
        <v>0.0</v>
      </c>
      <c r="J32" s="53"/>
      <c r="K32" s="52" t="s">
        <v>67</v>
      </c>
      <c r="L32" s="52" t="s">
        <v>53</v>
      </c>
      <c r="M32" s="52" t="s">
        <v>67</v>
      </c>
      <c r="N32" s="52" t="s">
        <v>52</v>
      </c>
      <c r="O32" s="52" t="s">
        <v>58</v>
      </c>
      <c r="P32" s="52" t="s">
        <v>53</v>
      </c>
      <c r="Q32" s="52" t="s">
        <v>58</v>
      </c>
      <c r="R32" s="52" t="s">
        <v>39</v>
      </c>
    </row>
    <row r="33" ht="15.75" customHeight="1">
      <c r="A33" s="22" t="str">
        <f t="shared" si="2"/>
        <v>martes</v>
      </c>
      <c r="B33" s="24" t="str">
        <f t="shared" si="3"/>
        <v>marzo</v>
      </c>
      <c r="C33" s="37">
        <v>46084.0</v>
      </c>
      <c r="D33" s="28" t="s">
        <v>58</v>
      </c>
      <c r="E33" s="5">
        <v>88.0</v>
      </c>
      <c r="F33" s="5">
        <v>40.0</v>
      </c>
      <c r="G33" s="5">
        <v>4.0</v>
      </c>
      <c r="H33" s="5">
        <v>2.0</v>
      </c>
      <c r="J33" s="53"/>
      <c r="K33" s="52" t="s">
        <v>65</v>
      </c>
      <c r="L33" s="52" t="s">
        <v>42</v>
      </c>
      <c r="M33" s="52" t="s">
        <v>53</v>
      </c>
      <c r="N33" s="52" t="s">
        <v>53</v>
      </c>
      <c r="O33" s="52" t="s">
        <v>67</v>
      </c>
      <c r="P33" s="52" t="s">
        <v>42</v>
      </c>
      <c r="Q33" s="52" t="s">
        <v>59</v>
      </c>
      <c r="R33" s="52" t="s">
        <v>53</v>
      </c>
    </row>
    <row r="34" ht="15.75" customHeight="1">
      <c r="A34" s="22" t="str">
        <f t="shared" si="2"/>
        <v>martes</v>
      </c>
      <c r="B34" s="24" t="str">
        <f t="shared" si="3"/>
        <v>marzo</v>
      </c>
      <c r="C34" s="37">
        <v>46084.0</v>
      </c>
      <c r="D34" s="28" t="s">
        <v>64</v>
      </c>
      <c r="E34" s="5">
        <v>106.0</v>
      </c>
      <c r="F34" s="5">
        <v>6.0</v>
      </c>
      <c r="G34" s="5">
        <v>3.0</v>
      </c>
      <c r="H34" s="5">
        <v>2.0</v>
      </c>
      <c r="K34" s="52" t="s">
        <v>41</v>
      </c>
      <c r="L34" s="52" t="s">
        <v>44</v>
      </c>
      <c r="M34" s="52" t="s">
        <v>59</v>
      </c>
      <c r="N34" s="52" t="s">
        <v>65</v>
      </c>
      <c r="O34" s="52" t="s">
        <v>59</v>
      </c>
      <c r="P34" s="52" t="s">
        <v>41</v>
      </c>
      <c r="Q34" s="52" t="s">
        <v>67</v>
      </c>
      <c r="R34" s="52" t="s">
        <v>42</v>
      </c>
      <c r="AN34" s="51"/>
      <c r="AO34" s="51"/>
    </row>
    <row r="35" ht="15.75" customHeight="1">
      <c r="A35" s="22" t="str">
        <f t="shared" si="2"/>
        <v>martes</v>
      </c>
      <c r="B35" s="24" t="str">
        <f t="shared" si="3"/>
        <v>marzo</v>
      </c>
      <c r="C35" s="37">
        <v>46084.0</v>
      </c>
      <c r="D35" s="28" t="s">
        <v>65</v>
      </c>
      <c r="E35" s="5">
        <v>87.0</v>
      </c>
      <c r="F35" s="5">
        <v>71.0</v>
      </c>
      <c r="G35" s="5">
        <v>7.0</v>
      </c>
      <c r="H35" s="5">
        <v>5.0</v>
      </c>
      <c r="K35" s="54" t="s">
        <v>40</v>
      </c>
      <c r="L35" s="54" t="s">
        <v>51</v>
      </c>
      <c r="M35" s="54" t="s">
        <v>39</v>
      </c>
      <c r="N35" s="54" t="s">
        <v>66</v>
      </c>
      <c r="O35" s="54" t="s">
        <v>40</v>
      </c>
      <c r="P35" s="54" t="s">
        <v>44</v>
      </c>
      <c r="Q35" s="54" t="s">
        <v>41</v>
      </c>
      <c r="R35" s="54" t="s">
        <v>44</v>
      </c>
      <c r="AN35" s="51"/>
    </row>
    <row r="36" ht="15.75" customHeight="1">
      <c r="A36" s="22" t="str">
        <f t="shared" si="2"/>
        <v>martes</v>
      </c>
      <c r="B36" s="24" t="str">
        <f t="shared" si="3"/>
        <v>marzo</v>
      </c>
      <c r="C36" s="37">
        <v>46084.0</v>
      </c>
      <c r="D36" s="28" t="s">
        <v>66</v>
      </c>
      <c r="E36" s="5">
        <v>87.0</v>
      </c>
      <c r="F36" s="5">
        <v>82.0</v>
      </c>
      <c r="G36" s="5">
        <v>2.0</v>
      </c>
      <c r="H36" s="5">
        <v>0.0</v>
      </c>
      <c r="K36" s="54" t="s">
        <v>58</v>
      </c>
      <c r="L36" s="54" t="s">
        <v>39</v>
      </c>
      <c r="M36" s="54" t="s">
        <v>41</v>
      </c>
      <c r="N36" s="54" t="s">
        <v>67</v>
      </c>
      <c r="O36" s="54" t="s">
        <v>41</v>
      </c>
      <c r="P36" s="54" t="s">
        <v>58</v>
      </c>
      <c r="Q36" s="54" t="s">
        <v>40</v>
      </c>
      <c r="R36" s="54" t="s">
        <v>51</v>
      </c>
    </row>
    <row r="37" ht="15.75" customHeight="1">
      <c r="A37" s="22" t="str">
        <f t="shared" si="2"/>
        <v>miércoles</v>
      </c>
      <c r="B37" s="24" t="str">
        <f t="shared" si="3"/>
        <v>marzo</v>
      </c>
      <c r="C37" s="37">
        <v>46085.0</v>
      </c>
      <c r="D37" s="28" t="s">
        <v>39</v>
      </c>
      <c r="E37" s="5">
        <v>59.0</v>
      </c>
      <c r="F37" s="5">
        <v>30.0</v>
      </c>
      <c r="G37" s="5">
        <v>2.0</v>
      </c>
      <c r="H37" s="5">
        <v>3.0</v>
      </c>
      <c r="K37" s="54" t="s">
        <v>51</v>
      </c>
      <c r="L37" s="54" t="s">
        <v>40</v>
      </c>
      <c r="M37" s="54" t="s">
        <v>51</v>
      </c>
      <c r="N37" s="54" t="s">
        <v>58</v>
      </c>
      <c r="O37" s="54" t="s">
        <v>51</v>
      </c>
      <c r="P37" s="54" t="s">
        <v>51</v>
      </c>
      <c r="Q37" s="54" t="s">
        <v>51</v>
      </c>
      <c r="R37" s="54" t="s">
        <v>58</v>
      </c>
    </row>
    <row r="38" ht="15.75" customHeight="1">
      <c r="A38" s="22" t="str">
        <f t="shared" si="2"/>
        <v>miércoles</v>
      </c>
      <c r="B38" s="24" t="str">
        <f t="shared" si="3"/>
        <v>marzo</v>
      </c>
      <c r="C38" s="37">
        <v>46085.0</v>
      </c>
      <c r="D38" s="5" t="s">
        <v>107</v>
      </c>
      <c r="E38" s="5">
        <v>67.0</v>
      </c>
      <c r="F38" s="5">
        <v>40.0</v>
      </c>
      <c r="G38" s="5">
        <v>0.0</v>
      </c>
      <c r="H38" s="5">
        <v>0.0</v>
      </c>
      <c r="K38" s="54" t="s">
        <v>44</v>
      </c>
      <c r="L38" s="54" t="s">
        <v>58</v>
      </c>
      <c r="M38" s="54" t="s">
        <v>66</v>
      </c>
      <c r="N38" s="54" t="s">
        <v>59</v>
      </c>
      <c r="O38" s="54" t="s">
        <v>52</v>
      </c>
      <c r="P38" s="54" t="s">
        <v>40</v>
      </c>
      <c r="Q38" s="54" t="s">
        <v>44</v>
      </c>
      <c r="R38" s="54" t="s">
        <v>40</v>
      </c>
    </row>
    <row r="39" ht="15.75" customHeight="1">
      <c r="A39" s="22" t="str">
        <f t="shared" si="2"/>
        <v>miércoles</v>
      </c>
      <c r="B39" s="24" t="str">
        <f t="shared" si="3"/>
        <v>marzo</v>
      </c>
      <c r="C39" s="37">
        <v>46085.0</v>
      </c>
      <c r="D39" s="28" t="s">
        <v>41</v>
      </c>
      <c r="E39" s="5">
        <v>68.0</v>
      </c>
      <c r="F39" s="5">
        <v>53.0</v>
      </c>
      <c r="G39" s="5">
        <v>2.0</v>
      </c>
      <c r="H39" s="5">
        <v>4.0</v>
      </c>
      <c r="K39" s="54" t="s">
        <v>52</v>
      </c>
      <c r="L39" s="54" t="s">
        <v>52</v>
      </c>
      <c r="M39" s="54" t="s">
        <v>44</v>
      </c>
      <c r="N39" s="54" t="s">
        <v>44</v>
      </c>
      <c r="O39" s="54" t="s">
        <v>44</v>
      </c>
      <c r="P39" s="54" t="s">
        <v>52</v>
      </c>
      <c r="Q39" s="54" t="s">
        <v>52</v>
      </c>
      <c r="R39" s="54" t="s">
        <v>52</v>
      </c>
    </row>
    <row r="40" ht="15.75" customHeight="1">
      <c r="A40" s="22" t="str">
        <f t="shared" si="2"/>
        <v>miércoles</v>
      </c>
      <c r="B40" s="24" t="str">
        <f t="shared" si="3"/>
        <v>marzo</v>
      </c>
      <c r="C40" s="37">
        <v>46085.0</v>
      </c>
      <c r="D40" s="28" t="s">
        <v>42</v>
      </c>
      <c r="E40" s="5">
        <v>75.0</v>
      </c>
      <c r="F40" s="5">
        <v>38.0</v>
      </c>
      <c r="G40" s="5">
        <v>4.0</v>
      </c>
      <c r="H40" s="5">
        <v>16.0</v>
      </c>
      <c r="AM40" s="38"/>
      <c r="AO40" s="23"/>
    </row>
    <row r="41" ht="15.75" customHeight="1">
      <c r="A41" s="22" t="str">
        <f t="shared" si="2"/>
        <v>miércoles</v>
      </c>
      <c r="B41" s="24" t="str">
        <f t="shared" si="3"/>
        <v>marzo</v>
      </c>
      <c r="C41" s="37">
        <v>46085.0</v>
      </c>
      <c r="D41" s="5" t="s">
        <v>108</v>
      </c>
      <c r="E41" s="5">
        <v>109.0</v>
      </c>
      <c r="F41" s="5">
        <v>51.0</v>
      </c>
      <c r="G41" s="5">
        <v>0.0</v>
      </c>
      <c r="H41" s="5">
        <v>0.0</v>
      </c>
      <c r="J41" s="40" t="s">
        <v>69</v>
      </c>
      <c r="K41" s="40">
        <f t="shared" ref="K41:R41" si="27">AVERAGE(K4:K18)</f>
        <v>85.56940439</v>
      </c>
      <c r="L41" s="40">
        <f t="shared" si="27"/>
        <v>55.86585502</v>
      </c>
      <c r="M41" s="40">
        <f t="shared" si="27"/>
        <v>2.921954593</v>
      </c>
      <c r="N41" s="40">
        <f t="shared" si="27"/>
        <v>6.398300248</v>
      </c>
      <c r="O41" s="40">
        <f t="shared" si="27"/>
        <v>9.204338618</v>
      </c>
      <c r="P41" s="40">
        <f t="shared" si="27"/>
        <v>5.959257512</v>
      </c>
      <c r="Q41" s="40">
        <f t="shared" si="27"/>
        <v>374.7508175</v>
      </c>
      <c r="R41" s="40">
        <f t="shared" si="27"/>
        <v>243.8046439</v>
      </c>
      <c r="AM41" s="38"/>
      <c r="AN41" s="23"/>
      <c r="AO41" s="23"/>
    </row>
    <row r="42" ht="15.75" customHeight="1">
      <c r="A42" s="22" t="str">
        <f t="shared" si="2"/>
        <v>miércoles</v>
      </c>
      <c r="B42" s="24" t="str">
        <f t="shared" si="3"/>
        <v>marzo</v>
      </c>
      <c r="C42" s="37">
        <v>46085.0</v>
      </c>
      <c r="D42" s="28" t="s">
        <v>51</v>
      </c>
      <c r="E42" s="5">
        <v>83.0</v>
      </c>
      <c r="F42" s="5">
        <v>64.0</v>
      </c>
      <c r="G42" s="5">
        <v>0.0</v>
      </c>
      <c r="H42" s="5">
        <v>13.0</v>
      </c>
      <c r="AM42" s="38"/>
      <c r="AN42" s="23"/>
      <c r="AO42" s="23"/>
    </row>
    <row r="43" ht="15.75" customHeight="1">
      <c r="A43" s="22" t="str">
        <f t="shared" si="2"/>
        <v>miércoles</v>
      </c>
      <c r="B43" s="24" t="str">
        <f t="shared" si="3"/>
        <v>marzo</v>
      </c>
      <c r="C43" s="37">
        <v>46085.0</v>
      </c>
      <c r="D43" s="28" t="s">
        <v>67</v>
      </c>
      <c r="E43" s="5">
        <v>66.0</v>
      </c>
      <c r="F43" s="5">
        <v>62.0</v>
      </c>
      <c r="G43" s="5">
        <v>3.0</v>
      </c>
      <c r="H43" s="5">
        <v>1.0</v>
      </c>
      <c r="AM43" s="30"/>
      <c r="AN43" s="23"/>
      <c r="AO43" s="23"/>
    </row>
    <row r="44" ht="15.75" customHeight="1">
      <c r="A44" s="22" t="str">
        <f t="shared" si="2"/>
        <v>miércoles</v>
      </c>
      <c r="B44" s="24" t="str">
        <f t="shared" si="3"/>
        <v>marzo</v>
      </c>
      <c r="C44" s="37">
        <v>46085.0</v>
      </c>
      <c r="D44" s="5" t="s">
        <v>93</v>
      </c>
      <c r="E44" s="5">
        <v>82.0</v>
      </c>
      <c r="F44" s="5">
        <v>56.0</v>
      </c>
      <c r="G44" s="5">
        <v>0.0</v>
      </c>
      <c r="H44" s="5">
        <v>0.0</v>
      </c>
      <c r="AM44" s="30"/>
      <c r="AN44" s="23"/>
      <c r="AO44" s="23"/>
    </row>
    <row r="45" ht="15.75" customHeight="1">
      <c r="A45" s="22" t="str">
        <f t="shared" si="2"/>
        <v>miércoles</v>
      </c>
      <c r="B45" s="24" t="str">
        <f t="shared" si="3"/>
        <v>marzo</v>
      </c>
      <c r="C45" s="37">
        <v>46085.0</v>
      </c>
      <c r="D45" s="28" t="s">
        <v>58</v>
      </c>
      <c r="E45" s="5">
        <v>67.0</v>
      </c>
      <c r="F45" s="5">
        <v>29.0</v>
      </c>
      <c r="G45" s="5">
        <v>2.0</v>
      </c>
      <c r="H45" s="5">
        <v>0.0</v>
      </c>
      <c r="AM45" s="30"/>
      <c r="AN45" s="23"/>
      <c r="AO45" s="23"/>
    </row>
    <row r="46" ht="15.75" customHeight="1">
      <c r="A46" s="22" t="str">
        <f t="shared" si="2"/>
        <v>miércoles</v>
      </c>
      <c r="B46" s="24" t="str">
        <f t="shared" si="3"/>
        <v>marzo</v>
      </c>
      <c r="C46" s="37">
        <v>46085.0</v>
      </c>
      <c r="D46" s="28" t="s">
        <v>64</v>
      </c>
      <c r="E46" s="5">
        <v>116.0</v>
      </c>
      <c r="F46" s="5">
        <v>70.0</v>
      </c>
      <c r="G46" s="5">
        <v>10.0</v>
      </c>
      <c r="H46" s="5">
        <v>7.0</v>
      </c>
      <c r="AM46" s="51"/>
      <c r="AN46" s="23"/>
      <c r="AO46" s="23"/>
    </row>
    <row r="47" ht="15.75" customHeight="1">
      <c r="A47" s="22" t="str">
        <f t="shared" si="2"/>
        <v>miércoles</v>
      </c>
      <c r="B47" s="24" t="str">
        <f t="shared" si="3"/>
        <v>marzo</v>
      </c>
      <c r="C47" s="37">
        <v>46085.0</v>
      </c>
      <c r="D47" s="28" t="s">
        <v>65</v>
      </c>
      <c r="E47" s="5">
        <v>56.0</v>
      </c>
      <c r="F47" s="5">
        <v>39.0</v>
      </c>
      <c r="G47" s="5">
        <v>6.0</v>
      </c>
      <c r="H47" s="5">
        <v>0.0</v>
      </c>
      <c r="AM47" s="51"/>
      <c r="AN47" s="23"/>
      <c r="AO47" s="23"/>
    </row>
    <row r="48" ht="15.75" customHeight="1">
      <c r="A48" s="22" t="str">
        <f t="shared" si="2"/>
        <v>miércoles</v>
      </c>
      <c r="B48" s="24" t="str">
        <f t="shared" si="3"/>
        <v>marzo</v>
      </c>
      <c r="C48" s="37">
        <v>46085.0</v>
      </c>
      <c r="D48" s="28" t="s">
        <v>66</v>
      </c>
      <c r="E48" s="5">
        <v>134.0</v>
      </c>
      <c r="F48" s="5">
        <v>116.0</v>
      </c>
      <c r="G48" s="5">
        <v>1.0</v>
      </c>
      <c r="H48" s="5">
        <v>5.0</v>
      </c>
      <c r="AM48" s="51"/>
      <c r="AN48" s="23"/>
      <c r="AO48" s="23"/>
    </row>
    <row r="49" ht="15.75" customHeight="1">
      <c r="A49" s="22" t="str">
        <f t="shared" si="2"/>
        <v>jueves</v>
      </c>
      <c r="B49" s="24" t="str">
        <f t="shared" si="3"/>
        <v>marzo</v>
      </c>
      <c r="C49" s="37">
        <v>46086.0</v>
      </c>
      <c r="D49" s="5" t="s">
        <v>107</v>
      </c>
      <c r="E49" s="5">
        <v>135.0</v>
      </c>
      <c r="F49" s="5">
        <v>85.0</v>
      </c>
      <c r="G49" s="5">
        <v>0.0</v>
      </c>
      <c r="H49" s="5">
        <v>0.0</v>
      </c>
      <c r="J49" s="12" t="s">
        <v>125</v>
      </c>
      <c r="O49" s="13" t="s">
        <v>18</v>
      </c>
      <c r="Q49" s="13" t="s">
        <v>19</v>
      </c>
    </row>
    <row r="50" ht="15.75" customHeight="1">
      <c r="A50" s="22" t="str">
        <f t="shared" si="2"/>
        <v>jueves</v>
      </c>
      <c r="B50" s="24" t="str">
        <f t="shared" si="3"/>
        <v>marzo</v>
      </c>
      <c r="C50" s="37">
        <v>46086.0</v>
      </c>
      <c r="D50" s="28" t="s">
        <v>40</v>
      </c>
      <c r="E50" s="5">
        <v>68.0</v>
      </c>
      <c r="F50" s="5">
        <v>24.0</v>
      </c>
      <c r="G50" s="5">
        <v>1.0</v>
      </c>
      <c r="H50" s="5">
        <v>10.0</v>
      </c>
      <c r="J50" s="17" t="s">
        <v>29</v>
      </c>
      <c r="K50" s="17" t="s">
        <v>25</v>
      </c>
      <c r="L50" s="17" t="s">
        <v>26</v>
      </c>
      <c r="M50" s="17" t="s">
        <v>30</v>
      </c>
      <c r="N50" s="17" t="s">
        <v>31</v>
      </c>
      <c r="O50" s="18" t="s">
        <v>25</v>
      </c>
      <c r="P50" s="18" t="s">
        <v>26</v>
      </c>
      <c r="Q50" s="17" t="s">
        <v>25</v>
      </c>
      <c r="R50" s="17" t="s">
        <v>26</v>
      </c>
    </row>
    <row r="51" ht="15.75" customHeight="1">
      <c r="A51" s="22" t="str">
        <f t="shared" si="2"/>
        <v>jueves</v>
      </c>
      <c r="B51" s="24" t="str">
        <f t="shared" si="3"/>
        <v>marzo</v>
      </c>
      <c r="C51" s="37">
        <v>46086.0</v>
      </c>
      <c r="D51" s="28" t="s">
        <v>41</v>
      </c>
      <c r="E51" s="5">
        <v>50.0</v>
      </c>
      <c r="F51" s="5">
        <v>39.0</v>
      </c>
      <c r="G51" s="5">
        <v>2.0</v>
      </c>
      <c r="H51" s="5">
        <v>1.0</v>
      </c>
      <c r="J51" s="28" t="s">
        <v>39</v>
      </c>
      <c r="K51" s="23">
        <v>87.22222222222223</v>
      </c>
      <c r="L51" s="23">
        <v>44.27777777777778</v>
      </c>
      <c r="M51" s="23">
        <v>1.8333333333333333</v>
      </c>
      <c r="N51" s="23">
        <v>8.0</v>
      </c>
      <c r="O51" s="23">
        <v>10.902777777777779</v>
      </c>
      <c r="P51" s="23">
        <v>5.534722222222222</v>
      </c>
      <c r="Q51" s="23">
        <v>436.11111111111114</v>
      </c>
      <c r="R51" s="23">
        <v>221.38888888888889</v>
      </c>
    </row>
    <row r="52" ht="15.75" customHeight="1">
      <c r="A52" s="22" t="str">
        <f t="shared" si="2"/>
        <v>jueves</v>
      </c>
      <c r="B52" s="24" t="str">
        <f t="shared" si="3"/>
        <v>marzo</v>
      </c>
      <c r="C52" s="37">
        <v>46086.0</v>
      </c>
      <c r="D52" s="28" t="s">
        <v>42</v>
      </c>
      <c r="E52" s="5">
        <v>68.0</v>
      </c>
      <c r="F52" s="5">
        <v>39.0</v>
      </c>
      <c r="G52" s="5">
        <v>1.0</v>
      </c>
      <c r="H52" s="5">
        <v>17.0</v>
      </c>
      <c r="J52" s="28" t="s">
        <v>40</v>
      </c>
      <c r="K52" s="23">
        <v>73.28571428571429</v>
      </c>
      <c r="L52" s="23">
        <v>39.57142857142857</v>
      </c>
      <c r="M52" s="23">
        <v>4.785714285714286</v>
      </c>
      <c r="N52" s="23">
        <v>9.785714285714286</v>
      </c>
      <c r="O52" s="23">
        <v>7.328571428571429</v>
      </c>
      <c r="P52" s="23">
        <v>3.957142857142857</v>
      </c>
      <c r="Q52" s="23">
        <v>293.14285714285717</v>
      </c>
      <c r="R52" s="23">
        <v>158.28571428571428</v>
      </c>
    </row>
    <row r="53" ht="15.75" customHeight="1">
      <c r="A53" s="22" t="str">
        <f t="shared" si="2"/>
        <v>jueves</v>
      </c>
      <c r="B53" s="24" t="str">
        <f t="shared" si="3"/>
        <v>marzo</v>
      </c>
      <c r="C53" s="37">
        <v>46086.0</v>
      </c>
      <c r="D53" s="5" t="s">
        <v>117</v>
      </c>
      <c r="E53" s="5">
        <v>130.0</v>
      </c>
      <c r="F53" s="5">
        <v>70.0</v>
      </c>
      <c r="G53" s="5">
        <v>0.0</v>
      </c>
      <c r="H53" s="5">
        <v>0.0</v>
      </c>
      <c r="J53" s="28" t="s">
        <v>44</v>
      </c>
      <c r="K53" s="23">
        <v>51.166666666666664</v>
      </c>
      <c r="L53" s="23">
        <v>49.833333333333336</v>
      </c>
      <c r="M53" s="23">
        <v>0.0</v>
      </c>
      <c r="N53" s="23">
        <v>0.0</v>
      </c>
      <c r="O53" s="23">
        <v>4.651515151515151</v>
      </c>
      <c r="P53" s="23">
        <v>4.53030303030303</v>
      </c>
      <c r="Q53" s="23">
        <v>204.66666666666666</v>
      </c>
      <c r="R53" s="23">
        <v>199.33333333333334</v>
      </c>
      <c r="AF53" s="5"/>
    </row>
    <row r="54" ht="15.75" customHeight="1">
      <c r="A54" s="22" t="str">
        <f t="shared" si="2"/>
        <v>jueves</v>
      </c>
      <c r="B54" s="24" t="str">
        <f t="shared" si="3"/>
        <v>marzo</v>
      </c>
      <c r="C54" s="37">
        <v>46086.0</v>
      </c>
      <c r="D54" s="28" t="s">
        <v>51</v>
      </c>
      <c r="E54" s="5">
        <v>43.0</v>
      </c>
      <c r="F54" s="5">
        <v>34.0</v>
      </c>
      <c r="G54" s="5">
        <v>1.0</v>
      </c>
      <c r="H54" s="5">
        <v>5.0</v>
      </c>
      <c r="J54" s="28" t="s">
        <v>59</v>
      </c>
      <c r="K54" s="23">
        <v>84.08333333333333</v>
      </c>
      <c r="L54" s="23">
        <v>71.58333333333333</v>
      </c>
      <c r="M54" s="23">
        <v>2.3333333333333335</v>
      </c>
      <c r="N54" s="23">
        <v>1.0</v>
      </c>
      <c r="O54" s="23">
        <v>7.643939393939394</v>
      </c>
      <c r="P54" s="23">
        <v>6.507575757575757</v>
      </c>
      <c r="Q54" s="23">
        <v>336.3333333333333</v>
      </c>
      <c r="R54" s="23">
        <v>286.3333333333333</v>
      </c>
      <c r="V54" s="5"/>
      <c r="AF54" s="44"/>
      <c r="AJ54" s="45"/>
      <c r="AL54" s="45"/>
    </row>
    <row r="55" ht="15.75" customHeight="1">
      <c r="A55" s="22" t="str">
        <f t="shared" si="2"/>
        <v>jueves</v>
      </c>
      <c r="B55" s="24" t="str">
        <f t="shared" si="3"/>
        <v>marzo</v>
      </c>
      <c r="C55" s="37">
        <v>46086.0</v>
      </c>
      <c r="D55" s="28" t="s">
        <v>67</v>
      </c>
      <c r="E55" s="5">
        <v>66.0</v>
      </c>
      <c r="F55" s="5">
        <v>63.0</v>
      </c>
      <c r="G55" s="5">
        <v>1.0</v>
      </c>
      <c r="H55" s="5">
        <v>3.0</v>
      </c>
      <c r="J55" s="28" t="s">
        <v>52</v>
      </c>
      <c r="K55" s="23">
        <v>46.733333333333334</v>
      </c>
      <c r="L55" s="23">
        <v>31.866666666666667</v>
      </c>
      <c r="M55" s="23">
        <v>4.6</v>
      </c>
      <c r="N55" s="23">
        <v>5.4</v>
      </c>
      <c r="O55" s="23">
        <v>4.673333333333334</v>
      </c>
      <c r="P55" s="23">
        <v>3.1866666666666665</v>
      </c>
      <c r="Q55" s="23">
        <v>186.93333333333334</v>
      </c>
      <c r="R55" s="23">
        <v>127.46666666666667</v>
      </c>
      <c r="V55" s="44"/>
      <c r="Z55" s="45"/>
      <c r="AB55" s="45"/>
      <c r="AF55" s="47"/>
      <c r="AG55" s="47"/>
      <c r="AH55" s="48"/>
      <c r="AI55" s="47"/>
      <c r="AJ55" s="47"/>
      <c r="AK55" s="47"/>
      <c r="AL55" s="47"/>
      <c r="AM55" s="47" t="s">
        <v>26</v>
      </c>
    </row>
    <row r="56" ht="15.75" customHeight="1">
      <c r="A56" s="22" t="str">
        <f t="shared" si="2"/>
        <v>jueves</v>
      </c>
      <c r="B56" s="24" t="str">
        <f t="shared" si="3"/>
        <v>marzo</v>
      </c>
      <c r="C56" s="37">
        <v>46086.0</v>
      </c>
      <c r="D56" s="28" t="s">
        <v>58</v>
      </c>
      <c r="E56" s="5">
        <v>74.0</v>
      </c>
      <c r="F56" s="5">
        <v>35.0</v>
      </c>
      <c r="G56" s="5">
        <v>2.0</v>
      </c>
      <c r="H56" s="5">
        <v>1.0</v>
      </c>
      <c r="J56" s="28" t="s">
        <v>53</v>
      </c>
      <c r="K56" s="23">
        <v>101.5625</v>
      </c>
      <c r="L56" s="23">
        <v>54.0</v>
      </c>
      <c r="M56" s="23">
        <v>2.5625</v>
      </c>
      <c r="N56" s="23">
        <v>4.5</v>
      </c>
      <c r="O56" s="23">
        <v>10.15625</v>
      </c>
      <c r="P56" s="23">
        <v>5.4</v>
      </c>
      <c r="Q56" s="23">
        <v>406.25</v>
      </c>
      <c r="R56" s="23">
        <v>216.0</v>
      </c>
      <c r="V56" s="47"/>
      <c r="W56" s="47"/>
      <c r="X56" s="48"/>
      <c r="Y56" s="47"/>
      <c r="Z56" s="47"/>
      <c r="AA56" s="47"/>
      <c r="AB56" s="47"/>
      <c r="AC56" s="47"/>
      <c r="AF56" s="16"/>
      <c r="AG56" s="16"/>
      <c r="AH56" s="16"/>
      <c r="AI56" s="16"/>
      <c r="AJ56" s="16"/>
      <c r="AK56" s="16"/>
      <c r="AL56" s="16"/>
      <c r="AM56" s="50" t="s">
        <v>65</v>
      </c>
    </row>
    <row r="57" ht="15.75" customHeight="1">
      <c r="A57" s="22" t="str">
        <f t="shared" si="2"/>
        <v>jueves</v>
      </c>
      <c r="B57" s="24" t="str">
        <f t="shared" si="3"/>
        <v>marzo</v>
      </c>
      <c r="C57" s="37">
        <v>46086.0</v>
      </c>
      <c r="D57" s="28" t="s">
        <v>52</v>
      </c>
      <c r="E57" s="5">
        <v>30.0</v>
      </c>
      <c r="F57" s="5">
        <v>22.0</v>
      </c>
      <c r="G57" s="5">
        <v>4.0</v>
      </c>
      <c r="H57" s="5">
        <v>5.0</v>
      </c>
      <c r="J57" s="28" t="s">
        <v>60</v>
      </c>
      <c r="K57" s="23">
        <v>132.66666666666666</v>
      </c>
      <c r="L57" s="23">
        <v>63.25</v>
      </c>
      <c r="M57" s="23">
        <v>3.5833333333333335</v>
      </c>
      <c r="N57" s="23">
        <v>7.083333333333333</v>
      </c>
      <c r="O57" s="23">
        <v>13.266666666666666</v>
      </c>
      <c r="P57" s="23">
        <v>6.325</v>
      </c>
      <c r="Q57" s="23">
        <v>530.6666666666666</v>
      </c>
      <c r="R57" s="23">
        <v>253.0</v>
      </c>
      <c r="V57" s="16"/>
      <c r="W57" s="16"/>
      <c r="X57" s="16"/>
      <c r="Y57" s="16"/>
      <c r="Z57" s="16"/>
      <c r="AA57" s="16"/>
      <c r="AB57" s="16"/>
      <c r="AC57" s="38"/>
      <c r="AF57" s="16"/>
      <c r="AG57" s="16"/>
      <c r="AH57" s="16"/>
      <c r="AI57" s="16"/>
      <c r="AJ57" s="16"/>
      <c r="AK57" s="16"/>
      <c r="AL57" s="16"/>
      <c r="AM57" s="50" t="s">
        <v>59</v>
      </c>
    </row>
    <row r="58" ht="15.75" customHeight="1">
      <c r="A58" s="22" t="str">
        <f t="shared" si="2"/>
        <v>jueves</v>
      </c>
      <c r="B58" s="24" t="str">
        <f t="shared" si="3"/>
        <v>marzo</v>
      </c>
      <c r="C58" s="37">
        <v>46086.0</v>
      </c>
      <c r="D58" s="28" t="s">
        <v>53</v>
      </c>
      <c r="E58" s="5">
        <v>56.0</v>
      </c>
      <c r="F58" s="5">
        <v>39.0</v>
      </c>
      <c r="G58" s="5">
        <v>1.0</v>
      </c>
      <c r="H58" s="5">
        <v>9.0</v>
      </c>
      <c r="J58" s="28" t="s">
        <v>41</v>
      </c>
      <c r="K58" s="23">
        <v>76.3125</v>
      </c>
      <c r="L58" s="23">
        <v>57.8125</v>
      </c>
      <c r="M58" s="23">
        <v>1.8125</v>
      </c>
      <c r="N58" s="23">
        <v>6.0625</v>
      </c>
      <c r="O58" s="23">
        <v>6.9375</v>
      </c>
      <c r="P58" s="23">
        <v>5.255681818181818</v>
      </c>
      <c r="Q58" s="23">
        <v>305.25</v>
      </c>
      <c r="R58" s="23">
        <v>231.25</v>
      </c>
      <c r="V58" s="16"/>
      <c r="W58" s="16"/>
      <c r="X58" s="16"/>
      <c r="Y58" s="16"/>
      <c r="Z58" s="16"/>
      <c r="AA58" s="16"/>
      <c r="AB58" s="16"/>
      <c r="AC58" s="38"/>
      <c r="AF58" s="16"/>
      <c r="AG58" s="16"/>
      <c r="AH58" s="16"/>
      <c r="AI58" s="16"/>
      <c r="AJ58" s="16"/>
      <c r="AK58" s="16"/>
      <c r="AL58" s="16"/>
      <c r="AM58" s="50" t="s">
        <v>67</v>
      </c>
    </row>
    <row r="59" ht="15.75" customHeight="1">
      <c r="A59" s="22" t="str">
        <f t="shared" si="2"/>
        <v>jueves</v>
      </c>
      <c r="B59" s="24" t="str">
        <f t="shared" si="3"/>
        <v>marzo</v>
      </c>
      <c r="C59" s="37">
        <v>46086.0</v>
      </c>
      <c r="D59" s="28" t="s">
        <v>64</v>
      </c>
      <c r="E59" s="5">
        <v>131.0</v>
      </c>
      <c r="F59" s="5">
        <v>71.0</v>
      </c>
      <c r="G59" s="5">
        <v>4.0</v>
      </c>
      <c r="H59" s="5">
        <v>7.0</v>
      </c>
      <c r="J59" s="28" t="s">
        <v>42</v>
      </c>
      <c r="K59" s="23">
        <v>90.88235294117646</v>
      </c>
      <c r="L59" s="23">
        <v>52.76470588235294</v>
      </c>
      <c r="M59" s="23">
        <v>3.1176470588235294</v>
      </c>
      <c r="N59" s="23">
        <v>18.176470588235293</v>
      </c>
      <c r="O59" s="23">
        <v>9.088235294117647</v>
      </c>
      <c r="P59" s="23">
        <v>5.276470588235294</v>
      </c>
      <c r="Q59" s="23">
        <v>363.52941176470586</v>
      </c>
      <c r="R59" s="23">
        <v>211.05882352941177</v>
      </c>
      <c r="V59" s="16"/>
      <c r="W59" s="16"/>
      <c r="X59" s="16"/>
      <c r="Y59" s="16"/>
      <c r="Z59" s="16"/>
      <c r="AA59" s="16"/>
      <c r="AB59" s="16"/>
      <c r="AC59" s="38"/>
      <c r="AF59" s="53"/>
      <c r="AG59" s="53"/>
      <c r="AH59" s="53"/>
      <c r="AI59" s="53"/>
      <c r="AJ59" s="53"/>
      <c r="AK59" s="53"/>
      <c r="AL59" s="53"/>
      <c r="AM59" s="65" t="s">
        <v>53</v>
      </c>
    </row>
    <row r="60" ht="15.75" customHeight="1">
      <c r="A60" s="22" t="str">
        <f t="shared" si="2"/>
        <v>jueves</v>
      </c>
      <c r="B60" s="24" t="str">
        <f t="shared" si="3"/>
        <v>marzo</v>
      </c>
      <c r="C60" s="37">
        <v>46086.0</v>
      </c>
      <c r="D60" s="28" t="s">
        <v>65</v>
      </c>
      <c r="E60" s="5">
        <v>62.0</v>
      </c>
      <c r="F60" s="5">
        <v>47.0</v>
      </c>
      <c r="G60" s="5">
        <v>5.0</v>
      </c>
      <c r="H60" s="5">
        <v>4.0</v>
      </c>
      <c r="J60" s="28" t="s">
        <v>67</v>
      </c>
      <c r="K60" s="23">
        <v>80.0</v>
      </c>
      <c r="L60" s="23">
        <v>67.25</v>
      </c>
      <c r="M60" s="23">
        <v>2.9375</v>
      </c>
      <c r="N60" s="23">
        <v>3.375</v>
      </c>
      <c r="O60" s="23">
        <v>8.0</v>
      </c>
      <c r="P60" s="23">
        <v>6.725</v>
      </c>
      <c r="Q60" s="23">
        <v>320.0</v>
      </c>
      <c r="R60" s="23">
        <v>269.0</v>
      </c>
      <c r="V60" s="53"/>
      <c r="W60" s="53"/>
      <c r="X60" s="53"/>
      <c r="Y60" s="53"/>
      <c r="Z60" s="53"/>
      <c r="AA60" s="53"/>
      <c r="AB60" s="53"/>
      <c r="AC60" s="30"/>
      <c r="AF60" s="53"/>
      <c r="AG60" s="53"/>
      <c r="AH60" s="53"/>
      <c r="AI60" s="53"/>
      <c r="AJ60" s="53"/>
      <c r="AK60" s="53"/>
      <c r="AL60" s="53"/>
      <c r="AM60" s="65" t="s">
        <v>39</v>
      </c>
    </row>
    <row r="61" ht="15.75" customHeight="1">
      <c r="A61" s="22" t="str">
        <f t="shared" si="2"/>
        <v>jueves</v>
      </c>
      <c r="B61" s="24" t="str">
        <f t="shared" si="3"/>
        <v>marzo</v>
      </c>
      <c r="C61" s="37">
        <v>46086.0</v>
      </c>
      <c r="D61" s="28" t="s">
        <v>66</v>
      </c>
      <c r="E61" s="5">
        <v>112.0</v>
      </c>
      <c r="F61" s="5">
        <v>107.0</v>
      </c>
      <c r="G61" s="5">
        <v>1.0</v>
      </c>
      <c r="H61" s="5">
        <v>4.0</v>
      </c>
      <c r="J61" s="28" t="s">
        <v>58</v>
      </c>
      <c r="K61" s="23">
        <v>72.08695652173913</v>
      </c>
      <c r="L61" s="23">
        <v>33.21739130434783</v>
      </c>
      <c r="M61" s="23">
        <v>4.260869565217392</v>
      </c>
      <c r="N61" s="23">
        <v>2.8260869565217392</v>
      </c>
      <c r="O61" s="23">
        <v>9.01086956521739</v>
      </c>
      <c r="P61" s="23">
        <v>4.1521739130434785</v>
      </c>
      <c r="Q61" s="23">
        <v>360.4347826086956</v>
      </c>
      <c r="R61" s="23">
        <v>166.08695652173913</v>
      </c>
      <c r="V61" s="53"/>
      <c r="W61" s="53"/>
      <c r="X61" s="53"/>
      <c r="Y61" s="53"/>
      <c r="Z61" s="53"/>
      <c r="AA61" s="53"/>
      <c r="AB61" s="53"/>
      <c r="AC61" s="30"/>
      <c r="AF61" s="53"/>
      <c r="AG61" s="53"/>
      <c r="AH61" s="53"/>
      <c r="AI61" s="53"/>
      <c r="AJ61" s="53"/>
      <c r="AK61" s="53"/>
      <c r="AL61" s="53"/>
      <c r="AM61" s="65" t="s">
        <v>41</v>
      </c>
    </row>
    <row r="62" ht="15.75" customHeight="1">
      <c r="A62" s="22" t="str">
        <f t="shared" si="2"/>
        <v>viernes</v>
      </c>
      <c r="B62" s="24" t="str">
        <f t="shared" si="3"/>
        <v>marzo</v>
      </c>
      <c r="C62" s="37">
        <v>46087.0</v>
      </c>
      <c r="D62" s="28" t="s">
        <v>40</v>
      </c>
      <c r="E62" s="5">
        <v>85.0</v>
      </c>
      <c r="F62" s="5">
        <v>54.0</v>
      </c>
      <c r="G62" s="5">
        <v>1.0</v>
      </c>
      <c r="H62" s="5">
        <v>8.0</v>
      </c>
      <c r="J62" s="28" t="s">
        <v>64</v>
      </c>
      <c r="K62" s="23">
        <v>138.57142857142858</v>
      </c>
      <c r="L62" s="23">
        <v>77.66666666666667</v>
      </c>
      <c r="M62" s="23">
        <v>5.904761904761905</v>
      </c>
      <c r="N62" s="23">
        <v>8.333333333333334</v>
      </c>
      <c r="O62" s="23">
        <v>17.321428571428573</v>
      </c>
      <c r="P62" s="23">
        <v>9.708333333333334</v>
      </c>
      <c r="Q62" s="23">
        <v>692.8571428571429</v>
      </c>
      <c r="R62" s="23">
        <v>388.33333333333337</v>
      </c>
      <c r="V62" s="53"/>
      <c r="W62" s="53"/>
      <c r="X62" s="53"/>
      <c r="Y62" s="53"/>
      <c r="Z62" s="53"/>
      <c r="AA62" s="53"/>
      <c r="AB62" s="53"/>
      <c r="AC62" s="30"/>
      <c r="AF62" s="55"/>
      <c r="AG62" s="55"/>
      <c r="AH62" s="55"/>
      <c r="AI62" s="55"/>
      <c r="AJ62" s="55"/>
      <c r="AK62" s="55"/>
      <c r="AL62" s="55"/>
      <c r="AM62" s="67" t="s">
        <v>42</v>
      </c>
    </row>
    <row r="63" ht="15.75" customHeight="1">
      <c r="A63" s="22" t="str">
        <f t="shared" si="2"/>
        <v>viernes</v>
      </c>
      <c r="B63" s="24" t="str">
        <f t="shared" si="3"/>
        <v>marzo</v>
      </c>
      <c r="C63" s="37">
        <v>46087.0</v>
      </c>
      <c r="D63" s="28" t="s">
        <v>51</v>
      </c>
      <c r="E63" s="5">
        <v>33.0</v>
      </c>
      <c r="F63" s="5">
        <v>29.0</v>
      </c>
      <c r="G63" s="5">
        <v>2.0</v>
      </c>
      <c r="H63" s="5">
        <v>5.0</v>
      </c>
      <c r="J63" s="28" t="s">
        <v>65</v>
      </c>
      <c r="K63" s="23">
        <v>79.52173913043478</v>
      </c>
      <c r="L63" s="23">
        <v>60.869565217391305</v>
      </c>
      <c r="M63" s="23">
        <v>3.1739130434782608</v>
      </c>
      <c r="N63" s="23">
        <v>4.0</v>
      </c>
      <c r="O63" s="23">
        <v>9.940217391304348</v>
      </c>
      <c r="P63" s="23">
        <v>7.608695652173913</v>
      </c>
      <c r="Q63" s="23">
        <v>397.6086956521739</v>
      </c>
      <c r="R63" s="23">
        <v>304.3478260869565</v>
      </c>
      <c r="V63" s="55"/>
      <c r="W63" s="55"/>
      <c r="X63" s="55"/>
      <c r="Y63" s="55"/>
      <c r="Z63" s="55"/>
      <c r="AA63" s="55"/>
      <c r="AB63" s="55"/>
      <c r="AC63" s="51"/>
      <c r="AF63" s="55"/>
      <c r="AG63" s="55"/>
      <c r="AH63" s="55"/>
      <c r="AI63" s="55"/>
      <c r="AJ63" s="55"/>
      <c r="AK63" s="55"/>
      <c r="AL63" s="55"/>
      <c r="AM63" s="67" t="s">
        <v>51</v>
      </c>
    </row>
    <row r="64" ht="15.75" customHeight="1">
      <c r="A64" s="22" t="str">
        <f t="shared" si="2"/>
        <v>viernes</v>
      </c>
      <c r="B64" s="24" t="str">
        <f t="shared" si="3"/>
        <v>marzo</v>
      </c>
      <c r="C64" s="37">
        <v>46087.0</v>
      </c>
      <c r="D64" s="28" t="s">
        <v>58</v>
      </c>
      <c r="E64" s="5">
        <v>38.0</v>
      </c>
      <c r="F64" s="5">
        <v>21.0</v>
      </c>
      <c r="G64" s="5">
        <v>2.0</v>
      </c>
      <c r="H64" s="5">
        <v>2.0</v>
      </c>
      <c r="J64" s="28" t="s">
        <v>51</v>
      </c>
      <c r="K64" s="23">
        <v>59.75</v>
      </c>
      <c r="L64" s="23">
        <v>44.9375</v>
      </c>
      <c r="M64" s="23">
        <v>1.75</v>
      </c>
      <c r="N64" s="23">
        <v>13.5625</v>
      </c>
      <c r="O64" s="23">
        <v>5.431818181818182</v>
      </c>
      <c r="P64" s="23">
        <v>4.0852272727272725</v>
      </c>
      <c r="Q64" s="23">
        <v>239.0</v>
      </c>
      <c r="R64" s="23">
        <v>179.75</v>
      </c>
      <c r="V64" s="55"/>
      <c r="W64" s="55"/>
      <c r="X64" s="55"/>
      <c r="Y64" s="55"/>
      <c r="Z64" s="55"/>
      <c r="AA64" s="55"/>
      <c r="AB64" s="55"/>
      <c r="AC64" s="51"/>
      <c r="AF64" s="55"/>
      <c r="AG64" s="55"/>
      <c r="AH64" s="55"/>
      <c r="AI64" s="55"/>
      <c r="AJ64" s="55"/>
      <c r="AK64" s="55"/>
      <c r="AL64" s="55"/>
      <c r="AM64" s="67" t="s">
        <v>58</v>
      </c>
    </row>
    <row r="65" ht="15.75" customHeight="1">
      <c r="A65" s="22" t="str">
        <f t="shared" si="2"/>
        <v>viernes</v>
      </c>
      <c r="B65" s="24" t="str">
        <f t="shared" si="3"/>
        <v>marzo</v>
      </c>
      <c r="C65" s="37">
        <v>46087.0</v>
      </c>
      <c r="D65" s="28" t="s">
        <v>52</v>
      </c>
      <c r="E65" s="5">
        <v>37.0</v>
      </c>
      <c r="F65" s="5">
        <v>25.0</v>
      </c>
      <c r="G65" s="5">
        <v>4.0</v>
      </c>
      <c r="H65" s="5">
        <v>4.0</v>
      </c>
      <c r="J65" s="28" t="s">
        <v>66</v>
      </c>
      <c r="K65" s="23">
        <v>109.69565217391305</v>
      </c>
      <c r="L65" s="23">
        <v>89.08695652173913</v>
      </c>
      <c r="M65" s="23">
        <v>1.173913043478261</v>
      </c>
      <c r="N65" s="23">
        <v>3.869565217391304</v>
      </c>
      <c r="O65" s="23">
        <v>13.71195652173913</v>
      </c>
      <c r="P65" s="23">
        <v>11.13586956521739</v>
      </c>
      <c r="Q65" s="23">
        <v>548.4782608695652</v>
      </c>
      <c r="R65" s="23">
        <v>445.4347826086956</v>
      </c>
      <c r="V65" s="55"/>
      <c r="W65" s="55"/>
      <c r="X65" s="55"/>
      <c r="Y65" s="55"/>
      <c r="Z65" s="55"/>
      <c r="AA65" s="55"/>
      <c r="AB65" s="55"/>
      <c r="AC65" s="51"/>
    </row>
    <row r="66" ht="15.75" customHeight="1">
      <c r="A66" s="22" t="str">
        <f t="shared" si="2"/>
        <v>viernes</v>
      </c>
      <c r="B66" s="24" t="str">
        <f t="shared" si="3"/>
        <v>marzo</v>
      </c>
      <c r="C66" s="37">
        <v>46087.0</v>
      </c>
      <c r="D66" s="28" t="s">
        <v>53</v>
      </c>
      <c r="E66" s="5">
        <v>73.0</v>
      </c>
      <c r="F66" s="5">
        <v>51.0</v>
      </c>
      <c r="G66" s="5">
        <v>3.0</v>
      </c>
      <c r="H66" s="5">
        <v>5.0</v>
      </c>
      <c r="V66" s="57"/>
      <c r="W66" s="57"/>
      <c r="X66" s="57"/>
      <c r="Y66" s="57"/>
      <c r="Z66" s="57"/>
      <c r="AA66" s="57"/>
      <c r="AB66" s="57"/>
      <c r="AC66" s="57"/>
    </row>
    <row r="67" ht="15.75" customHeight="1">
      <c r="A67" s="22" t="str">
        <f t="shared" si="2"/>
        <v>viernes</v>
      </c>
      <c r="B67" s="24" t="str">
        <f t="shared" si="3"/>
        <v>marzo</v>
      </c>
      <c r="C67" s="37">
        <v>46087.0</v>
      </c>
      <c r="D67" s="28" t="s">
        <v>64</v>
      </c>
      <c r="E67" s="5">
        <v>125.0</v>
      </c>
      <c r="F67" s="5">
        <v>58.0</v>
      </c>
      <c r="G67" s="5">
        <v>3.0</v>
      </c>
      <c r="H67" s="5">
        <v>7.0</v>
      </c>
      <c r="J67" s="5" t="s">
        <v>131</v>
      </c>
      <c r="U67" s="5"/>
      <c r="AE67" s="5"/>
    </row>
    <row r="68" ht="15.75" customHeight="1">
      <c r="A68" s="22" t="str">
        <f t="shared" si="2"/>
        <v>viernes</v>
      </c>
      <c r="B68" s="24" t="str">
        <f t="shared" si="3"/>
        <v>marzo</v>
      </c>
      <c r="C68" s="37">
        <v>46087.0</v>
      </c>
      <c r="D68" s="28" t="s">
        <v>65</v>
      </c>
      <c r="E68" s="5">
        <v>71.0</v>
      </c>
      <c r="F68" s="5">
        <v>49.0</v>
      </c>
      <c r="G68" s="5">
        <v>3.0</v>
      </c>
      <c r="H68" s="5">
        <v>6.0</v>
      </c>
      <c r="V68" s="44"/>
      <c r="Z68" s="45"/>
      <c r="AB68" s="45"/>
      <c r="AF68" s="44"/>
      <c r="AJ68" s="45"/>
      <c r="AL68" s="45"/>
    </row>
    <row r="69" ht="15.75" customHeight="1">
      <c r="A69" s="22" t="str">
        <f t="shared" si="2"/>
        <v>viernes</v>
      </c>
      <c r="B69" s="24" t="str">
        <f t="shared" si="3"/>
        <v>marzo</v>
      </c>
      <c r="C69" s="37">
        <v>46087.0</v>
      </c>
      <c r="D69" s="28" t="s">
        <v>66</v>
      </c>
      <c r="E69" s="5">
        <v>107.0</v>
      </c>
      <c r="F69" s="5">
        <v>80.0</v>
      </c>
      <c r="G69" s="5">
        <v>1.0</v>
      </c>
      <c r="H69" s="5">
        <v>10.0</v>
      </c>
      <c r="V69" s="47"/>
      <c r="W69" s="47"/>
      <c r="X69" s="48"/>
      <c r="Y69" s="47"/>
      <c r="Z69" s="47"/>
      <c r="AA69" s="47"/>
      <c r="AB69" s="47"/>
      <c r="AC69" s="47"/>
      <c r="AF69" s="47"/>
      <c r="AG69" s="47"/>
      <c r="AH69" s="48"/>
      <c r="AI69" s="47"/>
      <c r="AJ69" s="47"/>
      <c r="AK69" s="47"/>
      <c r="AL69" s="47"/>
      <c r="AM69" s="47" t="s">
        <v>26</v>
      </c>
    </row>
    <row r="70" ht="15.75" customHeight="1">
      <c r="A70" s="22" t="str">
        <f t="shared" si="2"/>
        <v>sábado</v>
      </c>
      <c r="B70" s="24" t="str">
        <f t="shared" si="3"/>
        <v>marzo</v>
      </c>
      <c r="C70" s="37">
        <v>46088.0</v>
      </c>
      <c r="D70" s="28" t="s">
        <v>40</v>
      </c>
      <c r="E70" s="5">
        <v>69.0</v>
      </c>
      <c r="F70" s="5">
        <v>48.0</v>
      </c>
      <c r="G70" s="5">
        <v>4.0</v>
      </c>
      <c r="H70" s="5">
        <v>9.0</v>
      </c>
      <c r="U70" s="5"/>
      <c r="V70" s="23"/>
      <c r="W70" s="23"/>
      <c r="X70" s="23"/>
      <c r="Y70" s="23"/>
      <c r="Z70" s="23"/>
      <c r="AA70" s="23"/>
      <c r="AB70" s="23"/>
      <c r="AC70" s="23"/>
      <c r="AD70" s="23"/>
      <c r="AE70" s="5"/>
      <c r="AF70" s="23"/>
      <c r="AG70" s="23"/>
      <c r="AH70" s="68"/>
      <c r="AI70" s="23"/>
      <c r="AJ70" s="23"/>
      <c r="AK70" s="68"/>
      <c r="AL70" s="23"/>
      <c r="AM70" s="68">
        <v>273.0</v>
      </c>
    </row>
    <row r="71" ht="15.75" customHeight="1">
      <c r="A71" s="22" t="str">
        <f t="shared" si="2"/>
        <v>sábado</v>
      </c>
      <c r="B71" s="24" t="str">
        <f t="shared" si="3"/>
        <v>marzo</v>
      </c>
      <c r="C71" s="37">
        <v>46088.0</v>
      </c>
      <c r="D71" s="5" t="s">
        <v>43</v>
      </c>
      <c r="E71" s="5">
        <v>63.0</v>
      </c>
      <c r="F71" s="5">
        <v>33.0</v>
      </c>
      <c r="G71" s="5">
        <v>4.0</v>
      </c>
      <c r="H71" s="5">
        <v>3.0</v>
      </c>
      <c r="U71" s="5"/>
      <c r="V71" s="23"/>
      <c r="W71" s="23"/>
      <c r="X71" s="23"/>
      <c r="Y71" s="23"/>
      <c r="Z71" s="23"/>
      <c r="AA71" s="23"/>
      <c r="AB71" s="23"/>
      <c r="AC71" s="23"/>
      <c r="AD71" s="23"/>
      <c r="AE71" s="5"/>
      <c r="AF71" s="23"/>
      <c r="AG71" s="23"/>
      <c r="AH71" s="23"/>
      <c r="AI71" s="23"/>
      <c r="AJ71" s="23"/>
      <c r="AK71" s="23"/>
      <c r="AL71" s="23"/>
      <c r="AM71" s="23">
        <v>202.0</v>
      </c>
    </row>
    <row r="72" ht="15.75" customHeight="1">
      <c r="A72" s="22" t="str">
        <f t="shared" si="2"/>
        <v>sábado</v>
      </c>
      <c r="B72" s="24" t="str">
        <f t="shared" si="3"/>
        <v>marzo</v>
      </c>
      <c r="C72" s="37">
        <v>46088.0</v>
      </c>
      <c r="D72" s="28" t="s">
        <v>51</v>
      </c>
      <c r="E72" s="5">
        <v>42.0</v>
      </c>
      <c r="F72" s="5">
        <v>29.0</v>
      </c>
      <c r="G72" s="5">
        <v>3.0</v>
      </c>
      <c r="H72" s="5">
        <v>1.0</v>
      </c>
      <c r="U72" s="5"/>
      <c r="V72" s="23"/>
      <c r="W72" s="23"/>
      <c r="X72" s="23"/>
      <c r="Y72" s="23"/>
      <c r="Z72" s="23"/>
      <c r="AA72" s="23"/>
      <c r="AB72" s="23"/>
      <c r="AC72" s="23"/>
      <c r="AD72" s="23"/>
      <c r="AE72" s="5"/>
      <c r="AF72" s="68"/>
      <c r="AG72" s="23"/>
      <c r="AH72" s="23"/>
      <c r="AI72" s="23"/>
      <c r="AJ72" s="23"/>
      <c r="AK72" s="23"/>
      <c r="AL72" s="23"/>
      <c r="AM72" s="23">
        <v>229.33333333333334</v>
      </c>
    </row>
    <row r="73" ht="15.75" customHeight="1">
      <c r="A73" s="22" t="str">
        <f t="shared" si="2"/>
        <v>sábado</v>
      </c>
      <c r="B73" s="24" t="str">
        <f t="shared" si="3"/>
        <v>marzo</v>
      </c>
      <c r="C73" s="37">
        <v>46088.0</v>
      </c>
      <c r="D73" s="28" t="s">
        <v>59</v>
      </c>
      <c r="E73" s="5">
        <v>134.0</v>
      </c>
      <c r="F73" s="5">
        <v>118.0</v>
      </c>
      <c r="G73" s="5">
        <v>2.0</v>
      </c>
      <c r="H73" s="5">
        <v>1.0</v>
      </c>
      <c r="U73" s="5"/>
      <c r="V73" s="23"/>
      <c r="W73" s="23"/>
      <c r="X73" s="23"/>
      <c r="Y73" s="23"/>
      <c r="Z73" s="23"/>
      <c r="AA73" s="23"/>
      <c r="AB73" s="23"/>
      <c r="AC73" s="23"/>
      <c r="AD73" s="23"/>
      <c r="AE73" s="5"/>
      <c r="AF73" s="23"/>
      <c r="AG73" s="23"/>
      <c r="AH73" s="68"/>
      <c r="AI73" s="23"/>
      <c r="AJ73" s="23"/>
      <c r="AK73" s="23"/>
      <c r="AL73" s="23"/>
      <c r="AM73" s="23">
        <v>135.5</v>
      </c>
    </row>
    <row r="74" ht="15.75" customHeight="1">
      <c r="A74" s="22" t="str">
        <f t="shared" si="2"/>
        <v>sábado</v>
      </c>
      <c r="B74" s="24" t="str">
        <f t="shared" si="3"/>
        <v>marzo</v>
      </c>
      <c r="C74" s="37">
        <v>46088.0</v>
      </c>
      <c r="D74" s="28" t="s">
        <v>52</v>
      </c>
      <c r="E74" s="5">
        <v>56.0</v>
      </c>
      <c r="F74" s="5">
        <v>40.0</v>
      </c>
      <c r="G74" s="5">
        <v>5.0</v>
      </c>
      <c r="H74" s="5">
        <v>4.0</v>
      </c>
      <c r="U74" s="5"/>
      <c r="V74" s="23"/>
      <c r="W74" s="23"/>
      <c r="X74" s="23"/>
      <c r="Y74" s="23"/>
      <c r="Z74" s="23"/>
      <c r="AA74" s="23"/>
      <c r="AB74" s="23"/>
      <c r="AC74" s="23"/>
      <c r="AD74" s="23"/>
      <c r="AE74" s="5"/>
      <c r="AF74" s="23"/>
      <c r="AG74" s="23"/>
      <c r="AH74" s="23"/>
      <c r="AI74" s="23"/>
      <c r="AJ74" s="68"/>
      <c r="AK74" s="23"/>
      <c r="AL74" s="68"/>
      <c r="AM74" s="23">
        <v>219.28571428571428</v>
      </c>
    </row>
    <row r="75" ht="15.75" customHeight="1">
      <c r="A75" s="22" t="str">
        <f t="shared" si="2"/>
        <v>sábado</v>
      </c>
      <c r="B75" s="24" t="str">
        <f t="shared" si="3"/>
        <v>marzo</v>
      </c>
      <c r="C75" s="37">
        <v>46088.0</v>
      </c>
      <c r="D75" s="28" t="s">
        <v>53</v>
      </c>
      <c r="E75" s="5">
        <v>118.0</v>
      </c>
      <c r="F75" s="5">
        <v>100.0</v>
      </c>
      <c r="G75" s="5">
        <v>1.0</v>
      </c>
      <c r="H75" s="5">
        <v>5.0</v>
      </c>
      <c r="U75" s="5"/>
      <c r="V75" s="23"/>
      <c r="W75" s="23"/>
      <c r="X75" s="23"/>
      <c r="Y75" s="23"/>
      <c r="Z75" s="23"/>
      <c r="AA75" s="23"/>
      <c r="AB75" s="23"/>
      <c r="AC75" s="23"/>
      <c r="AD75" s="23"/>
      <c r="AE75" s="5"/>
      <c r="AF75" s="23"/>
      <c r="AG75" s="23"/>
      <c r="AH75" s="23"/>
      <c r="AI75" s="23"/>
      <c r="AJ75" s="23"/>
      <c r="AK75" s="68"/>
      <c r="AL75" s="23"/>
      <c r="AM75" s="23">
        <v>267.5</v>
      </c>
    </row>
    <row r="76" ht="15.75" customHeight="1">
      <c r="A76" s="22" t="str">
        <f t="shared" si="2"/>
        <v>sábado</v>
      </c>
      <c r="B76" s="24" t="str">
        <f t="shared" si="3"/>
        <v>marzo</v>
      </c>
      <c r="C76" s="37">
        <v>46088.0</v>
      </c>
      <c r="D76" s="28" t="s">
        <v>60</v>
      </c>
      <c r="E76" s="5">
        <v>72.0</v>
      </c>
      <c r="F76" s="5">
        <v>32.0</v>
      </c>
      <c r="G76" s="5">
        <v>2.0</v>
      </c>
      <c r="H76" s="5">
        <v>0.0</v>
      </c>
      <c r="U76" s="5"/>
      <c r="V76" s="23"/>
      <c r="W76" s="23"/>
      <c r="X76" s="23"/>
      <c r="Y76" s="23"/>
      <c r="Z76" s="23"/>
      <c r="AA76" s="23"/>
      <c r="AB76" s="23"/>
      <c r="AC76" s="23"/>
      <c r="AD76" s="23"/>
      <c r="AE76" s="5"/>
      <c r="AF76" s="23"/>
      <c r="AG76" s="23"/>
      <c r="AH76" s="23"/>
      <c r="AI76" s="68"/>
      <c r="AJ76" s="23"/>
      <c r="AK76" s="23"/>
      <c r="AL76" s="23"/>
      <c r="AM76" s="23">
        <v>165.0</v>
      </c>
    </row>
    <row r="77" ht="15.75" customHeight="1">
      <c r="A77" s="22" t="str">
        <f t="shared" si="2"/>
        <v>lunes</v>
      </c>
      <c r="B77" s="24" t="str">
        <f t="shared" si="3"/>
        <v>marzo</v>
      </c>
      <c r="C77" s="37">
        <v>46090.0</v>
      </c>
      <c r="D77" s="28" t="s">
        <v>39</v>
      </c>
      <c r="E77" s="5">
        <v>76.0</v>
      </c>
      <c r="F77" s="5">
        <v>41.0</v>
      </c>
      <c r="G77" s="5">
        <v>1.0</v>
      </c>
      <c r="H77" s="5">
        <v>9.0</v>
      </c>
      <c r="U77" s="5"/>
      <c r="V77" s="23"/>
      <c r="W77" s="23"/>
      <c r="X77" s="23"/>
      <c r="Y77" s="23"/>
      <c r="Z77" s="23"/>
      <c r="AA77" s="23"/>
      <c r="AB77" s="23"/>
      <c r="AC77" s="23"/>
      <c r="AD77" s="23"/>
      <c r="AE77" s="5"/>
      <c r="AF77" s="23"/>
      <c r="AG77" s="23"/>
      <c r="AH77" s="23"/>
      <c r="AI77" s="23"/>
      <c r="AJ77" s="23"/>
      <c r="AK77" s="23"/>
      <c r="AL77" s="23"/>
      <c r="AM77" s="23">
        <v>150.28571428571428</v>
      </c>
    </row>
    <row r="78" ht="15.75" customHeight="1">
      <c r="A78" s="22" t="str">
        <f t="shared" si="2"/>
        <v>lunes</v>
      </c>
      <c r="B78" s="24" t="str">
        <f t="shared" si="3"/>
        <v>marzo</v>
      </c>
      <c r="C78" s="37">
        <v>46090.0</v>
      </c>
      <c r="D78" s="28" t="s">
        <v>41</v>
      </c>
      <c r="E78" s="5">
        <v>71.0</v>
      </c>
      <c r="F78" s="5">
        <v>59.0</v>
      </c>
      <c r="G78" s="5">
        <v>4.0</v>
      </c>
      <c r="H78" s="5">
        <v>1.0</v>
      </c>
      <c r="U78" s="5"/>
      <c r="V78" s="23"/>
      <c r="W78" s="23"/>
      <c r="X78" s="23"/>
      <c r="Y78" s="23"/>
      <c r="Z78" s="23"/>
      <c r="AA78" s="23"/>
      <c r="AB78" s="23"/>
      <c r="AC78" s="23"/>
      <c r="AD78" s="23"/>
      <c r="AE78" s="5"/>
      <c r="AF78" s="23"/>
      <c r="AG78" s="68"/>
      <c r="AH78" s="23"/>
      <c r="AI78" s="23"/>
      <c r="AJ78" s="23"/>
      <c r="AK78" s="23"/>
      <c r="AL78" s="23"/>
      <c r="AM78" s="23">
        <v>271.2</v>
      </c>
    </row>
    <row r="79" ht="15.75" customHeight="1">
      <c r="A79" s="22" t="str">
        <f t="shared" si="2"/>
        <v>lunes</v>
      </c>
      <c r="B79" s="24" t="str">
        <f t="shared" si="3"/>
        <v>marzo</v>
      </c>
      <c r="C79" s="37">
        <v>46090.0</v>
      </c>
      <c r="D79" s="28" t="s">
        <v>42</v>
      </c>
      <c r="E79" s="5">
        <v>87.0</v>
      </c>
      <c r="F79" s="5">
        <v>44.0</v>
      </c>
      <c r="G79" s="5">
        <v>2.0</v>
      </c>
      <c r="H79" s="5">
        <v>31.0</v>
      </c>
    </row>
    <row r="80" ht="15.75" customHeight="1">
      <c r="A80" s="22" t="str">
        <f t="shared" si="2"/>
        <v>lunes</v>
      </c>
      <c r="B80" s="24" t="str">
        <f t="shared" si="3"/>
        <v>marzo</v>
      </c>
      <c r="C80" s="37">
        <v>46090.0</v>
      </c>
      <c r="D80" s="28" t="s">
        <v>44</v>
      </c>
      <c r="E80" s="5">
        <v>48.0</v>
      </c>
      <c r="F80" s="5">
        <v>49.0</v>
      </c>
      <c r="G80" s="5">
        <v>0.0</v>
      </c>
      <c r="H80" s="5">
        <v>0.0</v>
      </c>
    </row>
    <row r="81" ht="15.75" customHeight="1">
      <c r="A81" s="22" t="str">
        <f t="shared" si="2"/>
        <v>lunes</v>
      </c>
      <c r="B81" s="24" t="str">
        <f t="shared" si="3"/>
        <v>marzo</v>
      </c>
      <c r="C81" s="37">
        <v>46090.0</v>
      </c>
      <c r="D81" s="5" t="s">
        <v>89</v>
      </c>
      <c r="E81" s="5">
        <v>130.0</v>
      </c>
      <c r="F81" s="5">
        <v>51.0</v>
      </c>
      <c r="G81" s="5">
        <v>0.0</v>
      </c>
      <c r="H81" s="5">
        <v>0.0</v>
      </c>
    </row>
    <row r="82" ht="15.75" customHeight="1">
      <c r="A82" s="22" t="str">
        <f t="shared" si="2"/>
        <v>lunes</v>
      </c>
      <c r="B82" s="24" t="str">
        <f t="shared" si="3"/>
        <v>marzo</v>
      </c>
      <c r="C82" s="37">
        <v>46090.0</v>
      </c>
      <c r="D82" s="5" t="s">
        <v>90</v>
      </c>
      <c r="E82" s="5">
        <v>103.0</v>
      </c>
      <c r="F82" s="5">
        <v>60.0</v>
      </c>
      <c r="G82" s="5">
        <v>0.0</v>
      </c>
      <c r="H82" s="5">
        <v>0.0</v>
      </c>
    </row>
    <row r="83" ht="15.75" customHeight="1">
      <c r="A83" s="22" t="str">
        <f t="shared" si="2"/>
        <v>lunes</v>
      </c>
      <c r="B83" s="24" t="str">
        <f t="shared" si="3"/>
        <v>marzo</v>
      </c>
      <c r="C83" s="37">
        <v>46090.0</v>
      </c>
      <c r="D83" s="28" t="s">
        <v>59</v>
      </c>
      <c r="E83" s="5">
        <v>56.0</v>
      </c>
      <c r="F83" s="5">
        <v>39.0</v>
      </c>
      <c r="G83" s="5">
        <v>1.0</v>
      </c>
      <c r="H83" s="5">
        <v>3.0</v>
      </c>
    </row>
    <row r="84" ht="15.75" customHeight="1">
      <c r="A84" s="22" t="str">
        <f t="shared" si="2"/>
        <v>lunes</v>
      </c>
      <c r="B84" s="24" t="str">
        <f t="shared" si="3"/>
        <v>marzo</v>
      </c>
      <c r="C84" s="37">
        <v>46090.0</v>
      </c>
      <c r="D84" s="28" t="s">
        <v>67</v>
      </c>
      <c r="E84" s="5">
        <v>63.0</v>
      </c>
      <c r="F84" s="5">
        <v>57.0</v>
      </c>
      <c r="G84" s="5">
        <v>2.0</v>
      </c>
      <c r="H84" s="5">
        <v>4.0</v>
      </c>
    </row>
    <row r="85" ht="15.75" customHeight="1">
      <c r="A85" s="22" t="str">
        <f t="shared" si="2"/>
        <v>lunes</v>
      </c>
      <c r="B85" s="24" t="str">
        <f t="shared" si="3"/>
        <v>marzo</v>
      </c>
      <c r="C85" s="37">
        <v>46090.0</v>
      </c>
      <c r="D85" s="5" t="s">
        <v>93</v>
      </c>
      <c r="E85" s="5">
        <v>101.0</v>
      </c>
      <c r="F85" s="5">
        <v>65.0</v>
      </c>
      <c r="G85" s="5">
        <v>0.0</v>
      </c>
      <c r="H85" s="5">
        <v>0.0</v>
      </c>
    </row>
    <row r="86" ht="15.75" customHeight="1">
      <c r="A86" s="22" t="str">
        <f t="shared" si="2"/>
        <v>lunes</v>
      </c>
      <c r="B86" s="24" t="str">
        <f t="shared" si="3"/>
        <v>marzo</v>
      </c>
      <c r="C86" s="37">
        <v>46090.0</v>
      </c>
      <c r="D86" s="28" t="s">
        <v>58</v>
      </c>
      <c r="E86" s="5">
        <v>72.0</v>
      </c>
      <c r="F86" s="5">
        <v>25.0</v>
      </c>
      <c r="G86" s="5">
        <v>5.0</v>
      </c>
      <c r="H86" s="5">
        <v>3.0</v>
      </c>
    </row>
    <row r="87" ht="15.75" customHeight="1">
      <c r="A87" s="22" t="str">
        <f t="shared" si="2"/>
        <v>lunes</v>
      </c>
      <c r="B87" s="24" t="str">
        <f t="shared" si="3"/>
        <v>marzo</v>
      </c>
      <c r="C87" s="37">
        <v>46090.0</v>
      </c>
      <c r="D87" s="28" t="s">
        <v>64</v>
      </c>
      <c r="E87" s="5">
        <v>161.0</v>
      </c>
      <c r="F87" s="5">
        <v>109.0</v>
      </c>
      <c r="G87" s="5">
        <v>4.0</v>
      </c>
      <c r="H87" s="5">
        <v>9.0</v>
      </c>
    </row>
    <row r="88" ht="15.75" customHeight="1">
      <c r="A88" s="22" t="str">
        <f t="shared" si="2"/>
        <v>lunes</v>
      </c>
      <c r="B88" s="24" t="str">
        <f t="shared" si="3"/>
        <v>marzo</v>
      </c>
      <c r="C88" s="37">
        <v>46090.0</v>
      </c>
      <c r="D88" s="28" t="s">
        <v>65</v>
      </c>
      <c r="E88" s="5">
        <v>77.0</v>
      </c>
      <c r="F88" s="5">
        <v>54.0</v>
      </c>
      <c r="G88" s="5">
        <v>3.0</v>
      </c>
      <c r="H88" s="5">
        <v>8.0</v>
      </c>
    </row>
    <row r="89" ht="15.75" customHeight="1">
      <c r="A89" s="22" t="str">
        <f t="shared" si="2"/>
        <v>lunes</v>
      </c>
      <c r="B89" s="24" t="str">
        <f t="shared" si="3"/>
        <v>marzo</v>
      </c>
      <c r="C89" s="37">
        <v>46090.0</v>
      </c>
      <c r="D89" s="28" t="s">
        <v>60</v>
      </c>
      <c r="E89" s="5">
        <v>116.0</v>
      </c>
      <c r="F89" s="5">
        <v>44.0</v>
      </c>
      <c r="G89" s="5">
        <v>1.0</v>
      </c>
      <c r="H89" s="5">
        <v>13.0</v>
      </c>
    </row>
    <row r="90" ht="15.75" customHeight="1">
      <c r="A90" s="22" t="str">
        <f t="shared" si="2"/>
        <v>lunes</v>
      </c>
      <c r="B90" s="24" t="str">
        <f t="shared" si="3"/>
        <v>marzo</v>
      </c>
      <c r="C90" s="37">
        <v>46090.0</v>
      </c>
      <c r="D90" s="28" t="s">
        <v>66</v>
      </c>
      <c r="E90" s="5">
        <v>78.0</v>
      </c>
      <c r="F90" s="5">
        <v>75.0</v>
      </c>
      <c r="G90" s="5">
        <v>1.0</v>
      </c>
      <c r="H90" s="5">
        <v>2.0</v>
      </c>
    </row>
    <row r="91" ht="15.75" customHeight="1">
      <c r="A91" s="22" t="str">
        <f t="shared" si="2"/>
        <v>martes</v>
      </c>
      <c r="B91" s="24" t="str">
        <f t="shared" si="3"/>
        <v>marzo</v>
      </c>
      <c r="C91" s="37">
        <v>46091.0</v>
      </c>
      <c r="D91" s="28" t="s">
        <v>39</v>
      </c>
      <c r="E91" s="5">
        <v>98.0</v>
      </c>
      <c r="F91" s="5">
        <v>56.0</v>
      </c>
      <c r="G91" s="5">
        <v>1.0</v>
      </c>
      <c r="H91" s="5">
        <v>16.0</v>
      </c>
    </row>
    <row r="92" ht="15.75" customHeight="1">
      <c r="A92" s="22" t="str">
        <f t="shared" si="2"/>
        <v>martes</v>
      </c>
      <c r="B92" s="24" t="str">
        <f t="shared" si="3"/>
        <v>marzo</v>
      </c>
      <c r="C92" s="37">
        <v>46091.0</v>
      </c>
      <c r="D92" s="28" t="s">
        <v>41</v>
      </c>
      <c r="E92" s="5">
        <v>61.0</v>
      </c>
      <c r="F92" s="5">
        <v>60.0</v>
      </c>
      <c r="G92" s="5">
        <v>1.0</v>
      </c>
      <c r="H92" s="5">
        <v>11.0</v>
      </c>
    </row>
    <row r="93" ht="15.75" customHeight="1">
      <c r="A93" s="22" t="str">
        <f t="shared" si="2"/>
        <v>martes</v>
      </c>
      <c r="B93" s="24" t="str">
        <f t="shared" si="3"/>
        <v>marzo</v>
      </c>
      <c r="C93" s="37">
        <v>46091.0</v>
      </c>
      <c r="D93" s="28" t="s">
        <v>42</v>
      </c>
      <c r="E93" s="5">
        <v>79.0</v>
      </c>
      <c r="F93" s="5">
        <v>36.0</v>
      </c>
      <c r="G93" s="5">
        <v>2.0</v>
      </c>
      <c r="H93" s="5">
        <v>17.0</v>
      </c>
    </row>
    <row r="94" ht="15.75" customHeight="1">
      <c r="A94" s="22" t="str">
        <f t="shared" si="2"/>
        <v>martes</v>
      </c>
      <c r="B94" s="24" t="str">
        <f t="shared" si="3"/>
        <v>marzo</v>
      </c>
      <c r="C94" s="37">
        <v>46091.0</v>
      </c>
      <c r="D94" s="5" t="s">
        <v>89</v>
      </c>
      <c r="E94" s="5">
        <v>98.0</v>
      </c>
      <c r="F94" s="5">
        <v>61.0</v>
      </c>
      <c r="G94" s="5">
        <v>0.0</v>
      </c>
      <c r="H94" s="5">
        <v>0.0</v>
      </c>
    </row>
    <row r="95" ht="15.75" customHeight="1">
      <c r="A95" s="22" t="str">
        <f t="shared" si="2"/>
        <v>martes</v>
      </c>
      <c r="B95" s="24" t="str">
        <f t="shared" si="3"/>
        <v>marzo</v>
      </c>
      <c r="C95" s="37">
        <v>46091.0</v>
      </c>
      <c r="D95" s="5" t="s">
        <v>90</v>
      </c>
      <c r="E95" s="5">
        <v>126.0</v>
      </c>
      <c r="F95" s="5">
        <v>84.0</v>
      </c>
      <c r="G95" s="5">
        <v>0.0</v>
      </c>
      <c r="H95" s="5">
        <v>0.0</v>
      </c>
    </row>
    <row r="96" ht="15.75" customHeight="1">
      <c r="A96" s="22" t="str">
        <f t="shared" si="2"/>
        <v>martes</v>
      </c>
      <c r="B96" s="24" t="str">
        <f t="shared" si="3"/>
        <v>marzo</v>
      </c>
      <c r="C96" s="37">
        <v>46091.0</v>
      </c>
      <c r="D96" s="28" t="s">
        <v>59</v>
      </c>
      <c r="E96" s="5">
        <v>57.0</v>
      </c>
      <c r="F96" s="5">
        <v>40.0</v>
      </c>
      <c r="G96" s="5">
        <v>3.0</v>
      </c>
      <c r="H96" s="5">
        <v>0.0</v>
      </c>
    </row>
    <row r="97" ht="15.75" customHeight="1">
      <c r="A97" s="22" t="str">
        <f t="shared" si="2"/>
        <v>martes</v>
      </c>
      <c r="B97" s="24" t="str">
        <f t="shared" si="3"/>
        <v>marzo</v>
      </c>
      <c r="C97" s="37">
        <v>46091.0</v>
      </c>
      <c r="D97" s="28" t="s">
        <v>67</v>
      </c>
      <c r="E97" s="5">
        <v>75.0</v>
      </c>
      <c r="F97" s="5">
        <v>68.0</v>
      </c>
      <c r="G97" s="5">
        <v>2.0</v>
      </c>
      <c r="H97" s="5">
        <v>7.0</v>
      </c>
    </row>
    <row r="98" ht="15.75" customHeight="1">
      <c r="A98" s="22" t="str">
        <f t="shared" si="2"/>
        <v>martes</v>
      </c>
      <c r="B98" s="24" t="str">
        <f t="shared" si="3"/>
        <v>marzo</v>
      </c>
      <c r="C98" s="37">
        <v>46091.0</v>
      </c>
      <c r="D98" s="5" t="s">
        <v>93</v>
      </c>
      <c r="E98" s="5">
        <v>92.0</v>
      </c>
      <c r="F98" s="5">
        <v>77.0</v>
      </c>
      <c r="G98" s="5">
        <v>0.0</v>
      </c>
      <c r="H98" s="5">
        <v>0.0</v>
      </c>
    </row>
    <row r="99" ht="15.75" customHeight="1">
      <c r="A99" s="22" t="str">
        <f t="shared" si="2"/>
        <v>martes</v>
      </c>
      <c r="B99" s="24" t="str">
        <f t="shared" si="3"/>
        <v>marzo</v>
      </c>
      <c r="C99" s="37">
        <v>46091.0</v>
      </c>
      <c r="D99" s="28" t="s">
        <v>58</v>
      </c>
      <c r="E99" s="5">
        <v>55.0</v>
      </c>
      <c r="F99" s="5">
        <v>30.0</v>
      </c>
      <c r="G99" s="5">
        <v>7.0</v>
      </c>
      <c r="H99" s="5">
        <v>8.0</v>
      </c>
    </row>
    <row r="100" ht="15.75" customHeight="1">
      <c r="A100" s="22" t="str">
        <f t="shared" si="2"/>
        <v>martes</v>
      </c>
      <c r="B100" s="24" t="str">
        <f t="shared" si="3"/>
        <v>marzo</v>
      </c>
      <c r="C100" s="37">
        <v>46091.0</v>
      </c>
      <c r="D100" s="28" t="s">
        <v>64</v>
      </c>
      <c r="E100" s="5">
        <v>176.0</v>
      </c>
      <c r="F100" s="5">
        <v>99.0</v>
      </c>
      <c r="G100" s="5">
        <v>4.0</v>
      </c>
      <c r="H100" s="5">
        <v>15.0</v>
      </c>
    </row>
    <row r="101" ht="15.75" customHeight="1">
      <c r="A101" s="22" t="str">
        <f t="shared" si="2"/>
        <v>martes</v>
      </c>
      <c r="B101" s="24" t="str">
        <f t="shared" si="3"/>
        <v>marzo</v>
      </c>
      <c r="C101" s="37">
        <v>46091.0</v>
      </c>
      <c r="D101" s="28" t="s">
        <v>65</v>
      </c>
      <c r="E101" s="5">
        <v>104.0</v>
      </c>
      <c r="F101" s="5">
        <v>81.0</v>
      </c>
      <c r="G101" s="5">
        <v>4.0</v>
      </c>
      <c r="H101" s="5">
        <v>0.0</v>
      </c>
    </row>
    <row r="102" ht="15.75" customHeight="1">
      <c r="A102" s="22" t="str">
        <f t="shared" si="2"/>
        <v>martes</v>
      </c>
      <c r="B102" s="24" t="str">
        <f t="shared" si="3"/>
        <v>marzo</v>
      </c>
      <c r="C102" s="37">
        <v>46091.0</v>
      </c>
      <c r="D102" s="28" t="s">
        <v>66</v>
      </c>
      <c r="E102" s="5">
        <v>97.0</v>
      </c>
      <c r="F102" s="5">
        <v>90.0</v>
      </c>
      <c r="G102" s="5">
        <v>1.0</v>
      </c>
      <c r="H102" s="5">
        <v>1.0</v>
      </c>
    </row>
    <row r="103" ht="15.75" customHeight="1">
      <c r="A103" s="22" t="str">
        <f t="shared" si="2"/>
        <v>miércoles</v>
      </c>
      <c r="B103" s="24" t="str">
        <f t="shared" si="3"/>
        <v>marzo</v>
      </c>
      <c r="C103" s="37">
        <v>46092.0</v>
      </c>
      <c r="D103" s="28" t="s">
        <v>39</v>
      </c>
      <c r="E103" s="5">
        <v>90.0</v>
      </c>
      <c r="F103" s="5">
        <v>50.0</v>
      </c>
      <c r="G103" s="5">
        <v>1.0</v>
      </c>
      <c r="H103" s="5">
        <v>8.0</v>
      </c>
    </row>
    <row r="104" ht="15.75" customHeight="1">
      <c r="A104" s="22" t="str">
        <f t="shared" si="2"/>
        <v>miércoles</v>
      </c>
      <c r="B104" s="24" t="str">
        <f t="shared" si="3"/>
        <v>marzo</v>
      </c>
      <c r="C104" s="37">
        <v>46092.0</v>
      </c>
      <c r="D104" s="5" t="s">
        <v>107</v>
      </c>
      <c r="E104" s="5">
        <v>75.0</v>
      </c>
      <c r="F104" s="5">
        <v>41.0</v>
      </c>
      <c r="G104" s="5">
        <v>0.0</v>
      </c>
      <c r="H104" s="5">
        <v>0.0</v>
      </c>
    </row>
    <row r="105" ht="15.75" customHeight="1">
      <c r="A105" s="22" t="str">
        <f t="shared" si="2"/>
        <v>miércoles</v>
      </c>
      <c r="B105" s="24" t="str">
        <f t="shared" si="3"/>
        <v>marzo</v>
      </c>
      <c r="C105" s="37">
        <v>46092.0</v>
      </c>
      <c r="D105" s="28" t="s">
        <v>41</v>
      </c>
      <c r="E105" s="5">
        <v>73.0</v>
      </c>
      <c r="F105" s="5">
        <v>64.0</v>
      </c>
      <c r="G105" s="5">
        <v>2.0</v>
      </c>
      <c r="H105" s="5">
        <v>2.0</v>
      </c>
    </row>
    <row r="106" ht="15.75" customHeight="1">
      <c r="A106" s="22" t="str">
        <f t="shared" si="2"/>
        <v>miércoles</v>
      </c>
      <c r="B106" s="24" t="str">
        <f t="shared" si="3"/>
        <v>marzo</v>
      </c>
      <c r="C106" s="37">
        <v>46092.0</v>
      </c>
      <c r="D106" s="28" t="s">
        <v>42</v>
      </c>
      <c r="E106" s="5">
        <v>80.0</v>
      </c>
      <c r="F106" s="5">
        <v>45.0</v>
      </c>
      <c r="G106" s="5">
        <v>2.0</v>
      </c>
      <c r="H106" s="5">
        <v>3.0</v>
      </c>
    </row>
    <row r="107" ht="15.75" customHeight="1">
      <c r="A107" s="22" t="str">
        <f t="shared" si="2"/>
        <v>miércoles</v>
      </c>
      <c r="B107" s="24" t="str">
        <f t="shared" si="3"/>
        <v>marzo</v>
      </c>
      <c r="C107" s="37">
        <v>46092.0</v>
      </c>
      <c r="D107" s="28" t="s">
        <v>51</v>
      </c>
      <c r="E107" s="5">
        <v>86.0</v>
      </c>
      <c r="F107" s="5">
        <v>49.0</v>
      </c>
      <c r="G107" s="5">
        <v>3.0</v>
      </c>
      <c r="H107" s="5">
        <v>21.0</v>
      </c>
    </row>
    <row r="108" ht="15.75" customHeight="1">
      <c r="A108" s="22" t="str">
        <f t="shared" si="2"/>
        <v>miércoles</v>
      </c>
      <c r="B108" s="24" t="str">
        <f t="shared" si="3"/>
        <v>marzo</v>
      </c>
      <c r="C108" s="37">
        <v>46092.0</v>
      </c>
      <c r="D108" s="5" t="s">
        <v>89</v>
      </c>
      <c r="E108" s="5">
        <v>115.0</v>
      </c>
      <c r="F108" s="5">
        <v>48.0</v>
      </c>
      <c r="G108" s="5">
        <v>0.0</v>
      </c>
      <c r="H108" s="5">
        <v>0.0</v>
      </c>
    </row>
    <row r="109" ht="15.75" customHeight="1">
      <c r="A109" s="22" t="str">
        <f t="shared" si="2"/>
        <v>miércoles</v>
      </c>
      <c r="B109" s="24" t="str">
        <f t="shared" si="3"/>
        <v>marzo</v>
      </c>
      <c r="C109" s="37">
        <v>46092.0</v>
      </c>
      <c r="D109" s="28" t="s">
        <v>67</v>
      </c>
      <c r="E109" s="5">
        <v>76.0</v>
      </c>
      <c r="F109" s="5">
        <v>72.0</v>
      </c>
      <c r="G109" s="5">
        <v>2.0</v>
      </c>
      <c r="H109" s="5">
        <v>0.0</v>
      </c>
    </row>
    <row r="110" ht="15.75" customHeight="1">
      <c r="A110" s="22" t="str">
        <f t="shared" si="2"/>
        <v>miércoles</v>
      </c>
      <c r="B110" s="24" t="str">
        <f t="shared" si="3"/>
        <v>marzo</v>
      </c>
      <c r="C110" s="37">
        <v>46092.0</v>
      </c>
      <c r="D110" s="5" t="s">
        <v>93</v>
      </c>
      <c r="E110" s="5">
        <v>69.0</v>
      </c>
      <c r="F110" s="5">
        <v>38.0</v>
      </c>
      <c r="G110" s="5">
        <v>0.0</v>
      </c>
      <c r="H110" s="5">
        <v>0.0</v>
      </c>
    </row>
    <row r="111" ht="15.75" customHeight="1">
      <c r="A111" s="22" t="str">
        <f t="shared" si="2"/>
        <v>miércoles</v>
      </c>
      <c r="B111" s="24" t="str">
        <f t="shared" si="3"/>
        <v>marzo</v>
      </c>
      <c r="C111" s="37">
        <v>46092.0</v>
      </c>
      <c r="D111" s="28" t="s">
        <v>58</v>
      </c>
      <c r="E111" s="5">
        <v>81.0</v>
      </c>
      <c r="F111" s="5">
        <v>34.0</v>
      </c>
      <c r="G111" s="5">
        <v>3.0</v>
      </c>
      <c r="H111" s="5">
        <v>8.0</v>
      </c>
    </row>
    <row r="112" ht="15.75" customHeight="1">
      <c r="A112" s="22" t="str">
        <f t="shared" si="2"/>
        <v>miércoles</v>
      </c>
      <c r="B112" s="24" t="str">
        <f t="shared" si="3"/>
        <v>marzo</v>
      </c>
      <c r="C112" s="37">
        <v>46092.0</v>
      </c>
      <c r="D112" s="28" t="s">
        <v>64</v>
      </c>
      <c r="E112" s="5">
        <v>150.0</v>
      </c>
      <c r="F112" s="5">
        <v>77.0</v>
      </c>
      <c r="G112" s="5">
        <v>3.0</v>
      </c>
      <c r="H112" s="5">
        <v>8.0</v>
      </c>
    </row>
    <row r="113" ht="15.75" customHeight="1">
      <c r="A113" s="22" t="str">
        <f t="shared" si="2"/>
        <v>miércoles</v>
      </c>
      <c r="B113" s="24" t="str">
        <f t="shared" si="3"/>
        <v>marzo</v>
      </c>
      <c r="C113" s="37">
        <v>46092.0</v>
      </c>
      <c r="D113" s="28" t="s">
        <v>65</v>
      </c>
      <c r="E113" s="5">
        <v>74.0</v>
      </c>
      <c r="F113" s="5">
        <v>58.0</v>
      </c>
      <c r="G113" s="5">
        <v>2.0</v>
      </c>
      <c r="H113" s="5">
        <v>5.0</v>
      </c>
    </row>
    <row r="114" ht="15.75" customHeight="1">
      <c r="A114" s="22" t="str">
        <f t="shared" si="2"/>
        <v>miércoles</v>
      </c>
      <c r="B114" s="24" t="str">
        <f t="shared" si="3"/>
        <v>marzo</v>
      </c>
      <c r="C114" s="37">
        <v>46092.0</v>
      </c>
      <c r="D114" s="28" t="s">
        <v>66</v>
      </c>
      <c r="E114" s="5">
        <v>125.0</v>
      </c>
      <c r="F114" s="5">
        <v>98.0</v>
      </c>
      <c r="G114" s="5">
        <v>0.0</v>
      </c>
      <c r="H114" s="5">
        <v>7.0</v>
      </c>
    </row>
    <row r="115" ht="15.75" customHeight="1">
      <c r="A115" s="22" t="str">
        <f t="shared" si="2"/>
        <v>jueves</v>
      </c>
      <c r="B115" s="24" t="str">
        <f t="shared" si="3"/>
        <v>marzo</v>
      </c>
      <c r="C115" s="37">
        <v>46093.0</v>
      </c>
      <c r="D115" s="5" t="s">
        <v>107</v>
      </c>
      <c r="E115" s="5">
        <v>67.0</v>
      </c>
      <c r="F115" s="5">
        <v>34.0</v>
      </c>
      <c r="G115" s="5">
        <v>0.0</v>
      </c>
      <c r="H115" s="5">
        <v>0.0</v>
      </c>
    </row>
    <row r="116" ht="15.75" customHeight="1">
      <c r="A116" s="22" t="str">
        <f t="shared" si="2"/>
        <v>jueves</v>
      </c>
      <c r="B116" s="24" t="str">
        <f t="shared" si="3"/>
        <v>marzo</v>
      </c>
      <c r="C116" s="37">
        <v>46093.0</v>
      </c>
      <c r="D116" s="28" t="s">
        <v>40</v>
      </c>
      <c r="E116" s="5">
        <v>67.0</v>
      </c>
      <c r="F116" s="5">
        <v>30.0</v>
      </c>
      <c r="G116" s="5">
        <v>5.0</v>
      </c>
      <c r="H116" s="5">
        <v>12.0</v>
      </c>
    </row>
    <row r="117" ht="15.75" customHeight="1">
      <c r="A117" s="22" t="str">
        <f t="shared" si="2"/>
        <v>jueves</v>
      </c>
      <c r="B117" s="24" t="str">
        <f t="shared" si="3"/>
        <v>marzo</v>
      </c>
      <c r="C117" s="37">
        <v>46093.0</v>
      </c>
      <c r="D117" s="28" t="s">
        <v>41</v>
      </c>
      <c r="E117" s="5">
        <v>39.0</v>
      </c>
      <c r="F117" s="5">
        <v>22.0</v>
      </c>
      <c r="G117" s="5">
        <v>2.0</v>
      </c>
      <c r="H117" s="5">
        <v>4.0</v>
      </c>
    </row>
    <row r="118" ht="15.75" customHeight="1">
      <c r="A118" s="22" t="str">
        <f t="shared" si="2"/>
        <v>jueves</v>
      </c>
      <c r="B118" s="24" t="str">
        <f t="shared" si="3"/>
        <v>marzo</v>
      </c>
      <c r="C118" s="37">
        <v>46093.0</v>
      </c>
      <c r="D118" s="28" t="s">
        <v>42</v>
      </c>
      <c r="E118" s="5">
        <v>54.0</v>
      </c>
      <c r="F118" s="5">
        <v>35.0</v>
      </c>
      <c r="G118" s="5">
        <v>5.0</v>
      </c>
      <c r="H118" s="5">
        <v>15.0</v>
      </c>
    </row>
    <row r="119" ht="15.75" customHeight="1">
      <c r="A119" s="22" t="str">
        <f t="shared" si="2"/>
        <v>jueves</v>
      </c>
      <c r="B119" s="24" t="str">
        <f t="shared" si="3"/>
        <v>marzo</v>
      </c>
      <c r="C119" s="37">
        <v>46093.0</v>
      </c>
      <c r="D119" s="5" t="s">
        <v>117</v>
      </c>
      <c r="E119" s="5">
        <v>76.0</v>
      </c>
      <c r="F119" s="5">
        <v>40.0</v>
      </c>
      <c r="G119" s="5">
        <v>0.0</v>
      </c>
      <c r="H119" s="5">
        <v>0.0</v>
      </c>
    </row>
    <row r="120" ht="15.75" customHeight="1">
      <c r="A120" s="22" t="str">
        <f t="shared" si="2"/>
        <v>jueves</v>
      </c>
      <c r="B120" s="24" t="str">
        <f t="shared" si="3"/>
        <v>marzo</v>
      </c>
      <c r="C120" s="37">
        <v>46093.0</v>
      </c>
      <c r="D120" s="28" t="s">
        <v>51</v>
      </c>
      <c r="E120" s="5">
        <v>30.0</v>
      </c>
      <c r="F120" s="5">
        <v>22.0</v>
      </c>
      <c r="G120" s="5">
        <v>2.0</v>
      </c>
      <c r="H120" s="5">
        <v>16.0</v>
      </c>
    </row>
    <row r="121" ht="15.75" customHeight="1">
      <c r="A121" s="22" t="str">
        <f t="shared" si="2"/>
        <v>jueves</v>
      </c>
      <c r="B121" s="24" t="str">
        <f t="shared" si="3"/>
        <v>marzo</v>
      </c>
      <c r="C121" s="37">
        <v>46093.0</v>
      </c>
      <c r="D121" s="5" t="s">
        <v>89</v>
      </c>
      <c r="E121" s="5">
        <v>83.0</v>
      </c>
      <c r="F121" s="5">
        <v>43.0</v>
      </c>
      <c r="G121" s="5">
        <v>0.0</v>
      </c>
      <c r="H121" s="5">
        <v>0.0</v>
      </c>
    </row>
    <row r="122" ht="15.75" customHeight="1">
      <c r="A122" s="22" t="str">
        <f t="shared" si="2"/>
        <v>jueves</v>
      </c>
      <c r="B122" s="24" t="str">
        <f t="shared" si="3"/>
        <v>marzo</v>
      </c>
      <c r="C122" s="37">
        <v>46093.0</v>
      </c>
      <c r="D122" s="28" t="s">
        <v>67</v>
      </c>
      <c r="E122" s="5">
        <v>62.0</v>
      </c>
      <c r="F122" s="5">
        <v>60.0</v>
      </c>
      <c r="G122" s="5">
        <v>2.0</v>
      </c>
      <c r="H122" s="5">
        <v>3.0</v>
      </c>
    </row>
    <row r="123" ht="15.75" customHeight="1">
      <c r="A123" s="22" t="str">
        <f t="shared" si="2"/>
        <v>jueves</v>
      </c>
      <c r="B123" s="24" t="str">
        <f t="shared" si="3"/>
        <v>marzo</v>
      </c>
      <c r="C123" s="37">
        <v>46093.0</v>
      </c>
      <c r="D123" s="28" t="s">
        <v>58</v>
      </c>
      <c r="E123" s="5">
        <v>62.0</v>
      </c>
      <c r="F123" s="5">
        <v>25.0</v>
      </c>
      <c r="G123" s="5">
        <v>7.0</v>
      </c>
      <c r="H123" s="5">
        <v>0.0</v>
      </c>
    </row>
    <row r="124" ht="15.75" customHeight="1">
      <c r="A124" s="22" t="str">
        <f t="shared" si="2"/>
        <v>jueves</v>
      </c>
      <c r="B124" s="24" t="str">
        <f t="shared" si="3"/>
        <v>marzo</v>
      </c>
      <c r="C124" s="37">
        <v>46093.0</v>
      </c>
      <c r="D124" s="28" t="s">
        <v>52</v>
      </c>
      <c r="E124" s="5">
        <v>34.0</v>
      </c>
      <c r="F124" s="5">
        <v>24.0</v>
      </c>
      <c r="G124" s="5">
        <v>4.0</v>
      </c>
      <c r="H124" s="5">
        <v>7.0</v>
      </c>
    </row>
    <row r="125" ht="15.75" customHeight="1">
      <c r="A125" s="22" t="str">
        <f t="shared" si="2"/>
        <v>jueves</v>
      </c>
      <c r="B125" s="24" t="str">
        <f t="shared" si="3"/>
        <v>marzo</v>
      </c>
      <c r="C125" s="37">
        <v>46093.0</v>
      </c>
      <c r="D125" s="28" t="s">
        <v>53</v>
      </c>
      <c r="E125" s="5">
        <v>88.0</v>
      </c>
      <c r="F125" s="5">
        <v>52.0</v>
      </c>
      <c r="G125" s="5">
        <v>1.0</v>
      </c>
      <c r="H125" s="5">
        <v>7.0</v>
      </c>
    </row>
    <row r="126" ht="15.75" customHeight="1">
      <c r="A126" s="22" t="str">
        <f t="shared" si="2"/>
        <v>jueves</v>
      </c>
      <c r="B126" s="24" t="str">
        <f t="shared" si="3"/>
        <v>marzo</v>
      </c>
      <c r="C126" s="37">
        <v>46093.0</v>
      </c>
      <c r="D126" s="28" t="s">
        <v>64</v>
      </c>
      <c r="E126" s="5">
        <v>160.0</v>
      </c>
      <c r="F126" s="5">
        <v>86.0</v>
      </c>
      <c r="G126" s="5">
        <v>9.0</v>
      </c>
      <c r="H126" s="5">
        <v>10.0</v>
      </c>
    </row>
    <row r="127" ht="15.75" customHeight="1">
      <c r="A127" s="22" t="str">
        <f t="shared" si="2"/>
        <v>jueves</v>
      </c>
      <c r="B127" s="24" t="str">
        <f t="shared" si="3"/>
        <v>marzo</v>
      </c>
      <c r="C127" s="37">
        <v>46093.0</v>
      </c>
      <c r="D127" s="28" t="s">
        <v>65</v>
      </c>
      <c r="E127" s="5">
        <v>43.0</v>
      </c>
      <c r="F127" s="5">
        <v>30.0</v>
      </c>
      <c r="G127" s="5">
        <v>4.0</v>
      </c>
      <c r="H127" s="5">
        <v>1.0</v>
      </c>
    </row>
    <row r="128" ht="15.75" customHeight="1">
      <c r="A128" s="22" t="str">
        <f t="shared" si="2"/>
        <v>jueves</v>
      </c>
      <c r="B128" s="24" t="str">
        <f t="shared" si="3"/>
        <v>marzo</v>
      </c>
      <c r="C128" s="37">
        <v>46093.0</v>
      </c>
      <c r="D128" s="28" t="s">
        <v>66</v>
      </c>
      <c r="E128" s="5">
        <v>70.0</v>
      </c>
      <c r="F128" s="5">
        <v>63.0</v>
      </c>
      <c r="G128" s="5">
        <v>2.0</v>
      </c>
      <c r="H128" s="5">
        <v>0.0</v>
      </c>
    </row>
    <row r="129" ht="15.75" customHeight="1">
      <c r="A129" s="22" t="str">
        <f t="shared" si="2"/>
        <v>viernes</v>
      </c>
      <c r="B129" s="24" t="str">
        <f t="shared" si="3"/>
        <v>marzo</v>
      </c>
      <c r="C129" s="37">
        <v>46094.0</v>
      </c>
      <c r="D129" s="28" t="s">
        <v>40</v>
      </c>
      <c r="E129" s="5">
        <v>61.0</v>
      </c>
      <c r="F129" s="5">
        <v>30.0</v>
      </c>
      <c r="G129" s="5">
        <v>4.0</v>
      </c>
      <c r="H129" s="5">
        <v>18.0</v>
      </c>
    </row>
    <row r="130" ht="15.75" customHeight="1">
      <c r="A130" s="22" t="str">
        <f t="shared" si="2"/>
        <v>viernes</v>
      </c>
      <c r="B130" s="24" t="str">
        <f t="shared" si="3"/>
        <v>marzo</v>
      </c>
      <c r="C130" s="37">
        <v>46094.0</v>
      </c>
      <c r="D130" s="28" t="s">
        <v>51</v>
      </c>
      <c r="E130" s="5">
        <v>48.0</v>
      </c>
      <c r="F130" s="5">
        <v>36.0</v>
      </c>
      <c r="G130" s="5">
        <v>1.0</v>
      </c>
      <c r="H130" s="5">
        <v>17.0</v>
      </c>
    </row>
    <row r="131" ht="15.75" customHeight="1">
      <c r="A131" s="22" t="str">
        <f t="shared" si="2"/>
        <v>viernes</v>
      </c>
      <c r="B131" s="24" t="str">
        <f t="shared" si="3"/>
        <v>marzo</v>
      </c>
      <c r="C131" s="37">
        <v>46094.0</v>
      </c>
      <c r="D131" s="28" t="s">
        <v>58</v>
      </c>
      <c r="E131" s="5">
        <v>30.0</v>
      </c>
      <c r="F131" s="5">
        <v>11.0</v>
      </c>
      <c r="G131" s="5">
        <v>5.0</v>
      </c>
      <c r="H131" s="5">
        <v>0.0</v>
      </c>
    </row>
    <row r="132" ht="15.75" customHeight="1">
      <c r="A132" s="22" t="str">
        <f t="shared" si="2"/>
        <v>viernes</v>
      </c>
      <c r="B132" s="24" t="str">
        <f t="shared" si="3"/>
        <v>marzo</v>
      </c>
      <c r="C132" s="37">
        <v>46094.0</v>
      </c>
      <c r="D132" s="28" t="s">
        <v>52</v>
      </c>
      <c r="E132" s="5">
        <v>39.0</v>
      </c>
      <c r="F132" s="5">
        <v>32.0</v>
      </c>
      <c r="G132" s="5">
        <v>6.0</v>
      </c>
      <c r="H132" s="5">
        <v>6.0</v>
      </c>
    </row>
    <row r="133" ht="15.75" customHeight="1">
      <c r="A133" s="22" t="str">
        <f t="shared" si="2"/>
        <v>viernes</v>
      </c>
      <c r="B133" s="24" t="str">
        <f t="shared" si="3"/>
        <v>marzo</v>
      </c>
      <c r="C133" s="37">
        <v>46094.0</v>
      </c>
      <c r="D133" s="28" t="s">
        <v>53</v>
      </c>
      <c r="E133" s="5">
        <v>77.0</v>
      </c>
      <c r="F133" s="5">
        <v>39.0</v>
      </c>
      <c r="G133" s="5">
        <v>1.0</v>
      </c>
      <c r="H133" s="5">
        <v>1.0</v>
      </c>
    </row>
    <row r="134" ht="15.75" customHeight="1">
      <c r="A134" s="22" t="str">
        <f t="shared" si="2"/>
        <v>viernes</v>
      </c>
      <c r="B134" s="24" t="str">
        <f t="shared" si="3"/>
        <v>marzo</v>
      </c>
      <c r="C134" s="37">
        <v>46094.0</v>
      </c>
      <c r="D134" s="28" t="s">
        <v>64</v>
      </c>
      <c r="E134" s="5">
        <v>124.0</v>
      </c>
      <c r="F134" s="5">
        <v>78.0</v>
      </c>
      <c r="G134" s="5">
        <v>9.0</v>
      </c>
      <c r="H134" s="5">
        <v>10.0</v>
      </c>
    </row>
    <row r="135" ht="15.75" customHeight="1">
      <c r="A135" s="22" t="str">
        <f t="shared" si="2"/>
        <v>viernes</v>
      </c>
      <c r="B135" s="24" t="str">
        <f t="shared" si="3"/>
        <v>marzo</v>
      </c>
      <c r="C135" s="37">
        <v>46094.0</v>
      </c>
      <c r="D135" s="28" t="s">
        <v>65</v>
      </c>
      <c r="E135" s="5">
        <v>90.0</v>
      </c>
      <c r="F135" s="5">
        <v>68.0</v>
      </c>
      <c r="G135" s="5">
        <v>2.0</v>
      </c>
      <c r="H135" s="5">
        <v>3.0</v>
      </c>
    </row>
    <row r="136" ht="15.75" customHeight="1">
      <c r="A136" s="22" t="str">
        <f t="shared" si="2"/>
        <v>viernes</v>
      </c>
      <c r="B136" s="24" t="str">
        <f t="shared" si="3"/>
        <v>marzo</v>
      </c>
      <c r="C136" s="37">
        <v>46094.0</v>
      </c>
      <c r="D136" s="28" t="s">
        <v>66</v>
      </c>
      <c r="E136" s="5">
        <v>118.0</v>
      </c>
      <c r="F136" s="5">
        <v>35.0</v>
      </c>
      <c r="G136" s="5">
        <v>2.0</v>
      </c>
      <c r="H136" s="5">
        <v>8.0</v>
      </c>
    </row>
    <row r="137" ht="15.75" customHeight="1">
      <c r="A137" s="22" t="str">
        <f t="shared" si="2"/>
        <v>sábado</v>
      </c>
      <c r="B137" s="24" t="str">
        <f t="shared" si="3"/>
        <v>marzo</v>
      </c>
      <c r="C137" s="37">
        <v>46095.0</v>
      </c>
      <c r="D137" s="28" t="s">
        <v>40</v>
      </c>
      <c r="E137" s="5">
        <v>61.0</v>
      </c>
      <c r="F137" s="5">
        <v>30.0</v>
      </c>
      <c r="G137" s="5">
        <v>4.0</v>
      </c>
      <c r="H137" s="5">
        <v>18.0</v>
      </c>
    </row>
    <row r="138" ht="15.75" customHeight="1">
      <c r="A138" s="22" t="str">
        <f t="shared" si="2"/>
        <v>sábado</v>
      </c>
      <c r="B138" s="24" t="str">
        <f t="shared" si="3"/>
        <v>marzo</v>
      </c>
      <c r="C138" s="37">
        <v>46095.0</v>
      </c>
      <c r="D138" s="28" t="s">
        <v>51</v>
      </c>
      <c r="E138" s="5">
        <v>48.0</v>
      </c>
      <c r="F138" s="5">
        <v>36.0</v>
      </c>
      <c r="G138" s="5">
        <v>1.0</v>
      </c>
      <c r="H138" s="5">
        <v>17.0</v>
      </c>
    </row>
    <row r="139" ht="15.75" customHeight="1">
      <c r="A139" s="22" t="str">
        <f t="shared" si="2"/>
        <v>sábado</v>
      </c>
      <c r="B139" s="24" t="str">
        <f t="shared" si="3"/>
        <v>marzo</v>
      </c>
      <c r="C139" s="37">
        <v>46095.0</v>
      </c>
      <c r="D139" s="28" t="s">
        <v>58</v>
      </c>
      <c r="E139" s="5">
        <v>30.0</v>
      </c>
      <c r="F139" s="5">
        <v>11.0</v>
      </c>
      <c r="G139" s="5">
        <v>5.0</v>
      </c>
      <c r="H139" s="5">
        <v>0.0</v>
      </c>
    </row>
    <row r="140" ht="15.75" customHeight="1">
      <c r="A140" s="22" t="str">
        <f t="shared" si="2"/>
        <v>sábado</v>
      </c>
      <c r="B140" s="24" t="str">
        <f t="shared" si="3"/>
        <v>marzo</v>
      </c>
      <c r="C140" s="37">
        <v>46095.0</v>
      </c>
      <c r="D140" s="28" t="s">
        <v>52</v>
      </c>
      <c r="E140" s="5">
        <v>39.0</v>
      </c>
      <c r="F140" s="5">
        <v>32.0</v>
      </c>
      <c r="G140" s="5">
        <v>6.0</v>
      </c>
      <c r="H140" s="5">
        <v>6.0</v>
      </c>
    </row>
    <row r="141" ht="15.75" customHeight="1">
      <c r="A141" s="22" t="str">
        <f t="shared" si="2"/>
        <v>sábado</v>
      </c>
      <c r="B141" s="24" t="str">
        <f t="shared" si="3"/>
        <v>marzo</v>
      </c>
      <c r="C141" s="37">
        <v>46095.0</v>
      </c>
      <c r="D141" s="28" t="s">
        <v>53</v>
      </c>
      <c r="E141" s="5">
        <v>77.0</v>
      </c>
      <c r="F141" s="5">
        <v>39.0</v>
      </c>
      <c r="G141" s="5">
        <v>1.0</v>
      </c>
      <c r="H141" s="5">
        <v>1.0</v>
      </c>
    </row>
    <row r="142" ht="15.75" customHeight="1">
      <c r="A142" s="22" t="str">
        <f t="shared" si="2"/>
        <v>sábado</v>
      </c>
      <c r="B142" s="24" t="str">
        <f t="shared" si="3"/>
        <v>marzo</v>
      </c>
      <c r="C142" s="37">
        <v>46095.0</v>
      </c>
      <c r="D142" s="28" t="s">
        <v>64</v>
      </c>
      <c r="E142" s="5">
        <v>124.0</v>
      </c>
      <c r="F142" s="5">
        <v>78.0</v>
      </c>
      <c r="G142" s="5">
        <v>9.0</v>
      </c>
      <c r="H142" s="5">
        <v>10.0</v>
      </c>
    </row>
    <row r="143" ht="15.75" customHeight="1">
      <c r="A143" s="22" t="str">
        <f t="shared" si="2"/>
        <v>sábado</v>
      </c>
      <c r="B143" s="24" t="str">
        <f t="shared" si="3"/>
        <v>marzo</v>
      </c>
      <c r="C143" s="37">
        <v>46095.0</v>
      </c>
      <c r="D143" s="28" t="s">
        <v>65</v>
      </c>
      <c r="E143" s="5">
        <v>90.0</v>
      </c>
      <c r="F143" s="5">
        <v>68.0</v>
      </c>
      <c r="G143" s="5">
        <v>2.0</v>
      </c>
      <c r="H143" s="5">
        <v>3.0</v>
      </c>
    </row>
    <row r="144" ht="15.75" customHeight="1">
      <c r="A144" s="22" t="str">
        <f t="shared" si="2"/>
        <v>sábado</v>
      </c>
      <c r="B144" s="24" t="str">
        <f t="shared" si="3"/>
        <v>marzo</v>
      </c>
      <c r="C144" s="37">
        <v>46095.0</v>
      </c>
      <c r="D144" s="28" t="s">
        <v>66</v>
      </c>
      <c r="E144" s="5">
        <v>118.0</v>
      </c>
      <c r="F144" s="5">
        <v>35.0</v>
      </c>
      <c r="G144" s="5">
        <v>2.0</v>
      </c>
      <c r="H144" s="5">
        <v>8.0</v>
      </c>
    </row>
    <row r="145" ht="15.75" customHeight="1">
      <c r="A145" s="22" t="str">
        <f t="shared" si="2"/>
        <v>domingo</v>
      </c>
      <c r="B145" s="24" t="str">
        <f t="shared" si="3"/>
        <v>marzo</v>
      </c>
      <c r="C145" s="37">
        <v>46096.0</v>
      </c>
      <c r="D145" s="28" t="s">
        <v>39</v>
      </c>
      <c r="E145" s="5">
        <v>91.0</v>
      </c>
      <c r="F145" s="5">
        <v>24.0</v>
      </c>
      <c r="G145" s="5">
        <v>5.0</v>
      </c>
      <c r="H145" s="5">
        <v>5.0</v>
      </c>
    </row>
    <row r="146" ht="15.75" customHeight="1">
      <c r="A146" s="22" t="str">
        <f t="shared" si="2"/>
        <v>domingo</v>
      </c>
      <c r="B146" s="24" t="str">
        <f t="shared" si="3"/>
        <v>marzo</v>
      </c>
      <c r="C146" s="37">
        <v>46096.0</v>
      </c>
      <c r="D146" s="28" t="s">
        <v>40</v>
      </c>
      <c r="E146" s="5">
        <v>59.0</v>
      </c>
      <c r="F146" s="5">
        <v>34.0</v>
      </c>
      <c r="G146" s="5">
        <v>7.0</v>
      </c>
      <c r="H146" s="5">
        <v>5.0</v>
      </c>
    </row>
    <row r="147" ht="15.75" customHeight="1">
      <c r="A147" s="22" t="str">
        <f t="shared" si="2"/>
        <v>domingo</v>
      </c>
      <c r="B147" s="24" t="str">
        <f t="shared" si="3"/>
        <v>marzo</v>
      </c>
      <c r="C147" s="37">
        <v>46096.0</v>
      </c>
      <c r="D147" s="5" t="s">
        <v>43</v>
      </c>
      <c r="E147" s="5">
        <v>75.0</v>
      </c>
      <c r="F147" s="5">
        <v>45.0</v>
      </c>
      <c r="G147" s="5">
        <v>6.0</v>
      </c>
      <c r="H147" s="5">
        <v>5.0</v>
      </c>
    </row>
    <row r="148" ht="15.75" customHeight="1">
      <c r="A148" s="22" t="str">
        <f t="shared" si="2"/>
        <v>domingo</v>
      </c>
      <c r="B148" s="24" t="str">
        <f t="shared" si="3"/>
        <v>marzo</v>
      </c>
      <c r="C148" s="37">
        <v>46096.0</v>
      </c>
      <c r="D148" s="28" t="s">
        <v>59</v>
      </c>
      <c r="E148" s="5">
        <v>136.0</v>
      </c>
      <c r="F148" s="5">
        <v>116.0</v>
      </c>
      <c r="G148" s="5">
        <v>2.0</v>
      </c>
      <c r="H148" s="5">
        <v>6.0</v>
      </c>
    </row>
    <row r="149" ht="15.75" customHeight="1">
      <c r="A149" s="22" t="str">
        <f t="shared" si="2"/>
        <v>domingo</v>
      </c>
      <c r="B149" s="24" t="str">
        <f t="shared" si="3"/>
        <v>marzo</v>
      </c>
      <c r="C149" s="37">
        <v>46096.0</v>
      </c>
      <c r="D149" s="28" t="s">
        <v>53</v>
      </c>
      <c r="E149" s="5">
        <v>146.0</v>
      </c>
      <c r="F149" s="5">
        <v>78.0</v>
      </c>
      <c r="G149" s="5">
        <v>3.0</v>
      </c>
      <c r="H149" s="5">
        <v>1.0</v>
      </c>
    </row>
    <row r="150" ht="15.75" customHeight="1">
      <c r="A150" s="22" t="str">
        <f t="shared" si="2"/>
        <v>domingo</v>
      </c>
      <c r="B150" s="24" t="str">
        <f t="shared" si="3"/>
        <v>marzo</v>
      </c>
      <c r="C150" s="37">
        <v>46096.0</v>
      </c>
      <c r="D150" s="28" t="s">
        <v>60</v>
      </c>
      <c r="E150" s="5">
        <v>135.0</v>
      </c>
      <c r="F150" s="5">
        <v>63.0</v>
      </c>
      <c r="G150" s="5">
        <v>5.0</v>
      </c>
      <c r="H150" s="5">
        <v>9.0</v>
      </c>
    </row>
    <row r="151" ht="15.75" customHeight="1">
      <c r="A151" s="22" t="str">
        <f t="shared" si="2"/>
        <v>lunes</v>
      </c>
      <c r="B151" s="24" t="str">
        <f t="shared" si="3"/>
        <v>marzo</v>
      </c>
      <c r="C151" s="37">
        <v>46097.0</v>
      </c>
      <c r="D151" s="28" t="s">
        <v>39</v>
      </c>
      <c r="E151" s="5">
        <v>47.0</v>
      </c>
      <c r="F151" s="5">
        <v>31.0</v>
      </c>
      <c r="G151" s="5">
        <v>1.0</v>
      </c>
      <c r="H151" s="5">
        <v>4.0</v>
      </c>
    </row>
    <row r="152" ht="15.75" customHeight="1">
      <c r="A152" s="22" t="str">
        <f t="shared" si="2"/>
        <v>lunes</v>
      </c>
      <c r="B152" s="24" t="str">
        <f t="shared" si="3"/>
        <v>marzo</v>
      </c>
      <c r="C152" s="37">
        <v>46097.0</v>
      </c>
      <c r="D152" s="28" t="s">
        <v>42</v>
      </c>
      <c r="E152" s="5">
        <v>81.0</v>
      </c>
      <c r="F152" s="5">
        <v>44.0</v>
      </c>
      <c r="G152" s="5">
        <v>4.0</v>
      </c>
      <c r="H152" s="5">
        <v>18.0</v>
      </c>
    </row>
    <row r="153" ht="15.75" customHeight="1">
      <c r="A153" s="22" t="str">
        <f t="shared" si="2"/>
        <v>lunes</v>
      </c>
      <c r="B153" s="24" t="str">
        <f t="shared" si="3"/>
        <v>marzo</v>
      </c>
      <c r="C153" s="37">
        <v>46097.0</v>
      </c>
      <c r="D153" s="28" t="s">
        <v>44</v>
      </c>
      <c r="E153" s="5">
        <v>28.0</v>
      </c>
      <c r="F153" s="5">
        <v>32.0</v>
      </c>
      <c r="G153" s="5">
        <v>0.0</v>
      </c>
      <c r="H153" s="5">
        <v>0.0</v>
      </c>
    </row>
    <row r="154" ht="15.75" customHeight="1">
      <c r="A154" s="22" t="str">
        <f t="shared" si="2"/>
        <v>lunes</v>
      </c>
      <c r="B154" s="24" t="str">
        <f t="shared" si="3"/>
        <v>marzo</v>
      </c>
      <c r="C154" s="37">
        <v>46097.0</v>
      </c>
      <c r="D154" s="5" t="s">
        <v>89</v>
      </c>
      <c r="E154" s="5">
        <v>149.0</v>
      </c>
      <c r="F154" s="5">
        <v>89.0</v>
      </c>
      <c r="G154" s="5">
        <v>0.0</v>
      </c>
      <c r="H154" s="5">
        <v>0.0</v>
      </c>
    </row>
    <row r="155" ht="15.75" customHeight="1">
      <c r="A155" s="22" t="str">
        <f t="shared" si="2"/>
        <v>lunes</v>
      </c>
      <c r="B155" s="24" t="str">
        <f t="shared" si="3"/>
        <v>marzo</v>
      </c>
      <c r="C155" s="37">
        <v>46097.0</v>
      </c>
      <c r="D155" s="5" t="s">
        <v>90</v>
      </c>
      <c r="E155" s="5">
        <v>0.0</v>
      </c>
      <c r="F155" s="5">
        <v>0.0</v>
      </c>
      <c r="G155" s="5">
        <v>0.0</v>
      </c>
      <c r="H155" s="5">
        <v>0.0</v>
      </c>
    </row>
    <row r="156" ht="15.75" customHeight="1">
      <c r="A156" s="22" t="str">
        <f t="shared" si="2"/>
        <v>lunes</v>
      </c>
      <c r="B156" s="24" t="str">
        <f t="shared" si="3"/>
        <v>marzo</v>
      </c>
      <c r="C156" s="37">
        <v>46097.0</v>
      </c>
      <c r="D156" s="28" t="s">
        <v>59</v>
      </c>
      <c r="E156" s="5">
        <v>34.0</v>
      </c>
      <c r="F156" s="5">
        <v>27.0</v>
      </c>
      <c r="G156" s="5">
        <v>2.0</v>
      </c>
      <c r="H156" s="5">
        <v>0.0</v>
      </c>
    </row>
    <row r="157" ht="15.75" customHeight="1">
      <c r="A157" s="22" t="str">
        <f t="shared" si="2"/>
        <v>lunes</v>
      </c>
      <c r="B157" s="24" t="str">
        <f t="shared" si="3"/>
        <v>marzo</v>
      </c>
      <c r="C157" s="37">
        <v>46097.0</v>
      </c>
      <c r="D157" s="28" t="s">
        <v>67</v>
      </c>
      <c r="E157" s="5">
        <v>88.0</v>
      </c>
      <c r="F157" s="5">
        <v>80.0</v>
      </c>
      <c r="G157" s="5">
        <v>3.0</v>
      </c>
      <c r="H157" s="5">
        <v>8.0</v>
      </c>
    </row>
    <row r="158" ht="15.75" customHeight="1">
      <c r="A158" s="22" t="str">
        <f t="shared" si="2"/>
        <v>lunes</v>
      </c>
      <c r="B158" s="24" t="str">
        <f t="shared" si="3"/>
        <v>marzo</v>
      </c>
      <c r="C158" s="37">
        <v>46097.0</v>
      </c>
      <c r="D158" s="5" t="s">
        <v>93</v>
      </c>
      <c r="E158" s="5">
        <v>131.0</v>
      </c>
      <c r="F158" s="5">
        <v>91.0</v>
      </c>
      <c r="G158" s="5">
        <v>0.0</v>
      </c>
      <c r="H158" s="5">
        <v>0.0</v>
      </c>
    </row>
    <row r="159" ht="15.75" customHeight="1">
      <c r="A159" s="22" t="str">
        <f t="shared" si="2"/>
        <v>lunes</v>
      </c>
      <c r="B159" s="24" t="str">
        <f t="shared" si="3"/>
        <v>marzo</v>
      </c>
      <c r="C159" s="37">
        <v>46097.0</v>
      </c>
      <c r="D159" s="28" t="s">
        <v>58</v>
      </c>
      <c r="E159" s="5">
        <v>48.0</v>
      </c>
      <c r="F159" s="5">
        <v>17.0</v>
      </c>
      <c r="G159" s="5">
        <v>8.0</v>
      </c>
      <c r="H159" s="5">
        <v>1.0</v>
      </c>
    </row>
    <row r="160" ht="15.75" customHeight="1">
      <c r="A160" s="22" t="str">
        <f t="shared" si="2"/>
        <v>lunes</v>
      </c>
      <c r="B160" s="24" t="str">
        <f t="shared" si="3"/>
        <v>marzo</v>
      </c>
      <c r="C160" s="37">
        <v>46097.0</v>
      </c>
      <c r="D160" s="28" t="s">
        <v>64</v>
      </c>
      <c r="E160" s="5">
        <v>128.0</v>
      </c>
      <c r="F160" s="5">
        <v>67.0</v>
      </c>
      <c r="G160" s="5">
        <v>8.0</v>
      </c>
      <c r="H160" s="5">
        <v>1.0</v>
      </c>
    </row>
    <row r="161" ht="15.75" customHeight="1">
      <c r="A161" s="22" t="str">
        <f t="shared" si="2"/>
        <v>lunes</v>
      </c>
      <c r="B161" s="24" t="str">
        <f t="shared" si="3"/>
        <v>marzo</v>
      </c>
      <c r="C161" s="37">
        <v>46097.0</v>
      </c>
      <c r="D161" s="28" t="s">
        <v>65</v>
      </c>
      <c r="E161" s="5">
        <v>107.0</v>
      </c>
      <c r="F161" s="5">
        <v>76.0</v>
      </c>
      <c r="G161" s="5">
        <v>2.0</v>
      </c>
      <c r="H161" s="5">
        <v>3.0</v>
      </c>
    </row>
    <row r="162" ht="15.75" customHeight="1">
      <c r="A162" s="22" t="str">
        <f t="shared" si="2"/>
        <v>lunes</v>
      </c>
      <c r="B162" s="24" t="str">
        <f t="shared" si="3"/>
        <v>marzo</v>
      </c>
      <c r="C162" s="37">
        <v>46097.0</v>
      </c>
      <c r="D162" s="28" t="s">
        <v>60</v>
      </c>
      <c r="E162" s="5">
        <v>144.0</v>
      </c>
      <c r="F162" s="5">
        <v>60.0</v>
      </c>
      <c r="G162" s="5">
        <v>6.0</v>
      </c>
      <c r="H162" s="5">
        <v>11.0</v>
      </c>
    </row>
    <row r="163" ht="15.75" customHeight="1">
      <c r="A163" s="22" t="str">
        <f t="shared" si="2"/>
        <v>lunes</v>
      </c>
      <c r="B163" s="24" t="str">
        <f t="shared" si="3"/>
        <v>marzo</v>
      </c>
      <c r="C163" s="37">
        <v>46097.0</v>
      </c>
      <c r="D163" s="28" t="s">
        <v>66</v>
      </c>
      <c r="E163" s="5">
        <v>121.0</v>
      </c>
      <c r="F163" s="5">
        <v>105.0</v>
      </c>
      <c r="G163" s="5">
        <v>1.0</v>
      </c>
      <c r="H163" s="5">
        <v>3.0</v>
      </c>
    </row>
    <row r="164" ht="15.75" customHeight="1">
      <c r="A164" s="22" t="str">
        <f t="shared" si="2"/>
        <v>martes</v>
      </c>
      <c r="B164" s="24" t="str">
        <f t="shared" si="3"/>
        <v>marzo</v>
      </c>
      <c r="C164" s="37">
        <v>46098.0</v>
      </c>
      <c r="D164" s="28" t="s">
        <v>39</v>
      </c>
      <c r="E164" s="5">
        <v>100.0</v>
      </c>
      <c r="F164" s="5">
        <v>61.0</v>
      </c>
      <c r="G164" s="5">
        <v>1.0</v>
      </c>
      <c r="H164" s="5">
        <v>14.0</v>
      </c>
    </row>
    <row r="165" ht="15.75" customHeight="1">
      <c r="A165" s="22" t="str">
        <f t="shared" si="2"/>
        <v>martes</v>
      </c>
      <c r="B165" s="24" t="str">
        <f t="shared" si="3"/>
        <v>marzo</v>
      </c>
      <c r="C165" s="37">
        <v>46098.0</v>
      </c>
      <c r="D165" s="28" t="s">
        <v>41</v>
      </c>
      <c r="E165" s="5">
        <v>111.0</v>
      </c>
      <c r="F165" s="5">
        <v>80.0</v>
      </c>
      <c r="G165" s="5">
        <v>1.0</v>
      </c>
      <c r="H165" s="5">
        <v>7.0</v>
      </c>
    </row>
    <row r="166" ht="15.75" customHeight="1">
      <c r="A166" s="22" t="str">
        <f t="shared" si="2"/>
        <v>martes</v>
      </c>
      <c r="B166" s="24" t="str">
        <f t="shared" si="3"/>
        <v>marzo</v>
      </c>
      <c r="C166" s="37">
        <v>46098.0</v>
      </c>
      <c r="D166" s="28" t="s">
        <v>42</v>
      </c>
      <c r="E166" s="5">
        <v>184.0</v>
      </c>
      <c r="F166" s="5">
        <v>124.0</v>
      </c>
      <c r="G166" s="5">
        <v>4.0</v>
      </c>
      <c r="H166" s="5">
        <v>37.0</v>
      </c>
    </row>
    <row r="167" ht="15.75" customHeight="1">
      <c r="A167" s="22" t="str">
        <f t="shared" si="2"/>
        <v>martes</v>
      </c>
      <c r="B167" s="24" t="str">
        <f t="shared" si="3"/>
        <v>marzo</v>
      </c>
      <c r="C167" s="37">
        <v>46098.0</v>
      </c>
      <c r="D167" s="5" t="s">
        <v>89</v>
      </c>
      <c r="E167" s="5">
        <v>125.0</v>
      </c>
      <c r="F167" s="5">
        <v>77.0</v>
      </c>
      <c r="G167" s="5">
        <v>0.0</v>
      </c>
      <c r="H167" s="5">
        <v>0.0</v>
      </c>
    </row>
    <row r="168" ht="15.75" customHeight="1">
      <c r="A168" s="22" t="str">
        <f t="shared" si="2"/>
        <v>martes</v>
      </c>
      <c r="B168" s="24" t="str">
        <f t="shared" si="3"/>
        <v>marzo</v>
      </c>
      <c r="C168" s="37">
        <v>46098.0</v>
      </c>
      <c r="D168" s="28" t="s">
        <v>59</v>
      </c>
      <c r="E168" s="5">
        <v>58.0</v>
      </c>
      <c r="F168" s="5">
        <v>49.0</v>
      </c>
      <c r="G168" s="5">
        <v>2.0</v>
      </c>
      <c r="H168" s="5">
        <v>0.0</v>
      </c>
    </row>
    <row r="169" ht="15.75" customHeight="1">
      <c r="A169" s="22" t="str">
        <f t="shared" si="2"/>
        <v>martes</v>
      </c>
      <c r="B169" s="24" t="str">
        <f t="shared" si="3"/>
        <v>marzo</v>
      </c>
      <c r="C169" s="37">
        <v>46098.0</v>
      </c>
      <c r="D169" s="28" t="s">
        <v>67</v>
      </c>
      <c r="E169" s="5">
        <v>84.0</v>
      </c>
      <c r="F169" s="5">
        <v>72.0</v>
      </c>
      <c r="G169" s="5">
        <v>8.0</v>
      </c>
      <c r="H169" s="5">
        <v>3.0</v>
      </c>
    </row>
    <row r="170" ht="15.75" customHeight="1">
      <c r="A170" s="22" t="str">
        <f t="shared" si="2"/>
        <v>martes</v>
      </c>
      <c r="B170" s="24" t="str">
        <f t="shared" si="3"/>
        <v>marzo</v>
      </c>
      <c r="C170" s="37">
        <v>46098.0</v>
      </c>
      <c r="D170" s="5" t="s">
        <v>93</v>
      </c>
      <c r="E170" s="5">
        <v>104.0</v>
      </c>
      <c r="F170" s="5">
        <v>66.0</v>
      </c>
      <c r="G170" s="5">
        <v>0.0</v>
      </c>
      <c r="H170" s="5">
        <v>0.0</v>
      </c>
    </row>
    <row r="171" ht="15.75" customHeight="1">
      <c r="A171" s="22" t="str">
        <f t="shared" si="2"/>
        <v>martes</v>
      </c>
      <c r="B171" s="24" t="str">
        <f t="shared" si="3"/>
        <v>marzo</v>
      </c>
      <c r="C171" s="37">
        <v>46098.0</v>
      </c>
      <c r="D171" s="28" t="s">
        <v>58</v>
      </c>
      <c r="E171" s="5">
        <v>101.0</v>
      </c>
      <c r="F171" s="5">
        <v>45.0</v>
      </c>
      <c r="G171" s="5">
        <v>5.0</v>
      </c>
      <c r="H171" s="5">
        <v>3.0</v>
      </c>
    </row>
    <row r="172" ht="15.75" customHeight="1">
      <c r="A172" s="22" t="str">
        <f t="shared" si="2"/>
        <v>martes</v>
      </c>
      <c r="B172" s="24" t="str">
        <f t="shared" si="3"/>
        <v>marzo</v>
      </c>
      <c r="C172" s="37">
        <v>46098.0</v>
      </c>
      <c r="D172" s="28" t="s">
        <v>64</v>
      </c>
      <c r="E172" s="5">
        <v>145.0</v>
      </c>
      <c r="F172" s="5">
        <v>90.0</v>
      </c>
      <c r="G172" s="5">
        <v>8.0</v>
      </c>
      <c r="H172" s="5">
        <v>4.0</v>
      </c>
    </row>
    <row r="173" ht="15.75" customHeight="1">
      <c r="A173" s="22" t="str">
        <f t="shared" si="2"/>
        <v>martes</v>
      </c>
      <c r="B173" s="24" t="str">
        <f t="shared" si="3"/>
        <v>marzo</v>
      </c>
      <c r="C173" s="37">
        <v>46098.0</v>
      </c>
      <c r="D173" s="28" t="s">
        <v>65</v>
      </c>
      <c r="E173" s="5">
        <v>93.0</v>
      </c>
      <c r="F173" s="5">
        <v>64.0</v>
      </c>
      <c r="G173" s="5">
        <v>7.0</v>
      </c>
      <c r="H173" s="5">
        <v>4.0</v>
      </c>
    </row>
    <row r="174" ht="15.75" customHeight="1">
      <c r="A174" s="22" t="str">
        <f t="shared" si="2"/>
        <v>martes</v>
      </c>
      <c r="B174" s="24" t="str">
        <f t="shared" si="3"/>
        <v>marzo</v>
      </c>
      <c r="C174" s="37">
        <v>46098.0</v>
      </c>
      <c r="D174" s="28" t="s">
        <v>66</v>
      </c>
      <c r="E174" s="5">
        <v>139.0</v>
      </c>
      <c r="F174" s="5">
        <v>121.0</v>
      </c>
      <c r="G174" s="5">
        <v>2.0</v>
      </c>
      <c r="H174" s="5">
        <v>0.0</v>
      </c>
    </row>
    <row r="175" ht="15.75" customHeight="1">
      <c r="A175" s="22" t="str">
        <f t="shared" si="2"/>
        <v>miércoles</v>
      </c>
      <c r="B175" s="24" t="str">
        <f t="shared" si="3"/>
        <v>marzo</v>
      </c>
      <c r="C175" s="37">
        <v>46099.0</v>
      </c>
      <c r="D175" s="28" t="s">
        <v>39</v>
      </c>
      <c r="E175" s="5">
        <v>84.0</v>
      </c>
      <c r="F175" s="5">
        <v>43.0</v>
      </c>
      <c r="G175" s="5">
        <v>1.0</v>
      </c>
      <c r="H175" s="5">
        <v>9.0</v>
      </c>
    </row>
    <row r="176" ht="15.75" customHeight="1">
      <c r="A176" s="22" t="str">
        <f t="shared" si="2"/>
        <v>miércoles</v>
      </c>
      <c r="B176" s="24" t="str">
        <f t="shared" si="3"/>
        <v>marzo</v>
      </c>
      <c r="C176" s="37">
        <v>46099.0</v>
      </c>
      <c r="D176" s="5" t="s">
        <v>107</v>
      </c>
      <c r="E176" s="5">
        <v>0.0</v>
      </c>
      <c r="F176" s="5">
        <v>0.0</v>
      </c>
      <c r="G176" s="5">
        <v>0.0</v>
      </c>
      <c r="H176" s="5">
        <v>0.0</v>
      </c>
    </row>
    <row r="177" ht="15.75" customHeight="1">
      <c r="A177" s="22" t="str">
        <f t="shared" si="2"/>
        <v>miércoles</v>
      </c>
      <c r="B177" s="24" t="str">
        <f t="shared" si="3"/>
        <v>marzo</v>
      </c>
      <c r="C177" s="37">
        <v>46099.0</v>
      </c>
      <c r="D177" s="28" t="s">
        <v>41</v>
      </c>
      <c r="E177" s="5">
        <v>94.0</v>
      </c>
      <c r="F177" s="5">
        <v>68.0</v>
      </c>
      <c r="G177" s="5">
        <v>2.0</v>
      </c>
      <c r="H177" s="5">
        <v>16.0</v>
      </c>
    </row>
    <row r="178" ht="15.75" customHeight="1">
      <c r="A178" s="22" t="str">
        <f t="shared" si="2"/>
        <v>miércoles</v>
      </c>
      <c r="B178" s="24" t="str">
        <f t="shared" si="3"/>
        <v>marzo</v>
      </c>
      <c r="C178" s="37">
        <v>46099.0</v>
      </c>
      <c r="D178" s="28" t="s">
        <v>42</v>
      </c>
      <c r="E178" s="5">
        <v>130.0</v>
      </c>
      <c r="F178" s="5">
        <v>83.0</v>
      </c>
      <c r="G178" s="5">
        <v>2.0</v>
      </c>
      <c r="H178" s="5">
        <v>30.0</v>
      </c>
    </row>
    <row r="179" ht="15.75" customHeight="1">
      <c r="A179" s="22" t="str">
        <f t="shared" si="2"/>
        <v>miércoles</v>
      </c>
      <c r="B179" s="24" t="str">
        <f t="shared" si="3"/>
        <v>marzo</v>
      </c>
      <c r="C179" s="37">
        <v>46099.0</v>
      </c>
      <c r="D179" s="5" t="s">
        <v>108</v>
      </c>
      <c r="E179" s="5">
        <v>0.0</v>
      </c>
      <c r="F179" s="5">
        <v>0.0</v>
      </c>
      <c r="G179" s="5">
        <v>0.0</v>
      </c>
      <c r="H179" s="5">
        <v>0.0</v>
      </c>
    </row>
    <row r="180" ht="15.75" customHeight="1">
      <c r="A180" s="22" t="str">
        <f t="shared" si="2"/>
        <v>miércoles</v>
      </c>
      <c r="B180" s="24" t="str">
        <f t="shared" si="3"/>
        <v>marzo</v>
      </c>
      <c r="C180" s="37">
        <v>46099.0</v>
      </c>
      <c r="D180" s="28" t="s">
        <v>51</v>
      </c>
      <c r="E180" s="5">
        <v>71.0</v>
      </c>
      <c r="F180" s="5">
        <v>39.0</v>
      </c>
      <c r="G180" s="5">
        <v>2.0</v>
      </c>
      <c r="H180" s="5">
        <v>24.0</v>
      </c>
    </row>
    <row r="181" ht="15.75" customHeight="1">
      <c r="A181" s="22" t="str">
        <f t="shared" si="2"/>
        <v>miércoles</v>
      </c>
      <c r="B181" s="24" t="str">
        <f t="shared" si="3"/>
        <v>marzo</v>
      </c>
      <c r="C181" s="37">
        <v>46099.0</v>
      </c>
      <c r="D181" s="5" t="s">
        <v>89</v>
      </c>
      <c r="E181" s="5">
        <v>98.0</v>
      </c>
      <c r="F181" s="5">
        <v>52.0</v>
      </c>
      <c r="G181" s="5">
        <v>0.0</v>
      </c>
      <c r="H181" s="5">
        <v>0.0</v>
      </c>
    </row>
    <row r="182" ht="15.75" customHeight="1">
      <c r="A182" s="22" t="str">
        <f t="shared" si="2"/>
        <v>miércoles</v>
      </c>
      <c r="B182" s="24" t="str">
        <f t="shared" si="3"/>
        <v>marzo</v>
      </c>
      <c r="C182" s="37">
        <v>46099.0</v>
      </c>
      <c r="D182" s="28" t="s">
        <v>67</v>
      </c>
      <c r="E182" s="5">
        <v>90.0</v>
      </c>
      <c r="F182" s="5">
        <v>76.0</v>
      </c>
      <c r="G182" s="5">
        <v>4.0</v>
      </c>
      <c r="H182" s="5">
        <v>4.0</v>
      </c>
    </row>
    <row r="183" ht="15.75" customHeight="1">
      <c r="A183" s="22" t="str">
        <f t="shared" si="2"/>
        <v>miércoles</v>
      </c>
      <c r="B183" s="24" t="str">
        <f t="shared" si="3"/>
        <v>marzo</v>
      </c>
      <c r="C183" s="37">
        <v>46099.0</v>
      </c>
      <c r="D183" s="5" t="s">
        <v>93</v>
      </c>
      <c r="E183" s="5">
        <v>65.0</v>
      </c>
      <c r="F183" s="5">
        <v>46.0</v>
      </c>
      <c r="G183" s="5">
        <v>0.0</v>
      </c>
      <c r="H183" s="5">
        <v>0.0</v>
      </c>
    </row>
    <row r="184" ht="15.75" customHeight="1">
      <c r="A184" s="22" t="str">
        <f t="shared" si="2"/>
        <v>miércoles</v>
      </c>
      <c r="B184" s="24" t="str">
        <f t="shared" si="3"/>
        <v>marzo</v>
      </c>
      <c r="C184" s="37">
        <v>46099.0</v>
      </c>
      <c r="D184" s="28" t="s">
        <v>58</v>
      </c>
      <c r="E184" s="5">
        <v>75.0</v>
      </c>
      <c r="F184" s="5">
        <v>38.0</v>
      </c>
      <c r="G184" s="5">
        <v>8.0</v>
      </c>
      <c r="H184" s="5">
        <v>3.0</v>
      </c>
    </row>
    <row r="185" ht="15.75" customHeight="1">
      <c r="A185" s="22" t="str">
        <f t="shared" si="2"/>
        <v>miércoles</v>
      </c>
      <c r="B185" s="24" t="str">
        <f t="shared" si="3"/>
        <v>marzo</v>
      </c>
      <c r="C185" s="37">
        <v>46099.0</v>
      </c>
      <c r="D185" s="28" t="s">
        <v>65</v>
      </c>
      <c r="E185" s="5">
        <v>115.0</v>
      </c>
      <c r="F185" s="5">
        <v>92.0</v>
      </c>
      <c r="G185" s="5">
        <v>3.0</v>
      </c>
      <c r="H185" s="5">
        <v>8.0</v>
      </c>
    </row>
    <row r="186" ht="15.75" customHeight="1">
      <c r="A186" s="22" t="str">
        <f t="shared" si="2"/>
        <v>miércoles</v>
      </c>
      <c r="B186" s="24" t="str">
        <f t="shared" si="3"/>
        <v>marzo</v>
      </c>
      <c r="C186" s="37">
        <v>46099.0</v>
      </c>
      <c r="D186" s="28" t="s">
        <v>66</v>
      </c>
      <c r="E186" s="5">
        <v>147.0</v>
      </c>
      <c r="F186" s="5">
        <v>134.0</v>
      </c>
      <c r="G186" s="5">
        <v>1.0</v>
      </c>
      <c r="H186" s="5">
        <v>4.0</v>
      </c>
    </row>
    <row r="187" ht="15.75" customHeight="1">
      <c r="A187" s="22" t="str">
        <f t="shared" si="2"/>
        <v>jueves</v>
      </c>
      <c r="B187" s="24" t="str">
        <f t="shared" si="3"/>
        <v>marzo</v>
      </c>
      <c r="C187" s="37">
        <v>46100.0</v>
      </c>
      <c r="D187" s="5" t="s">
        <v>107</v>
      </c>
      <c r="E187" s="5">
        <v>91.0</v>
      </c>
      <c r="F187" s="5">
        <v>60.0</v>
      </c>
      <c r="G187" s="5">
        <v>0.0</v>
      </c>
      <c r="H187" s="5">
        <v>0.0</v>
      </c>
    </row>
    <row r="188" ht="15.75" customHeight="1">
      <c r="A188" s="22" t="str">
        <f t="shared" si="2"/>
        <v>jueves</v>
      </c>
      <c r="B188" s="24" t="str">
        <f t="shared" si="3"/>
        <v>marzo</v>
      </c>
      <c r="C188" s="37">
        <v>46100.0</v>
      </c>
      <c r="D188" s="28" t="s">
        <v>40</v>
      </c>
      <c r="E188" s="5">
        <v>74.0</v>
      </c>
      <c r="F188" s="5">
        <v>31.0</v>
      </c>
      <c r="G188" s="5">
        <v>2.0</v>
      </c>
      <c r="H188" s="5">
        <v>9.0</v>
      </c>
    </row>
    <row r="189" ht="15.75" customHeight="1">
      <c r="A189" s="22" t="str">
        <f t="shared" si="2"/>
        <v>jueves</v>
      </c>
      <c r="B189" s="24" t="str">
        <f t="shared" si="3"/>
        <v>marzo</v>
      </c>
      <c r="C189" s="37">
        <v>46100.0</v>
      </c>
      <c r="D189" s="28" t="s">
        <v>41</v>
      </c>
      <c r="E189" s="5">
        <v>82.0</v>
      </c>
      <c r="F189" s="5">
        <v>66.0</v>
      </c>
      <c r="G189" s="5">
        <v>1.0</v>
      </c>
      <c r="H189" s="5">
        <v>10.0</v>
      </c>
    </row>
    <row r="190" ht="15.75" customHeight="1">
      <c r="A190" s="22" t="str">
        <f t="shared" si="2"/>
        <v>jueves</v>
      </c>
      <c r="B190" s="24" t="str">
        <f t="shared" si="3"/>
        <v>marzo</v>
      </c>
      <c r="C190" s="37">
        <v>46100.0</v>
      </c>
      <c r="D190" s="28" t="s">
        <v>42</v>
      </c>
      <c r="E190" s="5">
        <v>60.0</v>
      </c>
      <c r="F190" s="5">
        <v>33.0</v>
      </c>
      <c r="G190" s="5">
        <v>4.0</v>
      </c>
      <c r="H190" s="5">
        <v>14.0</v>
      </c>
    </row>
    <row r="191" ht="15.75" customHeight="1">
      <c r="A191" s="22" t="str">
        <f t="shared" si="2"/>
        <v>jueves</v>
      </c>
      <c r="B191" s="24" t="str">
        <f t="shared" si="3"/>
        <v>marzo</v>
      </c>
      <c r="C191" s="37">
        <v>46100.0</v>
      </c>
      <c r="D191" s="5" t="s">
        <v>117</v>
      </c>
      <c r="E191" s="5">
        <v>72.0</v>
      </c>
      <c r="F191" s="5">
        <v>42.0</v>
      </c>
      <c r="G191" s="5">
        <v>0.0</v>
      </c>
      <c r="H191" s="5">
        <v>0.0</v>
      </c>
    </row>
    <row r="192" ht="15.75" customHeight="1">
      <c r="A192" s="22" t="str">
        <f t="shared" si="2"/>
        <v>jueves</v>
      </c>
      <c r="B192" s="24" t="str">
        <f t="shared" si="3"/>
        <v>marzo</v>
      </c>
      <c r="C192" s="37">
        <v>46100.0</v>
      </c>
      <c r="D192" s="28" t="s">
        <v>51</v>
      </c>
      <c r="E192" s="5">
        <v>31.0</v>
      </c>
      <c r="F192" s="5">
        <v>22.0</v>
      </c>
      <c r="G192" s="5">
        <v>1.0</v>
      </c>
      <c r="H192" s="5">
        <v>13.0</v>
      </c>
    </row>
    <row r="193" ht="15.75" customHeight="1">
      <c r="A193" s="22" t="str">
        <f t="shared" si="2"/>
        <v>jueves</v>
      </c>
      <c r="B193" s="24" t="str">
        <f t="shared" si="3"/>
        <v>marzo</v>
      </c>
      <c r="C193" s="37">
        <v>46100.0</v>
      </c>
      <c r="D193" s="5" t="s">
        <v>89</v>
      </c>
      <c r="E193" s="5">
        <v>48.0</v>
      </c>
      <c r="F193" s="5">
        <v>25.0</v>
      </c>
      <c r="G193" s="5">
        <v>0.0</v>
      </c>
      <c r="H193" s="5">
        <v>0.0</v>
      </c>
    </row>
    <row r="194" ht="15.75" customHeight="1">
      <c r="A194" s="22" t="str">
        <f t="shared" si="2"/>
        <v>jueves</v>
      </c>
      <c r="B194" s="24" t="str">
        <f t="shared" si="3"/>
        <v>marzo</v>
      </c>
      <c r="C194" s="37">
        <v>46100.0</v>
      </c>
      <c r="D194" s="28" t="s">
        <v>67</v>
      </c>
      <c r="E194" s="5">
        <v>81.0</v>
      </c>
      <c r="F194" s="5">
        <v>78.0</v>
      </c>
      <c r="G194" s="5">
        <v>1.0</v>
      </c>
      <c r="H194" s="5">
        <v>0.0</v>
      </c>
    </row>
    <row r="195" ht="15.75" customHeight="1">
      <c r="A195" s="22" t="str">
        <f t="shared" si="2"/>
        <v>jueves</v>
      </c>
      <c r="B195" s="24" t="str">
        <f t="shared" si="3"/>
        <v>marzo</v>
      </c>
      <c r="C195" s="37">
        <v>46100.0</v>
      </c>
      <c r="D195" s="28" t="s">
        <v>58</v>
      </c>
      <c r="E195" s="5">
        <v>75.0</v>
      </c>
      <c r="F195" s="5">
        <v>39.0</v>
      </c>
      <c r="G195" s="5">
        <v>6.0</v>
      </c>
      <c r="H195" s="5">
        <v>0.0</v>
      </c>
    </row>
    <row r="196" ht="15.75" customHeight="1">
      <c r="A196" s="22" t="str">
        <f t="shared" si="2"/>
        <v>jueves</v>
      </c>
      <c r="B196" s="24" t="str">
        <f t="shared" si="3"/>
        <v>marzo</v>
      </c>
      <c r="C196" s="37">
        <v>46100.0</v>
      </c>
      <c r="D196" s="28" t="s">
        <v>52</v>
      </c>
      <c r="E196" s="5">
        <v>25.0</v>
      </c>
      <c r="F196" s="5">
        <v>21.0</v>
      </c>
      <c r="G196" s="5">
        <v>4.0</v>
      </c>
      <c r="H196" s="5">
        <v>1.0</v>
      </c>
    </row>
    <row r="197" ht="15.75" customHeight="1">
      <c r="A197" s="22" t="str">
        <f t="shared" si="2"/>
        <v>jueves</v>
      </c>
      <c r="B197" s="24" t="str">
        <f t="shared" si="3"/>
        <v>marzo</v>
      </c>
      <c r="C197" s="37">
        <v>46100.0</v>
      </c>
      <c r="D197" s="28" t="s">
        <v>53</v>
      </c>
      <c r="E197" s="5">
        <v>49.0</v>
      </c>
      <c r="F197" s="5">
        <v>30.0</v>
      </c>
      <c r="G197" s="5">
        <v>3.0</v>
      </c>
      <c r="H197" s="5">
        <v>5.0</v>
      </c>
    </row>
    <row r="198" ht="15.75" customHeight="1">
      <c r="A198" s="22" t="str">
        <f t="shared" si="2"/>
        <v>jueves</v>
      </c>
      <c r="B198" s="24" t="str">
        <f t="shared" si="3"/>
        <v>marzo</v>
      </c>
      <c r="C198" s="37">
        <v>46100.0</v>
      </c>
      <c r="D198" s="28" t="s">
        <v>64</v>
      </c>
      <c r="E198" s="5">
        <v>167.0</v>
      </c>
      <c r="F198" s="5">
        <v>99.0</v>
      </c>
      <c r="G198" s="5">
        <v>4.0</v>
      </c>
      <c r="H198" s="5">
        <v>13.0</v>
      </c>
    </row>
    <row r="199" ht="15.75" customHeight="1">
      <c r="A199" s="22" t="str">
        <f t="shared" si="2"/>
        <v>jueves</v>
      </c>
      <c r="B199" s="24" t="str">
        <f t="shared" si="3"/>
        <v>marzo</v>
      </c>
      <c r="C199" s="37">
        <v>46100.0</v>
      </c>
      <c r="D199" s="28" t="s">
        <v>65</v>
      </c>
      <c r="E199" s="5">
        <v>62.0</v>
      </c>
      <c r="F199" s="5">
        <v>47.0</v>
      </c>
      <c r="G199" s="5">
        <v>3.0</v>
      </c>
      <c r="H199" s="5">
        <v>5.0</v>
      </c>
    </row>
    <row r="200" ht="15.75" customHeight="1">
      <c r="A200" s="22" t="str">
        <f t="shared" si="2"/>
        <v>jueves</v>
      </c>
      <c r="B200" s="24" t="str">
        <f t="shared" si="3"/>
        <v>marzo</v>
      </c>
      <c r="C200" s="37">
        <v>46100.0</v>
      </c>
      <c r="D200" s="28" t="s">
        <v>66</v>
      </c>
      <c r="E200" s="5">
        <v>111.0</v>
      </c>
      <c r="F200" s="5">
        <v>86.0</v>
      </c>
      <c r="G200" s="5">
        <v>0.0</v>
      </c>
      <c r="H200" s="5">
        <v>1.0</v>
      </c>
    </row>
    <row r="201" ht="15.75" customHeight="1">
      <c r="A201" s="22" t="str">
        <f t="shared" si="2"/>
        <v>viernes</v>
      </c>
      <c r="B201" s="24" t="str">
        <f t="shared" si="3"/>
        <v>marzo</v>
      </c>
      <c r="C201" s="37">
        <v>46101.0</v>
      </c>
      <c r="D201" s="5" t="s">
        <v>68</v>
      </c>
      <c r="E201" s="5">
        <v>86.0</v>
      </c>
      <c r="F201" s="5">
        <v>67.0</v>
      </c>
      <c r="G201" s="5">
        <v>1.0</v>
      </c>
      <c r="H201" s="5">
        <v>6.0</v>
      </c>
    </row>
    <row r="202" ht="15.75" customHeight="1">
      <c r="A202" s="22" t="str">
        <f t="shared" si="2"/>
        <v>viernes</v>
      </c>
      <c r="B202" s="24" t="str">
        <f t="shared" si="3"/>
        <v>marzo</v>
      </c>
      <c r="C202" s="37">
        <v>46101.0</v>
      </c>
      <c r="D202" s="28" t="s">
        <v>51</v>
      </c>
      <c r="E202" s="5">
        <v>82.0</v>
      </c>
      <c r="F202" s="5">
        <v>65.0</v>
      </c>
      <c r="G202" s="5">
        <v>1.0</v>
      </c>
      <c r="H202" s="5">
        <v>12.0</v>
      </c>
    </row>
    <row r="203" ht="15.75" customHeight="1">
      <c r="A203" s="22" t="str">
        <f t="shared" si="2"/>
        <v>viernes</v>
      </c>
      <c r="B203" s="24" t="str">
        <f t="shared" si="3"/>
        <v>marzo</v>
      </c>
      <c r="C203" s="37">
        <v>46101.0</v>
      </c>
      <c r="D203" s="28" t="s">
        <v>58</v>
      </c>
      <c r="E203" s="5">
        <v>56.0</v>
      </c>
      <c r="F203" s="5">
        <v>37.0</v>
      </c>
      <c r="G203" s="5">
        <v>3.0</v>
      </c>
      <c r="H203" s="5">
        <v>0.0</v>
      </c>
    </row>
    <row r="204" ht="15.75" customHeight="1">
      <c r="A204" s="22" t="str">
        <f t="shared" si="2"/>
        <v>viernes</v>
      </c>
      <c r="B204" s="24" t="str">
        <f t="shared" si="3"/>
        <v>marzo</v>
      </c>
      <c r="C204" s="37">
        <v>46101.0</v>
      </c>
      <c r="D204" s="28" t="s">
        <v>52</v>
      </c>
      <c r="E204" s="5">
        <v>50.0</v>
      </c>
      <c r="F204" s="5">
        <v>36.0</v>
      </c>
      <c r="G204" s="5">
        <v>3.0</v>
      </c>
      <c r="H204" s="5">
        <v>5.0</v>
      </c>
    </row>
    <row r="205" ht="15.75" customHeight="1">
      <c r="A205" s="22" t="str">
        <f t="shared" si="2"/>
        <v>viernes</v>
      </c>
      <c r="B205" s="24" t="str">
        <f t="shared" si="3"/>
        <v>marzo</v>
      </c>
      <c r="C205" s="37">
        <v>46101.0</v>
      </c>
      <c r="D205" s="28" t="s">
        <v>53</v>
      </c>
      <c r="E205" s="5">
        <v>93.0</v>
      </c>
      <c r="F205" s="5">
        <v>58.0</v>
      </c>
      <c r="G205" s="5">
        <v>3.0</v>
      </c>
      <c r="H205" s="5">
        <v>3.0</v>
      </c>
    </row>
    <row r="206" ht="15.75" customHeight="1">
      <c r="A206" s="22" t="str">
        <f t="shared" si="2"/>
        <v>viernes</v>
      </c>
      <c r="B206" s="24" t="str">
        <f t="shared" si="3"/>
        <v>marzo</v>
      </c>
      <c r="C206" s="37">
        <v>46101.0</v>
      </c>
      <c r="D206" s="28" t="s">
        <v>64</v>
      </c>
      <c r="E206" s="5">
        <v>113.0</v>
      </c>
      <c r="F206" s="5">
        <v>69.0</v>
      </c>
      <c r="G206" s="5">
        <v>4.0</v>
      </c>
      <c r="H206" s="5">
        <v>25.0</v>
      </c>
    </row>
    <row r="207" ht="15.75" customHeight="1">
      <c r="A207" s="22" t="str">
        <f t="shared" si="2"/>
        <v>viernes</v>
      </c>
      <c r="B207" s="24" t="str">
        <f t="shared" si="3"/>
        <v>marzo</v>
      </c>
      <c r="C207" s="37">
        <v>46101.0</v>
      </c>
      <c r="D207" s="28" t="s">
        <v>65</v>
      </c>
      <c r="E207" s="5">
        <v>83.0</v>
      </c>
      <c r="F207" s="5">
        <v>69.0</v>
      </c>
      <c r="G207" s="5">
        <v>1.0</v>
      </c>
      <c r="H207" s="5">
        <v>3.0</v>
      </c>
    </row>
    <row r="208" ht="15.75" customHeight="1">
      <c r="A208" s="22" t="str">
        <f t="shared" si="2"/>
        <v>viernes</v>
      </c>
      <c r="B208" s="24" t="str">
        <f t="shared" si="3"/>
        <v>marzo</v>
      </c>
      <c r="C208" s="37">
        <v>46101.0</v>
      </c>
      <c r="D208" s="28" t="s">
        <v>66</v>
      </c>
      <c r="E208" s="5">
        <v>114.0</v>
      </c>
      <c r="F208" s="5">
        <v>82.0</v>
      </c>
      <c r="G208" s="5">
        <v>0.0</v>
      </c>
      <c r="H208" s="5">
        <v>4.0</v>
      </c>
    </row>
    <row r="209" ht="15.75" customHeight="1">
      <c r="A209" s="22" t="str">
        <f t="shared" si="2"/>
        <v>sábado</v>
      </c>
      <c r="B209" s="24" t="str">
        <f t="shared" si="3"/>
        <v>marzo</v>
      </c>
      <c r="C209" s="37">
        <v>46102.0</v>
      </c>
      <c r="D209" s="5" t="s">
        <v>43</v>
      </c>
      <c r="E209" s="5">
        <v>80.0</v>
      </c>
      <c r="F209" s="5">
        <v>47.0</v>
      </c>
      <c r="G209" s="5">
        <v>7.0</v>
      </c>
      <c r="H209" s="5">
        <v>7.0</v>
      </c>
    </row>
    <row r="210" ht="15.75" customHeight="1">
      <c r="A210" s="22" t="str">
        <f t="shared" si="2"/>
        <v>sábado</v>
      </c>
      <c r="B210" s="24" t="str">
        <f t="shared" si="3"/>
        <v>marzo</v>
      </c>
      <c r="C210" s="37">
        <v>46102.0</v>
      </c>
      <c r="D210" s="28" t="s">
        <v>51</v>
      </c>
      <c r="E210" s="5">
        <v>92.0</v>
      </c>
      <c r="F210" s="5">
        <v>81.0</v>
      </c>
      <c r="G210" s="5">
        <v>3.0</v>
      </c>
      <c r="H210" s="5">
        <v>6.0</v>
      </c>
    </row>
    <row r="211" ht="15.75" customHeight="1">
      <c r="A211" s="22" t="str">
        <f t="shared" si="2"/>
        <v>sábado</v>
      </c>
      <c r="B211" s="24" t="str">
        <f t="shared" si="3"/>
        <v>marzo</v>
      </c>
      <c r="C211" s="37">
        <v>46102.0</v>
      </c>
      <c r="D211" s="28" t="s">
        <v>52</v>
      </c>
      <c r="E211" s="5">
        <v>78.0</v>
      </c>
      <c r="F211" s="5">
        <v>45.0</v>
      </c>
      <c r="G211" s="5">
        <v>5.0</v>
      </c>
      <c r="H211" s="5">
        <v>9.0</v>
      </c>
    </row>
    <row r="212" ht="15.75" customHeight="1">
      <c r="A212" s="22" t="str">
        <f t="shared" si="2"/>
        <v>sábado</v>
      </c>
      <c r="B212" s="24" t="str">
        <f t="shared" si="3"/>
        <v>marzo</v>
      </c>
      <c r="C212" s="37">
        <v>46102.0</v>
      </c>
      <c r="D212" s="28" t="s">
        <v>53</v>
      </c>
      <c r="E212" s="5">
        <v>119.0</v>
      </c>
      <c r="F212" s="5">
        <v>53.0</v>
      </c>
      <c r="G212" s="5">
        <v>4.0</v>
      </c>
      <c r="H212" s="5">
        <v>2.0</v>
      </c>
    </row>
    <row r="213" ht="15.75" customHeight="1">
      <c r="A213" s="22" t="str">
        <f t="shared" si="2"/>
        <v>sábado</v>
      </c>
      <c r="B213" s="24" t="str">
        <f t="shared" si="3"/>
        <v>marzo</v>
      </c>
      <c r="C213" s="37">
        <v>46102.0</v>
      </c>
      <c r="D213" s="28" t="s">
        <v>60</v>
      </c>
      <c r="E213" s="5">
        <v>140.0</v>
      </c>
      <c r="F213" s="5">
        <v>70.0</v>
      </c>
      <c r="G213" s="5">
        <v>3.0</v>
      </c>
      <c r="H213" s="5">
        <v>6.0</v>
      </c>
    </row>
    <row r="214" ht="15.75" customHeight="1">
      <c r="A214" s="22" t="str">
        <f t="shared" si="2"/>
        <v>domingo</v>
      </c>
      <c r="B214" s="24" t="str">
        <f t="shared" si="3"/>
        <v>marzo</v>
      </c>
      <c r="C214" s="37">
        <v>46103.0</v>
      </c>
      <c r="D214" s="28" t="s">
        <v>39</v>
      </c>
      <c r="E214" s="5">
        <v>153.0</v>
      </c>
      <c r="F214" s="5">
        <v>64.0</v>
      </c>
      <c r="G214" s="5">
        <v>5.0</v>
      </c>
      <c r="H214" s="5">
        <v>19.0</v>
      </c>
    </row>
    <row r="215" ht="15.75" customHeight="1">
      <c r="A215" s="22" t="str">
        <f t="shared" si="2"/>
        <v>domingo</v>
      </c>
      <c r="B215" s="24" t="str">
        <f t="shared" si="3"/>
        <v>marzo</v>
      </c>
      <c r="C215" s="37">
        <v>46103.0</v>
      </c>
      <c r="D215" s="28" t="s">
        <v>40</v>
      </c>
      <c r="E215" s="5">
        <v>78.0</v>
      </c>
      <c r="F215" s="5">
        <v>44.0</v>
      </c>
      <c r="G215" s="5">
        <v>8.0</v>
      </c>
      <c r="H215" s="5">
        <v>12.0</v>
      </c>
    </row>
    <row r="216" ht="15.75" customHeight="1">
      <c r="A216" s="22" t="str">
        <f t="shared" si="2"/>
        <v>domingo</v>
      </c>
      <c r="B216" s="24" t="str">
        <f t="shared" si="3"/>
        <v>marzo</v>
      </c>
      <c r="C216" s="37">
        <v>46103.0</v>
      </c>
      <c r="D216" s="5" t="s">
        <v>43</v>
      </c>
      <c r="E216" s="5">
        <v>98.0</v>
      </c>
      <c r="F216" s="5">
        <v>51.0</v>
      </c>
      <c r="G216" s="5">
        <v>3.0</v>
      </c>
      <c r="H216" s="5">
        <v>8.0</v>
      </c>
    </row>
    <row r="217" ht="15.75" customHeight="1">
      <c r="A217" s="22" t="str">
        <f t="shared" si="2"/>
        <v>domingo</v>
      </c>
      <c r="B217" s="24" t="str">
        <f t="shared" si="3"/>
        <v>marzo</v>
      </c>
      <c r="C217" s="37">
        <v>46103.0</v>
      </c>
      <c r="D217" s="28" t="s">
        <v>53</v>
      </c>
      <c r="E217" s="5">
        <v>127.0</v>
      </c>
      <c r="F217" s="5">
        <v>48.0</v>
      </c>
      <c r="G217" s="5">
        <v>5.0</v>
      </c>
      <c r="H217" s="5">
        <v>10.0</v>
      </c>
    </row>
    <row r="218" ht="15.75" customHeight="1">
      <c r="A218" s="22" t="str">
        <f t="shared" si="2"/>
        <v>domingo</v>
      </c>
      <c r="B218" s="24" t="str">
        <f t="shared" si="3"/>
        <v>marzo</v>
      </c>
      <c r="C218" s="37">
        <v>46103.0</v>
      </c>
      <c r="D218" s="28" t="s">
        <v>52</v>
      </c>
      <c r="E218" s="5">
        <v>54.0</v>
      </c>
      <c r="F218" s="5">
        <v>26.0</v>
      </c>
      <c r="G218" s="5">
        <v>5.0</v>
      </c>
      <c r="H218" s="5">
        <v>6.0</v>
      </c>
    </row>
    <row r="219" ht="15.75" customHeight="1">
      <c r="A219" s="22" t="str">
        <f t="shared" si="2"/>
        <v>domingo</v>
      </c>
      <c r="B219" s="24" t="str">
        <f t="shared" si="3"/>
        <v>marzo</v>
      </c>
      <c r="C219" s="37">
        <v>46103.0</v>
      </c>
      <c r="D219" s="28" t="s">
        <v>60</v>
      </c>
      <c r="E219" s="5">
        <v>161.0</v>
      </c>
      <c r="F219" s="5">
        <v>110.0</v>
      </c>
      <c r="G219" s="5">
        <v>3.0</v>
      </c>
      <c r="H219" s="5">
        <v>0.0</v>
      </c>
    </row>
    <row r="220" ht="15.75" customHeight="1">
      <c r="A220" s="22" t="str">
        <f t="shared" si="2"/>
        <v>lunes</v>
      </c>
      <c r="B220" s="24" t="str">
        <f t="shared" si="3"/>
        <v>marzo</v>
      </c>
      <c r="C220" s="37">
        <v>46104.0</v>
      </c>
      <c r="D220" s="28" t="s">
        <v>39</v>
      </c>
      <c r="E220" s="5">
        <v>56.0</v>
      </c>
      <c r="F220" s="5">
        <v>28.0</v>
      </c>
      <c r="G220" s="5">
        <v>1.0</v>
      </c>
      <c r="H220" s="5">
        <v>6.0</v>
      </c>
    </row>
    <row r="221" ht="15.75" customHeight="1">
      <c r="A221" s="22" t="str">
        <f t="shared" si="2"/>
        <v>lunes</v>
      </c>
      <c r="B221" s="24" t="str">
        <f t="shared" si="3"/>
        <v>marzo</v>
      </c>
      <c r="C221" s="37">
        <v>46104.0</v>
      </c>
      <c r="D221" s="28" t="s">
        <v>41</v>
      </c>
      <c r="E221" s="5">
        <v>85.0</v>
      </c>
      <c r="F221" s="5">
        <v>49.0</v>
      </c>
      <c r="G221" s="5">
        <v>2.0</v>
      </c>
      <c r="H221" s="5">
        <v>7.0</v>
      </c>
    </row>
    <row r="222" ht="15.75" customHeight="1">
      <c r="A222" s="22" t="str">
        <f t="shared" si="2"/>
        <v>lunes</v>
      </c>
      <c r="B222" s="24" t="str">
        <f t="shared" si="3"/>
        <v>marzo</v>
      </c>
      <c r="C222" s="37">
        <v>46104.0</v>
      </c>
      <c r="D222" s="28" t="s">
        <v>42</v>
      </c>
      <c r="E222" s="5">
        <v>116.0</v>
      </c>
      <c r="F222" s="5">
        <v>79.0</v>
      </c>
      <c r="G222" s="5">
        <v>3.0</v>
      </c>
      <c r="H222" s="5">
        <v>21.0</v>
      </c>
    </row>
    <row r="223" ht="15.75" customHeight="1">
      <c r="A223" s="22" t="str">
        <f t="shared" si="2"/>
        <v>lunes</v>
      </c>
      <c r="B223" s="24" t="str">
        <f t="shared" si="3"/>
        <v>marzo</v>
      </c>
      <c r="C223" s="37">
        <v>46104.0</v>
      </c>
      <c r="D223" s="28" t="s">
        <v>44</v>
      </c>
      <c r="E223" s="5">
        <v>26.0</v>
      </c>
      <c r="F223" s="5">
        <v>24.0</v>
      </c>
      <c r="G223" s="5">
        <v>0.0</v>
      </c>
      <c r="H223" s="5">
        <v>0.0</v>
      </c>
    </row>
    <row r="224" ht="15.75" customHeight="1">
      <c r="A224" s="22" t="str">
        <f t="shared" si="2"/>
        <v>lunes</v>
      </c>
      <c r="B224" s="24" t="str">
        <f t="shared" si="3"/>
        <v>marzo</v>
      </c>
      <c r="C224" s="37">
        <v>46104.0</v>
      </c>
      <c r="D224" s="5" t="s">
        <v>89</v>
      </c>
      <c r="E224" s="5">
        <v>122.0</v>
      </c>
      <c r="F224" s="5">
        <v>72.0</v>
      </c>
      <c r="G224" s="5">
        <v>0.0</v>
      </c>
      <c r="H224" s="5">
        <v>0.0</v>
      </c>
    </row>
    <row r="225" ht="15.75" customHeight="1">
      <c r="A225" s="22" t="str">
        <f t="shared" si="2"/>
        <v>lunes</v>
      </c>
      <c r="B225" s="24" t="str">
        <f t="shared" si="3"/>
        <v>marzo</v>
      </c>
      <c r="C225" s="37">
        <v>46104.0</v>
      </c>
      <c r="D225" s="5" t="s">
        <v>90</v>
      </c>
      <c r="E225" s="5">
        <v>78.0</v>
      </c>
      <c r="F225" s="5">
        <v>47.0</v>
      </c>
      <c r="G225" s="5">
        <v>0.0</v>
      </c>
      <c r="H225" s="5">
        <v>0.0</v>
      </c>
    </row>
    <row r="226" ht="15.75" customHeight="1">
      <c r="A226" s="22" t="str">
        <f t="shared" si="2"/>
        <v>lunes</v>
      </c>
      <c r="B226" s="24" t="str">
        <f t="shared" si="3"/>
        <v>marzo</v>
      </c>
      <c r="C226" s="37">
        <v>46104.0</v>
      </c>
      <c r="D226" s="28" t="s">
        <v>67</v>
      </c>
      <c r="E226" s="5">
        <v>103.0</v>
      </c>
      <c r="F226" s="5">
        <v>6.0</v>
      </c>
      <c r="G226" s="5">
        <v>6.0</v>
      </c>
      <c r="H226" s="5">
        <v>3.0</v>
      </c>
    </row>
    <row r="227" ht="15.75" customHeight="1">
      <c r="A227" s="22" t="str">
        <f t="shared" si="2"/>
        <v>lunes</v>
      </c>
      <c r="B227" s="24" t="str">
        <f t="shared" si="3"/>
        <v>marzo</v>
      </c>
      <c r="C227" s="37">
        <v>46104.0</v>
      </c>
      <c r="D227" s="5" t="s">
        <v>93</v>
      </c>
      <c r="E227" s="5">
        <v>97.0</v>
      </c>
      <c r="F227" s="5">
        <v>74.0</v>
      </c>
      <c r="G227" s="5">
        <v>0.0</v>
      </c>
      <c r="H227" s="5">
        <v>0.0</v>
      </c>
    </row>
    <row r="228" ht="15.75" customHeight="1">
      <c r="A228" s="22" t="str">
        <f t="shared" si="2"/>
        <v>lunes</v>
      </c>
      <c r="B228" s="24" t="str">
        <f t="shared" si="3"/>
        <v>marzo</v>
      </c>
      <c r="C228" s="37">
        <v>46104.0</v>
      </c>
      <c r="D228" s="28" t="s">
        <v>58</v>
      </c>
      <c r="E228" s="5">
        <v>99.0</v>
      </c>
      <c r="F228" s="5">
        <v>51.0</v>
      </c>
      <c r="G228" s="5">
        <v>5.0</v>
      </c>
      <c r="H228" s="5">
        <v>2.0</v>
      </c>
    </row>
    <row r="229" ht="15.75" customHeight="1">
      <c r="A229" s="22" t="str">
        <f t="shared" si="2"/>
        <v>lunes</v>
      </c>
      <c r="B229" s="24" t="str">
        <f t="shared" si="3"/>
        <v>marzo</v>
      </c>
      <c r="C229" s="37">
        <v>46104.0</v>
      </c>
      <c r="D229" s="28" t="s">
        <v>65</v>
      </c>
      <c r="E229" s="5">
        <v>84.0</v>
      </c>
      <c r="F229" s="5">
        <v>67.0</v>
      </c>
      <c r="G229" s="5">
        <v>2.0</v>
      </c>
      <c r="H229" s="5">
        <v>3.0</v>
      </c>
    </row>
    <row r="230" ht="15.75" customHeight="1">
      <c r="A230" s="22" t="str">
        <f t="shared" si="2"/>
        <v>lunes</v>
      </c>
      <c r="B230" s="24" t="str">
        <f t="shared" si="3"/>
        <v>marzo</v>
      </c>
      <c r="C230" s="37">
        <v>46104.0</v>
      </c>
      <c r="D230" s="28" t="s">
        <v>60</v>
      </c>
      <c r="E230" s="5">
        <v>105.0</v>
      </c>
      <c r="F230" s="5">
        <v>29.0</v>
      </c>
      <c r="G230" s="5">
        <v>6.0</v>
      </c>
      <c r="H230" s="5">
        <v>14.0</v>
      </c>
    </row>
    <row r="231" ht="15.75" customHeight="1">
      <c r="A231" s="22" t="str">
        <f t="shared" si="2"/>
        <v>lunes</v>
      </c>
      <c r="B231" s="24" t="str">
        <f t="shared" si="3"/>
        <v>marzo</v>
      </c>
      <c r="C231" s="37">
        <v>46104.0</v>
      </c>
      <c r="D231" s="28" t="s">
        <v>66</v>
      </c>
      <c r="E231" s="5">
        <v>67.0</v>
      </c>
      <c r="F231" s="5">
        <v>59.0</v>
      </c>
      <c r="G231" s="5">
        <v>1.0</v>
      </c>
      <c r="H231" s="5">
        <v>2.0</v>
      </c>
    </row>
    <row r="232" ht="15.75" customHeight="1">
      <c r="A232" s="22" t="str">
        <f t="shared" si="2"/>
        <v>martes</v>
      </c>
      <c r="B232" s="24" t="str">
        <f t="shared" si="3"/>
        <v>marzo</v>
      </c>
      <c r="C232" s="37">
        <v>46105.0</v>
      </c>
      <c r="D232" s="28" t="s">
        <v>39</v>
      </c>
      <c r="E232" s="5">
        <v>107.0</v>
      </c>
      <c r="F232" s="5">
        <v>63.0</v>
      </c>
      <c r="G232" s="5">
        <v>1.0</v>
      </c>
      <c r="H232" s="5">
        <v>8.0</v>
      </c>
    </row>
    <row r="233" ht="15.75" customHeight="1">
      <c r="A233" s="22" t="str">
        <f t="shared" si="2"/>
        <v>martes</v>
      </c>
      <c r="B233" s="24" t="str">
        <f t="shared" si="3"/>
        <v>marzo</v>
      </c>
      <c r="C233" s="37">
        <v>46105.0</v>
      </c>
      <c r="D233" s="28" t="s">
        <v>41</v>
      </c>
      <c r="E233" s="5">
        <v>80.0</v>
      </c>
      <c r="F233" s="5">
        <v>69.0</v>
      </c>
      <c r="G233" s="5">
        <v>1.0</v>
      </c>
      <c r="H233" s="5">
        <v>7.0</v>
      </c>
    </row>
    <row r="234" ht="15.75" customHeight="1">
      <c r="A234" s="22" t="str">
        <f t="shared" si="2"/>
        <v>martes</v>
      </c>
      <c r="B234" s="24" t="str">
        <f t="shared" si="3"/>
        <v>marzo</v>
      </c>
      <c r="C234" s="37">
        <v>46105.0</v>
      </c>
      <c r="D234" s="28" t="s">
        <v>42</v>
      </c>
      <c r="E234" s="5">
        <v>95.0</v>
      </c>
      <c r="F234" s="5">
        <v>60.0</v>
      </c>
      <c r="G234" s="5">
        <v>4.0</v>
      </c>
      <c r="H234" s="5">
        <v>14.0</v>
      </c>
    </row>
    <row r="235" ht="15.75" customHeight="1">
      <c r="A235" s="22" t="str">
        <f t="shared" si="2"/>
        <v>martes</v>
      </c>
      <c r="B235" s="24" t="str">
        <f t="shared" si="3"/>
        <v>marzo</v>
      </c>
      <c r="C235" s="37">
        <v>46105.0</v>
      </c>
      <c r="D235" s="5" t="s">
        <v>89</v>
      </c>
      <c r="E235" s="5">
        <v>122.0</v>
      </c>
      <c r="F235" s="5">
        <v>84.0</v>
      </c>
      <c r="G235" s="5">
        <v>0.0</v>
      </c>
      <c r="H235" s="5">
        <v>0.0</v>
      </c>
    </row>
    <row r="236" ht="15.75" customHeight="1">
      <c r="A236" s="22" t="str">
        <f t="shared" si="2"/>
        <v>martes</v>
      </c>
      <c r="B236" s="24" t="str">
        <f t="shared" si="3"/>
        <v>marzo</v>
      </c>
      <c r="C236" s="37">
        <v>46105.0</v>
      </c>
      <c r="D236" s="5" t="s">
        <v>90</v>
      </c>
      <c r="E236" s="5">
        <v>92.0</v>
      </c>
      <c r="F236" s="5">
        <v>72.0</v>
      </c>
      <c r="G236" s="5">
        <v>0.0</v>
      </c>
      <c r="H236" s="5">
        <v>0.0</v>
      </c>
    </row>
    <row r="237" ht="15.75" customHeight="1">
      <c r="A237" s="22" t="str">
        <f t="shared" si="2"/>
        <v>martes</v>
      </c>
      <c r="B237" s="24" t="str">
        <f t="shared" si="3"/>
        <v>marzo</v>
      </c>
      <c r="C237" s="37">
        <v>46105.0</v>
      </c>
      <c r="D237" s="28" t="s">
        <v>59</v>
      </c>
      <c r="E237" s="5">
        <v>54.0</v>
      </c>
      <c r="F237" s="5">
        <v>45.0</v>
      </c>
      <c r="G237" s="5">
        <v>3.0</v>
      </c>
      <c r="H237" s="5">
        <v>0.0</v>
      </c>
    </row>
    <row r="238" ht="15.75" customHeight="1">
      <c r="A238" s="22" t="str">
        <f t="shared" si="2"/>
        <v>martes</v>
      </c>
      <c r="B238" s="24" t="str">
        <f t="shared" si="3"/>
        <v>marzo</v>
      </c>
      <c r="C238" s="37">
        <v>46105.0</v>
      </c>
      <c r="D238" s="28" t="s">
        <v>67</v>
      </c>
      <c r="E238" s="5">
        <v>85.0</v>
      </c>
      <c r="F238" s="5">
        <v>71.0</v>
      </c>
      <c r="G238" s="5">
        <v>2.0</v>
      </c>
      <c r="H238" s="5">
        <v>6.0</v>
      </c>
    </row>
    <row r="239" ht="15.75" customHeight="1">
      <c r="A239" s="22" t="str">
        <f t="shared" si="2"/>
        <v>martes</v>
      </c>
      <c r="B239" s="24" t="str">
        <f t="shared" si="3"/>
        <v>marzo</v>
      </c>
      <c r="C239" s="37">
        <v>46105.0</v>
      </c>
      <c r="D239" s="5" t="s">
        <v>93</v>
      </c>
      <c r="E239" s="5">
        <v>99.0</v>
      </c>
      <c r="F239" s="5">
        <v>84.0</v>
      </c>
      <c r="G239" s="5">
        <v>0.0</v>
      </c>
      <c r="H239" s="5">
        <v>0.0</v>
      </c>
    </row>
    <row r="240" ht="15.75" customHeight="1">
      <c r="A240" s="22" t="str">
        <f t="shared" si="2"/>
        <v>martes</v>
      </c>
      <c r="B240" s="24" t="str">
        <f t="shared" si="3"/>
        <v>marzo</v>
      </c>
      <c r="C240" s="37">
        <v>46105.0</v>
      </c>
      <c r="D240" s="28" t="s">
        <v>58</v>
      </c>
      <c r="E240" s="5">
        <v>94.0</v>
      </c>
      <c r="F240" s="5">
        <v>45.0</v>
      </c>
      <c r="G240" s="5">
        <v>4.0</v>
      </c>
      <c r="H240" s="5">
        <v>3.0</v>
      </c>
    </row>
    <row r="241" ht="15.75" customHeight="1">
      <c r="A241" s="22" t="str">
        <f t="shared" si="2"/>
        <v>martes</v>
      </c>
      <c r="B241" s="24" t="str">
        <f t="shared" si="3"/>
        <v>marzo</v>
      </c>
      <c r="C241" s="37">
        <v>46105.0</v>
      </c>
      <c r="D241" s="28" t="s">
        <v>64</v>
      </c>
      <c r="E241" s="5">
        <v>156.0</v>
      </c>
      <c r="F241" s="5">
        <v>108.0</v>
      </c>
      <c r="G241" s="5">
        <v>5.0</v>
      </c>
      <c r="H241" s="5">
        <v>3.0</v>
      </c>
    </row>
    <row r="242" ht="15.75" customHeight="1">
      <c r="A242" s="22" t="str">
        <f t="shared" si="2"/>
        <v>martes</v>
      </c>
      <c r="B242" s="24" t="str">
        <f t="shared" si="3"/>
        <v>marzo</v>
      </c>
      <c r="C242" s="37">
        <v>46105.0</v>
      </c>
      <c r="D242" s="28" t="s">
        <v>65</v>
      </c>
      <c r="E242" s="5">
        <v>77.0</v>
      </c>
      <c r="F242" s="5">
        <v>60.0</v>
      </c>
      <c r="G242" s="5">
        <v>1.0</v>
      </c>
      <c r="H242" s="5">
        <v>0.0</v>
      </c>
    </row>
    <row r="243" ht="15.75" customHeight="1">
      <c r="A243" s="22" t="str">
        <f t="shared" si="2"/>
        <v>martes</v>
      </c>
      <c r="B243" s="24" t="str">
        <f t="shared" si="3"/>
        <v>marzo</v>
      </c>
      <c r="C243" s="37">
        <v>46105.0</v>
      </c>
      <c r="D243" s="28" t="s">
        <v>66</v>
      </c>
      <c r="E243" s="5">
        <v>68.0</v>
      </c>
      <c r="F243" s="5">
        <v>65.0</v>
      </c>
      <c r="G243" s="5">
        <v>1.0</v>
      </c>
      <c r="H243" s="5">
        <v>0.0</v>
      </c>
    </row>
    <row r="244" ht="15.75" customHeight="1">
      <c r="A244" s="22" t="str">
        <f t="shared" si="2"/>
        <v>miércoles</v>
      </c>
      <c r="B244" s="24" t="str">
        <f t="shared" si="3"/>
        <v>marzo</v>
      </c>
      <c r="C244" s="37">
        <v>46106.0</v>
      </c>
      <c r="D244" s="28" t="s">
        <v>39</v>
      </c>
      <c r="E244" s="5">
        <v>73.0</v>
      </c>
      <c r="F244" s="5">
        <v>46.0</v>
      </c>
      <c r="G244" s="5">
        <v>1.0</v>
      </c>
      <c r="H244" s="5">
        <v>9.0</v>
      </c>
    </row>
    <row r="245" ht="15.75" customHeight="1">
      <c r="A245" s="22" t="str">
        <f t="shared" si="2"/>
        <v>miércoles</v>
      </c>
      <c r="B245" s="24" t="str">
        <f t="shared" si="3"/>
        <v>marzo</v>
      </c>
      <c r="C245" s="37">
        <v>46106.0</v>
      </c>
      <c r="D245" s="5" t="s">
        <v>107</v>
      </c>
      <c r="E245" s="5">
        <v>54.0</v>
      </c>
      <c r="F245" s="5">
        <v>36.0</v>
      </c>
      <c r="G245" s="5">
        <v>0.0</v>
      </c>
      <c r="H245" s="5">
        <v>0.0</v>
      </c>
    </row>
    <row r="246" ht="15.75" customHeight="1">
      <c r="A246" s="22" t="str">
        <f t="shared" si="2"/>
        <v>miércoles</v>
      </c>
      <c r="B246" s="24" t="str">
        <f t="shared" si="3"/>
        <v>marzo</v>
      </c>
      <c r="C246" s="37">
        <v>46106.0</v>
      </c>
      <c r="D246" s="28" t="s">
        <v>41</v>
      </c>
      <c r="E246" s="5">
        <v>82.0</v>
      </c>
      <c r="F246" s="5">
        <v>65.0</v>
      </c>
      <c r="G246" s="5">
        <v>2.0</v>
      </c>
      <c r="H246" s="5">
        <v>7.0</v>
      </c>
    </row>
    <row r="247" ht="15.75" customHeight="1">
      <c r="A247" s="22" t="str">
        <f t="shared" si="2"/>
        <v>miércoles</v>
      </c>
      <c r="B247" s="24" t="str">
        <f t="shared" si="3"/>
        <v>marzo</v>
      </c>
      <c r="C247" s="37">
        <v>46106.0</v>
      </c>
      <c r="D247" s="28" t="s">
        <v>42</v>
      </c>
      <c r="E247" s="5">
        <v>95.0</v>
      </c>
      <c r="F247" s="5">
        <v>58.0</v>
      </c>
      <c r="G247" s="5">
        <v>3.0</v>
      </c>
      <c r="H247" s="5">
        <v>12.0</v>
      </c>
    </row>
    <row r="248" ht="15.75" customHeight="1">
      <c r="A248" s="22" t="str">
        <f t="shared" si="2"/>
        <v>miércoles</v>
      </c>
      <c r="B248" s="24" t="str">
        <f t="shared" si="3"/>
        <v>marzo</v>
      </c>
      <c r="C248" s="37">
        <v>46106.0</v>
      </c>
      <c r="D248" s="5" t="s">
        <v>108</v>
      </c>
      <c r="E248" s="5">
        <v>76.0</v>
      </c>
      <c r="F248" s="5">
        <v>31.0</v>
      </c>
      <c r="G248" s="5">
        <v>0.0</v>
      </c>
      <c r="H248" s="5">
        <v>1.0</v>
      </c>
    </row>
    <row r="249" ht="15.75" customHeight="1">
      <c r="A249" s="22" t="str">
        <f t="shared" si="2"/>
        <v>miércoles</v>
      </c>
      <c r="B249" s="24" t="str">
        <f t="shared" si="3"/>
        <v>marzo</v>
      </c>
      <c r="C249" s="37">
        <v>46106.0</v>
      </c>
      <c r="D249" s="28" t="s">
        <v>51</v>
      </c>
      <c r="E249" s="5">
        <v>90.0</v>
      </c>
      <c r="F249" s="5">
        <v>80.0</v>
      </c>
      <c r="G249" s="5">
        <v>1.0</v>
      </c>
      <c r="H249" s="5">
        <v>13.0</v>
      </c>
    </row>
    <row r="250" ht="15.75" customHeight="1">
      <c r="A250" s="22" t="str">
        <f t="shared" si="2"/>
        <v>miércoles</v>
      </c>
      <c r="B250" s="24" t="str">
        <f t="shared" si="3"/>
        <v>marzo</v>
      </c>
      <c r="C250" s="37">
        <v>46106.0</v>
      </c>
      <c r="D250" s="5" t="s">
        <v>89</v>
      </c>
      <c r="E250" s="5">
        <v>119.0</v>
      </c>
      <c r="F250" s="5">
        <v>62.0</v>
      </c>
      <c r="G250" s="5">
        <v>0.0</v>
      </c>
      <c r="H250" s="5">
        <v>0.0</v>
      </c>
    </row>
    <row r="251" ht="15.75" customHeight="1">
      <c r="A251" s="22" t="str">
        <f t="shared" si="2"/>
        <v>miércoles</v>
      </c>
      <c r="B251" s="24" t="str">
        <f t="shared" si="3"/>
        <v>marzo</v>
      </c>
      <c r="C251" s="37">
        <v>46106.0</v>
      </c>
      <c r="D251" s="28" t="s">
        <v>67</v>
      </c>
      <c r="E251" s="5">
        <v>91.0</v>
      </c>
      <c r="F251" s="5">
        <v>87.0</v>
      </c>
      <c r="G251" s="5">
        <v>3.0</v>
      </c>
      <c r="H251" s="5">
        <v>0.0</v>
      </c>
    </row>
    <row r="252" ht="15.75" customHeight="1">
      <c r="A252" s="22" t="str">
        <f t="shared" si="2"/>
        <v>miércoles</v>
      </c>
      <c r="B252" s="24" t="str">
        <f t="shared" si="3"/>
        <v>marzo</v>
      </c>
      <c r="C252" s="37">
        <v>46106.0</v>
      </c>
      <c r="D252" s="5" t="s">
        <v>93</v>
      </c>
      <c r="E252" s="5">
        <v>60.0</v>
      </c>
      <c r="F252" s="5">
        <v>50.0</v>
      </c>
      <c r="G252" s="5">
        <v>0.0</v>
      </c>
      <c r="H252" s="5">
        <v>0.0</v>
      </c>
    </row>
    <row r="253" ht="15.75" customHeight="1">
      <c r="A253" s="22" t="str">
        <f t="shared" si="2"/>
        <v>miércoles</v>
      </c>
      <c r="B253" s="24" t="str">
        <f t="shared" si="3"/>
        <v>marzo</v>
      </c>
      <c r="C253" s="37">
        <v>46106.0</v>
      </c>
      <c r="D253" s="28" t="s">
        <v>58</v>
      </c>
      <c r="E253" s="5">
        <v>116.0</v>
      </c>
      <c r="F253" s="5">
        <v>55.0</v>
      </c>
      <c r="G253" s="5">
        <v>0.0</v>
      </c>
      <c r="H253" s="5">
        <v>6.0</v>
      </c>
    </row>
    <row r="254" ht="15.75" customHeight="1">
      <c r="A254" s="22" t="str">
        <f t="shared" si="2"/>
        <v>miércoles</v>
      </c>
      <c r="B254" s="24" t="str">
        <f t="shared" si="3"/>
        <v>marzo</v>
      </c>
      <c r="C254" s="37">
        <v>46106.0</v>
      </c>
      <c r="D254" s="28" t="s">
        <v>64</v>
      </c>
      <c r="E254" s="5">
        <v>139.0</v>
      </c>
      <c r="F254" s="5">
        <v>88.0</v>
      </c>
      <c r="G254" s="5">
        <v>3.0</v>
      </c>
      <c r="H254" s="5">
        <v>10.0</v>
      </c>
    </row>
    <row r="255" ht="15.75" customHeight="1">
      <c r="A255" s="22" t="str">
        <f t="shared" si="2"/>
        <v>miércoles</v>
      </c>
      <c r="B255" s="24" t="str">
        <f t="shared" si="3"/>
        <v>marzo</v>
      </c>
      <c r="C255" s="37">
        <v>46106.0</v>
      </c>
      <c r="D255" s="28" t="s">
        <v>65</v>
      </c>
      <c r="E255" s="5">
        <v>88.0</v>
      </c>
      <c r="F255" s="5">
        <v>77.0</v>
      </c>
      <c r="G255" s="5">
        <v>3.0</v>
      </c>
      <c r="H255" s="5">
        <v>4.0</v>
      </c>
    </row>
    <row r="256" ht="15.75" customHeight="1">
      <c r="A256" s="22" t="str">
        <f t="shared" si="2"/>
        <v>miércoles</v>
      </c>
      <c r="B256" s="24" t="str">
        <f t="shared" si="3"/>
        <v>marzo</v>
      </c>
      <c r="C256" s="37">
        <v>46106.0</v>
      </c>
      <c r="D256" s="28" t="s">
        <v>66</v>
      </c>
      <c r="E256" s="5">
        <v>152.0</v>
      </c>
      <c r="F256" s="5">
        <v>136.0</v>
      </c>
      <c r="G256" s="5">
        <v>1.0</v>
      </c>
      <c r="H256" s="5">
        <v>5.0</v>
      </c>
    </row>
    <row r="257" ht="15.75" customHeight="1">
      <c r="A257" s="22" t="str">
        <f t="shared" si="2"/>
        <v>jueves</v>
      </c>
      <c r="B257" s="24" t="str">
        <f t="shared" si="3"/>
        <v>marzo</v>
      </c>
      <c r="C257" s="37">
        <v>46107.0</v>
      </c>
      <c r="D257" s="5" t="s">
        <v>107</v>
      </c>
      <c r="E257" s="5">
        <v>92.0</v>
      </c>
      <c r="F257" s="5">
        <v>43.0</v>
      </c>
      <c r="G257" s="5">
        <v>0.0</v>
      </c>
      <c r="H257" s="5">
        <v>0.0</v>
      </c>
    </row>
    <row r="258" ht="15.75" customHeight="1">
      <c r="A258" s="22" t="str">
        <f t="shared" si="2"/>
        <v>jueves</v>
      </c>
      <c r="B258" s="24" t="str">
        <f t="shared" si="3"/>
        <v>marzo</v>
      </c>
      <c r="C258" s="37">
        <v>46107.0</v>
      </c>
      <c r="D258" s="28" t="s">
        <v>40</v>
      </c>
      <c r="E258" s="5">
        <v>73.0</v>
      </c>
      <c r="F258" s="5">
        <v>32.0</v>
      </c>
      <c r="G258" s="5">
        <v>3.0</v>
      </c>
      <c r="H258" s="5">
        <v>16.0</v>
      </c>
    </row>
    <row r="259" ht="15.75" customHeight="1">
      <c r="A259" s="22" t="str">
        <f t="shared" si="2"/>
        <v>jueves</v>
      </c>
      <c r="B259" s="24" t="str">
        <f t="shared" si="3"/>
        <v>marzo</v>
      </c>
      <c r="C259" s="37">
        <v>46107.0</v>
      </c>
      <c r="D259" s="28" t="s">
        <v>41</v>
      </c>
      <c r="E259" s="5">
        <v>62.0</v>
      </c>
      <c r="F259" s="5">
        <v>48.0</v>
      </c>
      <c r="G259" s="5">
        <v>1.0</v>
      </c>
      <c r="H259" s="5">
        <v>1.0</v>
      </c>
    </row>
    <row r="260" ht="15.75" customHeight="1">
      <c r="A260" s="22" t="str">
        <f t="shared" si="2"/>
        <v>jueves</v>
      </c>
      <c r="B260" s="24" t="str">
        <f t="shared" si="3"/>
        <v>marzo</v>
      </c>
      <c r="C260" s="37">
        <v>46107.0</v>
      </c>
      <c r="D260" s="28" t="s">
        <v>42</v>
      </c>
      <c r="E260" s="5">
        <v>74.0</v>
      </c>
      <c r="F260" s="5">
        <v>45.0</v>
      </c>
      <c r="G260" s="5">
        <v>3.0</v>
      </c>
      <c r="H260" s="5">
        <v>12.0</v>
      </c>
    </row>
    <row r="261" ht="15.75" customHeight="1">
      <c r="A261" s="22" t="str">
        <f t="shared" si="2"/>
        <v>jueves</v>
      </c>
      <c r="B261" s="24" t="str">
        <f t="shared" si="3"/>
        <v>marzo</v>
      </c>
      <c r="C261" s="37">
        <v>46107.0</v>
      </c>
      <c r="D261" s="5" t="s">
        <v>117</v>
      </c>
      <c r="E261" s="5">
        <v>78.0</v>
      </c>
      <c r="F261" s="5">
        <v>33.0</v>
      </c>
      <c r="G261" s="5">
        <v>0.0</v>
      </c>
      <c r="H261" s="5">
        <v>0.0</v>
      </c>
    </row>
    <row r="262" ht="15.75" customHeight="1">
      <c r="A262" s="22" t="str">
        <f t="shared" si="2"/>
        <v>jueves</v>
      </c>
      <c r="B262" s="24" t="str">
        <f t="shared" si="3"/>
        <v>marzo</v>
      </c>
      <c r="C262" s="37">
        <v>46107.0</v>
      </c>
      <c r="D262" s="28" t="s">
        <v>51</v>
      </c>
      <c r="E262" s="5">
        <v>51.0</v>
      </c>
      <c r="F262" s="5">
        <v>35.0</v>
      </c>
      <c r="G262" s="5">
        <v>2.0</v>
      </c>
      <c r="H262" s="5">
        <v>25.0</v>
      </c>
    </row>
    <row r="263" ht="15.75" customHeight="1">
      <c r="A263" s="22" t="str">
        <f t="shared" si="2"/>
        <v>jueves</v>
      </c>
      <c r="B263" s="24" t="str">
        <f t="shared" si="3"/>
        <v>marzo</v>
      </c>
      <c r="C263" s="37">
        <v>46107.0</v>
      </c>
      <c r="D263" s="5" t="s">
        <v>89</v>
      </c>
      <c r="E263" s="5">
        <v>36.0</v>
      </c>
      <c r="F263" s="5">
        <v>18.0</v>
      </c>
      <c r="G263" s="5">
        <v>0.0</v>
      </c>
      <c r="H263" s="5">
        <v>0.0</v>
      </c>
    </row>
    <row r="264" ht="15.75" customHeight="1">
      <c r="A264" s="22" t="str">
        <f t="shared" si="2"/>
        <v>jueves</v>
      </c>
      <c r="B264" s="24" t="str">
        <f t="shared" si="3"/>
        <v>marzo</v>
      </c>
      <c r="C264" s="37">
        <v>46107.0</v>
      </c>
      <c r="D264" s="28" t="s">
        <v>67</v>
      </c>
      <c r="E264" s="5">
        <v>76.0</v>
      </c>
      <c r="F264" s="5">
        <v>71.0</v>
      </c>
      <c r="G264" s="5">
        <v>0.0</v>
      </c>
      <c r="H264" s="5">
        <v>6.0</v>
      </c>
    </row>
    <row r="265" ht="15.75" customHeight="1">
      <c r="A265" s="22" t="str">
        <f t="shared" si="2"/>
        <v>jueves</v>
      </c>
      <c r="B265" s="24" t="str">
        <f t="shared" si="3"/>
        <v>marzo</v>
      </c>
      <c r="C265" s="37">
        <v>46107.0</v>
      </c>
      <c r="D265" s="28" t="s">
        <v>58</v>
      </c>
      <c r="E265" s="5">
        <v>110.0</v>
      </c>
      <c r="F265" s="5">
        <v>45.0</v>
      </c>
      <c r="G265" s="5">
        <v>4.0</v>
      </c>
      <c r="H265" s="5">
        <v>5.0</v>
      </c>
    </row>
    <row r="266" ht="15.75" customHeight="1">
      <c r="A266" s="22" t="str">
        <f t="shared" si="2"/>
        <v>jueves</v>
      </c>
      <c r="B266" s="24" t="str">
        <f t="shared" si="3"/>
        <v>marzo</v>
      </c>
      <c r="C266" s="37">
        <v>46107.0</v>
      </c>
      <c r="D266" s="28" t="s">
        <v>52</v>
      </c>
      <c r="E266" s="5">
        <v>49.0</v>
      </c>
      <c r="F266" s="5">
        <v>38.0</v>
      </c>
      <c r="G266" s="5">
        <v>4.0</v>
      </c>
      <c r="H266" s="5">
        <v>8.0</v>
      </c>
    </row>
    <row r="267" ht="15.75" customHeight="1">
      <c r="A267" s="22" t="str">
        <f t="shared" si="2"/>
        <v>jueves</v>
      </c>
      <c r="B267" s="24" t="str">
        <f t="shared" si="3"/>
        <v>marzo</v>
      </c>
      <c r="C267" s="37">
        <v>46107.0</v>
      </c>
      <c r="D267" s="28" t="s">
        <v>53</v>
      </c>
      <c r="E267" s="5">
        <v>59.0</v>
      </c>
      <c r="F267" s="5">
        <v>40.0</v>
      </c>
      <c r="G267" s="5">
        <v>2.0</v>
      </c>
      <c r="H267" s="5">
        <v>4.0</v>
      </c>
    </row>
    <row r="268" ht="15.75" customHeight="1">
      <c r="A268" s="22" t="str">
        <f t="shared" si="2"/>
        <v>jueves</v>
      </c>
      <c r="B268" s="24" t="str">
        <f t="shared" si="3"/>
        <v>marzo</v>
      </c>
      <c r="C268" s="37">
        <v>46107.0</v>
      </c>
      <c r="D268" s="28" t="s">
        <v>64</v>
      </c>
      <c r="E268" s="5">
        <v>113.0</v>
      </c>
      <c r="F268" s="5">
        <v>49.0</v>
      </c>
      <c r="G268" s="5">
        <v>7.0</v>
      </c>
      <c r="H268" s="5">
        <v>6.0</v>
      </c>
    </row>
    <row r="269" ht="15.75" customHeight="1">
      <c r="A269" s="22" t="str">
        <f t="shared" si="2"/>
        <v>jueves</v>
      </c>
      <c r="B269" s="24" t="str">
        <f t="shared" si="3"/>
        <v>marzo</v>
      </c>
      <c r="C269" s="37">
        <v>46107.0</v>
      </c>
      <c r="D269" s="28" t="s">
        <v>65</v>
      </c>
      <c r="E269" s="5">
        <v>72.0</v>
      </c>
      <c r="F269" s="5">
        <v>54.0</v>
      </c>
      <c r="G269" s="5">
        <v>3.0</v>
      </c>
      <c r="H269" s="5">
        <v>3.0</v>
      </c>
    </row>
    <row r="270" ht="15.75" customHeight="1">
      <c r="A270" s="22" t="str">
        <f t="shared" si="2"/>
        <v>jueves</v>
      </c>
      <c r="B270" s="24" t="str">
        <f t="shared" si="3"/>
        <v>marzo</v>
      </c>
      <c r="C270" s="37">
        <v>46107.0</v>
      </c>
      <c r="D270" s="28" t="s">
        <v>66</v>
      </c>
      <c r="E270" s="5">
        <v>140.0</v>
      </c>
      <c r="F270" s="5">
        <v>123.0</v>
      </c>
      <c r="G270" s="5">
        <v>0.0</v>
      </c>
      <c r="H270" s="5">
        <v>4.0</v>
      </c>
    </row>
    <row r="271" ht="15.75" customHeight="1">
      <c r="A271" s="22" t="str">
        <f t="shared" si="2"/>
        <v>viernes</v>
      </c>
      <c r="B271" s="24" t="str">
        <f t="shared" si="3"/>
        <v>marzo</v>
      </c>
      <c r="C271" s="37">
        <v>46108.0</v>
      </c>
      <c r="D271" s="28" t="s">
        <v>40</v>
      </c>
      <c r="E271" s="5">
        <v>80.0</v>
      </c>
      <c r="F271" s="5">
        <v>43.0</v>
      </c>
      <c r="G271" s="5">
        <v>5.0</v>
      </c>
      <c r="H271" s="5">
        <v>0.0</v>
      </c>
    </row>
    <row r="272" ht="15.75" customHeight="1">
      <c r="A272" s="22" t="str">
        <f t="shared" si="2"/>
        <v>viernes</v>
      </c>
      <c r="B272" s="24" t="str">
        <f t="shared" si="3"/>
        <v>marzo</v>
      </c>
      <c r="C272" s="37">
        <v>46108.0</v>
      </c>
      <c r="D272" s="28" t="s">
        <v>51</v>
      </c>
      <c r="E272" s="5">
        <v>52.0</v>
      </c>
      <c r="F272" s="5">
        <v>39.0</v>
      </c>
      <c r="G272" s="5">
        <v>4.0</v>
      </c>
      <c r="H272" s="5">
        <v>22.0</v>
      </c>
    </row>
    <row r="273" ht="15.75" customHeight="1">
      <c r="A273" s="22" t="str">
        <f t="shared" si="2"/>
        <v>viernes</v>
      </c>
      <c r="B273" s="24" t="str">
        <f t="shared" si="3"/>
        <v>marzo</v>
      </c>
      <c r="C273" s="37">
        <v>46108.0</v>
      </c>
      <c r="D273" s="28" t="s">
        <v>58</v>
      </c>
      <c r="E273" s="5">
        <v>53.0</v>
      </c>
      <c r="F273" s="5">
        <v>33.0</v>
      </c>
      <c r="G273" s="5">
        <v>2.0</v>
      </c>
      <c r="H273" s="5">
        <v>2.0</v>
      </c>
    </row>
    <row r="274" ht="15.75" customHeight="1">
      <c r="A274" s="22" t="str">
        <f t="shared" si="2"/>
        <v>viernes</v>
      </c>
      <c r="B274" s="24" t="str">
        <f t="shared" si="3"/>
        <v>marzo</v>
      </c>
      <c r="C274" s="37">
        <v>46108.0</v>
      </c>
      <c r="D274" s="28" t="s">
        <v>52</v>
      </c>
      <c r="E274" s="5">
        <v>46.0</v>
      </c>
      <c r="F274" s="5">
        <v>37.0</v>
      </c>
      <c r="G274" s="5">
        <v>2.0</v>
      </c>
      <c r="H274" s="5">
        <v>6.0</v>
      </c>
    </row>
    <row r="275" ht="15.75" customHeight="1">
      <c r="A275" s="22" t="str">
        <f t="shared" si="2"/>
        <v>viernes</v>
      </c>
      <c r="B275" s="24" t="str">
        <f t="shared" si="3"/>
        <v>marzo</v>
      </c>
      <c r="C275" s="37">
        <v>46108.0</v>
      </c>
      <c r="D275" s="28" t="s">
        <v>53</v>
      </c>
      <c r="E275" s="5">
        <v>84.0</v>
      </c>
      <c r="F275" s="5">
        <v>42.0</v>
      </c>
      <c r="G275" s="5">
        <v>2.0</v>
      </c>
      <c r="H275" s="5">
        <v>0.0</v>
      </c>
    </row>
    <row r="276" ht="15.75" customHeight="1">
      <c r="A276" s="22" t="str">
        <f t="shared" si="2"/>
        <v>viernes</v>
      </c>
      <c r="B276" s="24" t="str">
        <f t="shared" si="3"/>
        <v>marzo</v>
      </c>
      <c r="C276" s="37">
        <v>46108.0</v>
      </c>
      <c r="D276" s="28" t="s">
        <v>64</v>
      </c>
      <c r="E276" s="5">
        <v>124.0</v>
      </c>
      <c r="F276" s="5">
        <v>69.0</v>
      </c>
      <c r="G276" s="5">
        <v>6.0</v>
      </c>
      <c r="H276" s="5">
        <v>4.0</v>
      </c>
    </row>
    <row r="277" ht="15.75" customHeight="1">
      <c r="A277" s="22" t="str">
        <f t="shared" si="2"/>
        <v>viernes</v>
      </c>
      <c r="B277" s="24" t="str">
        <f t="shared" si="3"/>
        <v>marzo</v>
      </c>
      <c r="C277" s="37">
        <v>46108.0</v>
      </c>
      <c r="D277" s="28" t="s">
        <v>65</v>
      </c>
      <c r="E277" s="5">
        <v>69.0</v>
      </c>
      <c r="F277" s="5">
        <v>51.0</v>
      </c>
      <c r="G277" s="5">
        <v>4.0</v>
      </c>
      <c r="H277" s="5">
        <v>19.0</v>
      </c>
    </row>
    <row r="278" ht="15.75" customHeight="1">
      <c r="A278" s="22" t="str">
        <f t="shared" si="2"/>
        <v>viernes</v>
      </c>
      <c r="B278" s="24" t="str">
        <f t="shared" si="3"/>
        <v>marzo</v>
      </c>
      <c r="C278" s="37">
        <v>46108.0</v>
      </c>
      <c r="D278" s="28" t="s">
        <v>66</v>
      </c>
      <c r="E278" s="5">
        <v>123.0</v>
      </c>
      <c r="F278" s="5">
        <v>88.0</v>
      </c>
      <c r="G278" s="5">
        <v>2.0</v>
      </c>
      <c r="H278" s="5">
        <v>8.0</v>
      </c>
    </row>
    <row r="279" ht="15.75" customHeight="1">
      <c r="A279" s="22" t="str">
        <f t="shared" si="2"/>
        <v>sábado</v>
      </c>
      <c r="B279" s="24" t="str">
        <f t="shared" si="3"/>
        <v>marzo</v>
      </c>
      <c r="C279" s="37">
        <v>46109.0</v>
      </c>
      <c r="D279" s="28" t="s">
        <v>40</v>
      </c>
      <c r="E279" s="5">
        <v>88.0</v>
      </c>
      <c r="F279" s="5">
        <v>61.0</v>
      </c>
      <c r="G279" s="5">
        <v>4.0</v>
      </c>
      <c r="H279" s="5">
        <v>4.0</v>
      </c>
    </row>
    <row r="280" ht="15.75" customHeight="1">
      <c r="A280" s="22" t="str">
        <f t="shared" si="2"/>
        <v>sábado</v>
      </c>
      <c r="B280" s="24" t="str">
        <f t="shared" si="3"/>
        <v>marzo</v>
      </c>
      <c r="C280" s="37">
        <v>46109.0</v>
      </c>
      <c r="D280" s="5" t="s">
        <v>43</v>
      </c>
      <c r="E280" s="5">
        <v>76.0</v>
      </c>
      <c r="F280" s="5">
        <v>50.0</v>
      </c>
      <c r="G280" s="5">
        <v>3.0</v>
      </c>
      <c r="H280" s="5">
        <v>7.0</v>
      </c>
    </row>
    <row r="281" ht="15.75" customHeight="1">
      <c r="A281" s="22" t="str">
        <f t="shared" si="2"/>
        <v>sábado</v>
      </c>
      <c r="B281" s="24" t="str">
        <f t="shared" si="3"/>
        <v>marzo</v>
      </c>
      <c r="C281" s="37">
        <v>46109.0</v>
      </c>
      <c r="D281" s="28" t="s">
        <v>51</v>
      </c>
      <c r="E281" s="5">
        <v>74.0</v>
      </c>
      <c r="F281" s="5">
        <v>59.0</v>
      </c>
      <c r="G281" s="5">
        <v>1.0</v>
      </c>
      <c r="H281" s="5">
        <v>7.0</v>
      </c>
    </row>
    <row r="282" ht="15.75" customHeight="1">
      <c r="A282" s="22" t="str">
        <f t="shared" si="2"/>
        <v>sábado</v>
      </c>
      <c r="B282" s="24" t="str">
        <f t="shared" si="3"/>
        <v>marzo</v>
      </c>
      <c r="C282" s="37">
        <v>46109.0</v>
      </c>
      <c r="D282" s="28" t="s">
        <v>59</v>
      </c>
      <c r="E282" s="5">
        <v>121.0</v>
      </c>
      <c r="F282" s="5">
        <v>111.0</v>
      </c>
      <c r="G282" s="5">
        <v>2.0</v>
      </c>
      <c r="H282" s="5">
        <v>0.0</v>
      </c>
    </row>
    <row r="283" ht="15.75" customHeight="1">
      <c r="A283" s="22" t="str">
        <f t="shared" si="2"/>
        <v>sábado</v>
      </c>
      <c r="B283" s="24" t="str">
        <f t="shared" si="3"/>
        <v>marzo</v>
      </c>
      <c r="C283" s="37">
        <v>46109.0</v>
      </c>
      <c r="D283" s="28" t="s">
        <v>52</v>
      </c>
      <c r="E283" s="5">
        <v>50.0</v>
      </c>
      <c r="F283" s="5">
        <v>40.0</v>
      </c>
      <c r="G283" s="5">
        <v>4.0</v>
      </c>
      <c r="H283" s="5">
        <v>2.0</v>
      </c>
    </row>
    <row r="284" ht="15.75" customHeight="1">
      <c r="A284" s="22" t="str">
        <f t="shared" si="2"/>
        <v>sábado</v>
      </c>
      <c r="B284" s="24" t="str">
        <f t="shared" si="3"/>
        <v>marzo</v>
      </c>
      <c r="C284" s="37">
        <v>46109.0</v>
      </c>
      <c r="D284" s="28" t="s">
        <v>53</v>
      </c>
      <c r="E284" s="5">
        <v>123.0</v>
      </c>
      <c r="F284" s="5">
        <v>58.0</v>
      </c>
      <c r="G284" s="5">
        <v>5.0</v>
      </c>
      <c r="H284" s="5">
        <v>2.0</v>
      </c>
    </row>
    <row r="285" ht="15.75" customHeight="1">
      <c r="A285" s="22" t="str">
        <f t="shared" si="2"/>
        <v>sábado</v>
      </c>
      <c r="B285" s="24" t="str">
        <f t="shared" si="3"/>
        <v>marzo</v>
      </c>
      <c r="C285" s="37">
        <v>46109.0</v>
      </c>
      <c r="D285" s="28" t="s">
        <v>60</v>
      </c>
      <c r="E285" s="5">
        <v>136.0</v>
      </c>
      <c r="F285" s="5">
        <v>70.0</v>
      </c>
      <c r="G285" s="5">
        <v>2.0</v>
      </c>
      <c r="H285" s="5">
        <v>0.0</v>
      </c>
    </row>
    <row r="286" ht="15.75" customHeight="1">
      <c r="A286" s="22" t="str">
        <f t="shared" si="2"/>
        <v>domingo</v>
      </c>
      <c r="B286" s="24" t="str">
        <f t="shared" si="3"/>
        <v>marzo</v>
      </c>
      <c r="C286" s="37">
        <v>46110.0</v>
      </c>
      <c r="D286" s="28" t="s">
        <v>39</v>
      </c>
      <c r="E286" s="5">
        <v>123.0</v>
      </c>
      <c r="F286" s="5">
        <v>39.0</v>
      </c>
      <c r="G286" s="5">
        <v>5.0</v>
      </c>
      <c r="H286" s="5">
        <v>1.0</v>
      </c>
    </row>
    <row r="287" ht="15.75" customHeight="1">
      <c r="A287" s="22" t="str">
        <f t="shared" si="2"/>
        <v>domingo</v>
      </c>
      <c r="B287" s="24" t="str">
        <f t="shared" si="3"/>
        <v>marzo</v>
      </c>
      <c r="C287" s="37">
        <v>46110.0</v>
      </c>
      <c r="D287" s="28" t="s">
        <v>40</v>
      </c>
      <c r="E287" s="5">
        <v>75.0</v>
      </c>
      <c r="F287" s="5">
        <v>49.0</v>
      </c>
      <c r="G287" s="5">
        <v>14.0</v>
      </c>
      <c r="H287" s="5">
        <v>8.0</v>
      </c>
    </row>
    <row r="288" ht="15.75" customHeight="1">
      <c r="A288" s="22" t="str">
        <f t="shared" si="2"/>
        <v>domingo</v>
      </c>
      <c r="B288" s="24" t="str">
        <f t="shared" si="3"/>
        <v>marzo</v>
      </c>
      <c r="C288" s="37">
        <v>46110.0</v>
      </c>
      <c r="D288" s="5" t="s">
        <v>43</v>
      </c>
      <c r="E288" s="5">
        <v>63.0</v>
      </c>
      <c r="F288" s="5">
        <v>26.0</v>
      </c>
      <c r="G288" s="5">
        <v>12.0</v>
      </c>
      <c r="H288" s="5">
        <v>7.0</v>
      </c>
    </row>
    <row r="289" ht="15.75" customHeight="1">
      <c r="A289" s="22" t="str">
        <f t="shared" si="2"/>
        <v>domingo</v>
      </c>
      <c r="B289" s="24" t="str">
        <f t="shared" si="3"/>
        <v>marzo</v>
      </c>
      <c r="C289" s="37">
        <v>46110.0</v>
      </c>
      <c r="D289" s="28" t="s">
        <v>59</v>
      </c>
      <c r="E289" s="5">
        <v>116.0</v>
      </c>
      <c r="F289" s="5">
        <v>110.0</v>
      </c>
      <c r="G289" s="5">
        <v>5.0</v>
      </c>
      <c r="H289" s="5">
        <v>2.0</v>
      </c>
    </row>
    <row r="290" ht="15.75" customHeight="1">
      <c r="A290" s="22" t="str">
        <f t="shared" si="2"/>
        <v>domingo</v>
      </c>
      <c r="B290" s="24" t="str">
        <f t="shared" si="3"/>
        <v>marzo</v>
      </c>
      <c r="C290" s="37">
        <v>46110.0</v>
      </c>
      <c r="D290" s="28" t="s">
        <v>53</v>
      </c>
      <c r="E290" s="5">
        <v>163.0</v>
      </c>
      <c r="F290" s="5">
        <v>74.0</v>
      </c>
      <c r="G290" s="5">
        <v>6.0</v>
      </c>
      <c r="H290" s="5">
        <v>6.0</v>
      </c>
    </row>
    <row r="291" ht="15.75" customHeight="1">
      <c r="A291" s="22" t="str">
        <f t="shared" si="2"/>
        <v>domingo</v>
      </c>
      <c r="B291" s="24" t="str">
        <f t="shared" si="3"/>
        <v>marzo</v>
      </c>
      <c r="C291" s="37">
        <v>46110.0</v>
      </c>
      <c r="D291" s="28" t="s">
        <v>52</v>
      </c>
      <c r="E291" s="5">
        <v>78.0</v>
      </c>
      <c r="F291" s="5">
        <v>41.0</v>
      </c>
      <c r="G291" s="5">
        <v>10.0</v>
      </c>
      <c r="H291" s="5">
        <v>8.0</v>
      </c>
    </row>
    <row r="292" ht="15.75" customHeight="1">
      <c r="A292" s="22" t="str">
        <f t="shared" si="2"/>
        <v>domingo</v>
      </c>
      <c r="B292" s="24" t="str">
        <f t="shared" si="3"/>
        <v>marzo</v>
      </c>
      <c r="C292" s="37">
        <v>46110.0</v>
      </c>
      <c r="D292" s="28" t="s">
        <v>60</v>
      </c>
      <c r="E292" s="5">
        <v>151.0</v>
      </c>
      <c r="F292" s="5">
        <v>65.0</v>
      </c>
      <c r="G292" s="5">
        <v>6.0</v>
      </c>
      <c r="H292" s="5">
        <v>4.0</v>
      </c>
    </row>
    <row r="293" ht="15.75" customHeight="1">
      <c r="A293" s="22" t="str">
        <f t="shared" si="2"/>
        <v>lunes</v>
      </c>
      <c r="B293" s="24" t="str">
        <f t="shared" si="3"/>
        <v>marzo</v>
      </c>
      <c r="C293" s="37">
        <v>46111.0</v>
      </c>
      <c r="D293" s="28" t="s">
        <v>39</v>
      </c>
      <c r="E293" s="5">
        <v>66.0</v>
      </c>
      <c r="F293" s="5">
        <v>41.0</v>
      </c>
      <c r="G293" s="5">
        <v>1.0</v>
      </c>
      <c r="H293" s="5">
        <v>8.0</v>
      </c>
    </row>
    <row r="294" ht="15.75" customHeight="1">
      <c r="A294" s="22" t="str">
        <f t="shared" si="2"/>
        <v>lunes</v>
      </c>
      <c r="B294" s="24" t="str">
        <f t="shared" si="3"/>
        <v>marzo</v>
      </c>
      <c r="C294" s="37">
        <v>46111.0</v>
      </c>
      <c r="D294" s="28" t="s">
        <v>41</v>
      </c>
      <c r="E294" s="5">
        <v>100.0</v>
      </c>
      <c r="F294" s="5">
        <v>76.0</v>
      </c>
      <c r="G294" s="5">
        <v>1.0</v>
      </c>
      <c r="H294" s="5">
        <v>6.0</v>
      </c>
    </row>
    <row r="295" ht="15.75" customHeight="1">
      <c r="A295" s="22" t="str">
        <f t="shared" si="2"/>
        <v>lunes</v>
      </c>
      <c r="B295" s="24" t="str">
        <f t="shared" si="3"/>
        <v>marzo</v>
      </c>
      <c r="C295" s="37">
        <v>46111.0</v>
      </c>
      <c r="D295" s="28" t="s">
        <v>42</v>
      </c>
      <c r="E295" s="5">
        <v>77.0</v>
      </c>
      <c r="F295" s="5">
        <v>41.0</v>
      </c>
      <c r="G295" s="5">
        <v>5.0</v>
      </c>
      <c r="H295" s="5">
        <v>20.0</v>
      </c>
    </row>
    <row r="296" ht="15.75" customHeight="1">
      <c r="A296" s="22" t="str">
        <f t="shared" si="2"/>
        <v>lunes</v>
      </c>
      <c r="B296" s="24" t="str">
        <f t="shared" si="3"/>
        <v>marzo</v>
      </c>
      <c r="C296" s="37">
        <v>46111.0</v>
      </c>
      <c r="D296" s="28" t="s">
        <v>44</v>
      </c>
      <c r="E296" s="5">
        <v>31.0</v>
      </c>
      <c r="F296" s="5">
        <v>33.0</v>
      </c>
      <c r="G296" s="5">
        <v>0.0</v>
      </c>
      <c r="H296" s="5">
        <v>0.0</v>
      </c>
    </row>
    <row r="297" ht="15.75" customHeight="1">
      <c r="A297" s="22" t="str">
        <f t="shared" si="2"/>
        <v>lunes</v>
      </c>
      <c r="B297" s="24" t="str">
        <f t="shared" si="3"/>
        <v>marzo</v>
      </c>
      <c r="C297" s="37">
        <v>46111.0</v>
      </c>
      <c r="D297" s="5" t="s">
        <v>89</v>
      </c>
      <c r="E297" s="5">
        <v>104.0</v>
      </c>
      <c r="F297" s="5">
        <v>60.0</v>
      </c>
      <c r="G297" s="5">
        <v>0.0</v>
      </c>
      <c r="H297" s="5">
        <v>0.0</v>
      </c>
    </row>
    <row r="298" ht="15.75" customHeight="1">
      <c r="A298" s="22" t="str">
        <f t="shared" si="2"/>
        <v>lunes</v>
      </c>
      <c r="B298" s="24" t="str">
        <f t="shared" si="3"/>
        <v>marzo</v>
      </c>
      <c r="C298" s="37">
        <v>46111.0</v>
      </c>
      <c r="D298" s="5" t="s">
        <v>90</v>
      </c>
      <c r="E298" s="5">
        <v>61.0</v>
      </c>
      <c r="F298" s="5">
        <v>42.0</v>
      </c>
      <c r="G298" s="5">
        <v>0.0</v>
      </c>
      <c r="H298" s="5">
        <v>0.0</v>
      </c>
    </row>
    <row r="299" ht="15.75" customHeight="1">
      <c r="A299" s="22" t="str">
        <f t="shared" si="2"/>
        <v>lunes</v>
      </c>
      <c r="B299" s="24" t="str">
        <f t="shared" si="3"/>
        <v>marzo</v>
      </c>
      <c r="C299" s="37">
        <v>46111.0</v>
      </c>
      <c r="D299" s="5" t="s">
        <v>93</v>
      </c>
      <c r="E299" s="5">
        <v>87.0</v>
      </c>
      <c r="F299" s="5">
        <v>67.0</v>
      </c>
      <c r="G299" s="5">
        <v>0.0</v>
      </c>
      <c r="H299" s="5">
        <v>0.0</v>
      </c>
    </row>
    <row r="300" ht="15.75" customHeight="1">
      <c r="A300" s="22" t="str">
        <f t="shared" si="2"/>
        <v>lunes</v>
      </c>
      <c r="B300" s="24" t="str">
        <f t="shared" si="3"/>
        <v>marzo</v>
      </c>
      <c r="C300" s="37">
        <v>46111.0</v>
      </c>
      <c r="D300" s="28" t="s">
        <v>58</v>
      </c>
      <c r="E300" s="5">
        <v>68.0</v>
      </c>
      <c r="F300" s="5">
        <v>30.0</v>
      </c>
      <c r="G300" s="5">
        <v>3.0</v>
      </c>
      <c r="H300" s="5">
        <v>7.0</v>
      </c>
    </row>
    <row r="301" ht="15.75" customHeight="1">
      <c r="A301" s="22" t="str">
        <f t="shared" si="2"/>
        <v>lunes</v>
      </c>
      <c r="B301" s="24" t="str">
        <f t="shared" si="3"/>
        <v>marzo</v>
      </c>
      <c r="C301" s="37">
        <v>46111.0</v>
      </c>
      <c r="D301" s="28" t="s">
        <v>64</v>
      </c>
      <c r="E301" s="5">
        <v>154.0</v>
      </c>
      <c r="F301" s="5">
        <v>93.0</v>
      </c>
      <c r="G301" s="5">
        <v>2.0</v>
      </c>
      <c r="H301" s="5">
        <v>8.0</v>
      </c>
    </row>
    <row r="302" ht="15.75" customHeight="1">
      <c r="A302" s="22" t="str">
        <f t="shared" si="2"/>
        <v>lunes</v>
      </c>
      <c r="B302" s="24" t="str">
        <f t="shared" si="3"/>
        <v>marzo</v>
      </c>
      <c r="C302" s="37">
        <v>46111.0</v>
      </c>
      <c r="D302" s="28" t="s">
        <v>65</v>
      </c>
      <c r="E302" s="5">
        <v>80.0</v>
      </c>
      <c r="F302" s="5">
        <v>63.0</v>
      </c>
      <c r="G302" s="5">
        <v>1.0</v>
      </c>
      <c r="H302" s="5">
        <v>0.0</v>
      </c>
    </row>
    <row r="303" ht="15.75" customHeight="1">
      <c r="A303" s="22" t="str">
        <f t="shared" si="2"/>
        <v>lunes</v>
      </c>
      <c r="B303" s="24" t="str">
        <f t="shared" si="3"/>
        <v>marzo</v>
      </c>
      <c r="C303" s="37">
        <v>46111.0</v>
      </c>
      <c r="D303" s="28" t="s">
        <v>60</v>
      </c>
      <c r="E303" s="5">
        <v>140.0</v>
      </c>
      <c r="F303" s="5">
        <v>59.0</v>
      </c>
      <c r="G303" s="5">
        <v>3.0</v>
      </c>
      <c r="H303" s="5">
        <v>15.0</v>
      </c>
    </row>
    <row r="304" ht="15.75" customHeight="1">
      <c r="A304" s="22" t="str">
        <f t="shared" si="2"/>
        <v>lunes</v>
      </c>
      <c r="B304" s="24" t="str">
        <f t="shared" si="3"/>
        <v>marzo</v>
      </c>
      <c r="C304" s="37">
        <v>46111.0</v>
      </c>
      <c r="D304" s="28" t="s">
        <v>66</v>
      </c>
      <c r="E304" s="5">
        <v>79.0</v>
      </c>
      <c r="F304" s="5">
        <v>68.0</v>
      </c>
      <c r="G304" s="5">
        <v>2.0</v>
      </c>
      <c r="H304" s="5">
        <v>3.0</v>
      </c>
    </row>
    <row r="305" ht="15.75" customHeight="1">
      <c r="A305" s="22" t="str">
        <f t="shared" si="2"/>
        <v>martes</v>
      </c>
      <c r="B305" s="24" t="str">
        <f t="shared" si="3"/>
        <v>marzo</v>
      </c>
      <c r="C305" s="37">
        <v>46112.0</v>
      </c>
      <c r="D305" s="28" t="s">
        <v>39</v>
      </c>
      <c r="E305" s="5">
        <v>80.0</v>
      </c>
      <c r="F305" s="5">
        <v>50.0</v>
      </c>
      <c r="G305" s="5">
        <v>1.0</v>
      </c>
      <c r="H305" s="5">
        <v>4.0</v>
      </c>
    </row>
    <row r="306" ht="15.75" customHeight="1">
      <c r="A306" s="22" t="str">
        <f t="shared" si="2"/>
        <v>martes</v>
      </c>
      <c r="B306" s="24" t="str">
        <f t="shared" si="3"/>
        <v>marzo</v>
      </c>
      <c r="C306" s="37">
        <v>46112.0</v>
      </c>
      <c r="D306" s="5" t="s">
        <v>89</v>
      </c>
      <c r="E306" s="5">
        <v>116.0</v>
      </c>
      <c r="F306" s="5">
        <v>49.0</v>
      </c>
      <c r="G306" s="5">
        <v>0.0</v>
      </c>
      <c r="H306" s="5">
        <v>0.0</v>
      </c>
    </row>
    <row r="307" ht="15.75" customHeight="1">
      <c r="A307" s="22" t="str">
        <f t="shared" si="2"/>
        <v>martes</v>
      </c>
      <c r="B307" s="24" t="str">
        <f t="shared" si="3"/>
        <v>marzo</v>
      </c>
      <c r="C307" s="37">
        <v>46112.0</v>
      </c>
      <c r="D307" s="5" t="s">
        <v>90</v>
      </c>
      <c r="E307" s="5">
        <v>91.0</v>
      </c>
      <c r="F307" s="5">
        <v>67.0</v>
      </c>
      <c r="G307" s="5">
        <v>0.0</v>
      </c>
      <c r="H307" s="5">
        <v>0.0</v>
      </c>
    </row>
    <row r="308" ht="15.75" customHeight="1">
      <c r="A308" s="22" t="str">
        <f t="shared" si="2"/>
        <v>martes</v>
      </c>
      <c r="B308" s="24" t="str">
        <f t="shared" si="3"/>
        <v>marzo</v>
      </c>
      <c r="C308" s="37">
        <v>46112.0</v>
      </c>
      <c r="D308" s="28" t="s">
        <v>59</v>
      </c>
      <c r="E308" s="5">
        <v>74.0</v>
      </c>
      <c r="F308" s="5">
        <v>62.0</v>
      </c>
      <c r="G308" s="5">
        <v>3.0</v>
      </c>
      <c r="H308" s="5">
        <v>0.0</v>
      </c>
    </row>
    <row r="309" ht="15.75" customHeight="1">
      <c r="A309" s="22" t="str">
        <f t="shared" si="2"/>
        <v>martes</v>
      </c>
      <c r="B309" s="24" t="str">
        <f t="shared" si="3"/>
        <v>marzo</v>
      </c>
      <c r="C309" s="37">
        <v>46112.0</v>
      </c>
      <c r="D309" s="5" t="s">
        <v>46</v>
      </c>
      <c r="E309" s="5">
        <v>98.0</v>
      </c>
      <c r="F309" s="5">
        <v>58.0</v>
      </c>
      <c r="G309" s="5">
        <v>5.0</v>
      </c>
      <c r="H309" s="5">
        <v>8.0</v>
      </c>
    </row>
    <row r="310" ht="15.75" customHeight="1">
      <c r="A310" s="22" t="str">
        <f t="shared" si="2"/>
        <v>martes</v>
      </c>
      <c r="B310" s="24" t="str">
        <f t="shared" si="3"/>
        <v>marzo</v>
      </c>
      <c r="C310" s="37">
        <v>46112.0</v>
      </c>
      <c r="D310" s="5" t="s">
        <v>93</v>
      </c>
      <c r="E310" s="5">
        <v>124.0</v>
      </c>
      <c r="F310" s="5">
        <v>91.0</v>
      </c>
      <c r="G310" s="5">
        <v>0.0</v>
      </c>
      <c r="H310" s="5">
        <v>0.0</v>
      </c>
    </row>
    <row r="311" ht="15.75" customHeight="1">
      <c r="A311" s="22" t="str">
        <f t="shared" si="2"/>
        <v>martes</v>
      </c>
      <c r="B311" s="24" t="str">
        <f t="shared" si="3"/>
        <v>marzo</v>
      </c>
      <c r="C311" s="37">
        <v>46112.0</v>
      </c>
      <c r="D311" s="28" t="s">
        <v>58</v>
      </c>
      <c r="E311" s="5">
        <v>99.0</v>
      </c>
      <c r="F311" s="5">
        <v>47.0</v>
      </c>
      <c r="G311" s="5">
        <v>3.0</v>
      </c>
      <c r="H311" s="5">
        <v>6.0</v>
      </c>
    </row>
    <row r="312" ht="15.75" customHeight="1">
      <c r="A312" s="22" t="str">
        <f t="shared" si="2"/>
        <v>martes</v>
      </c>
      <c r="B312" s="24" t="str">
        <f t="shared" si="3"/>
        <v>marzo</v>
      </c>
      <c r="C312" s="37">
        <v>46112.0</v>
      </c>
      <c r="D312" s="28" t="s">
        <v>64</v>
      </c>
      <c r="E312" s="5">
        <v>164.0</v>
      </c>
      <c r="F312" s="5">
        <v>94.0</v>
      </c>
      <c r="G312" s="5">
        <v>13.0</v>
      </c>
      <c r="H312" s="5">
        <v>8.0</v>
      </c>
    </row>
    <row r="313" ht="15.75" customHeight="1">
      <c r="A313" s="22" t="str">
        <f t="shared" si="2"/>
        <v>martes</v>
      </c>
      <c r="B313" s="24" t="str">
        <f t="shared" si="3"/>
        <v>marzo</v>
      </c>
      <c r="C313" s="37">
        <v>46112.0</v>
      </c>
      <c r="D313" s="28" t="s">
        <v>65</v>
      </c>
      <c r="E313" s="5">
        <v>77.0</v>
      </c>
      <c r="F313" s="5">
        <v>66.0</v>
      </c>
      <c r="G313" s="5">
        <v>2.0</v>
      </c>
      <c r="H313" s="5">
        <v>2.0</v>
      </c>
    </row>
    <row r="314" ht="15.75" customHeight="1">
      <c r="A314" s="22" t="str">
        <f t="shared" si="2"/>
        <v>martes</v>
      </c>
      <c r="B314" s="24" t="str">
        <f t="shared" si="3"/>
        <v>marzo</v>
      </c>
      <c r="C314" s="37">
        <v>46112.0</v>
      </c>
      <c r="D314" s="28" t="s">
        <v>66</v>
      </c>
      <c r="E314" s="5">
        <v>90.0</v>
      </c>
      <c r="F314" s="5">
        <v>85.0</v>
      </c>
      <c r="G314" s="5">
        <v>2.0</v>
      </c>
      <c r="H314" s="5">
        <v>4.0</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0:$R$65"/>
  <mergeCells count="25">
    <mergeCell ref="J1:K1"/>
    <mergeCell ref="J2:N2"/>
    <mergeCell ref="O2:P2"/>
    <mergeCell ref="Q2:R2"/>
    <mergeCell ref="S2:S3"/>
    <mergeCell ref="Z2:AA2"/>
    <mergeCell ref="J22:R22"/>
    <mergeCell ref="AJ54:AK54"/>
    <mergeCell ref="AL54:AM54"/>
    <mergeCell ref="K23:N23"/>
    <mergeCell ref="O23:P23"/>
    <mergeCell ref="Q23:R23"/>
    <mergeCell ref="J49:N49"/>
    <mergeCell ref="O49:P49"/>
    <mergeCell ref="Q49:R49"/>
    <mergeCell ref="AF54:AI54"/>
    <mergeCell ref="AJ68:AK68"/>
    <mergeCell ref="AL68:AM68"/>
    <mergeCell ref="V55:Y55"/>
    <mergeCell ref="Z55:AA55"/>
    <mergeCell ref="AB55:AC55"/>
    <mergeCell ref="V68:Y68"/>
    <mergeCell ref="Z68:AA68"/>
    <mergeCell ref="AB68:AC68"/>
    <mergeCell ref="AF68:AI68"/>
  </mergeCells>
  <conditionalFormatting sqref="P4:P18">
    <cfRule type="colorScale" priority="1">
      <colorScale>
        <cfvo type="min"/>
        <cfvo type="percentile" val="50"/>
        <cfvo type="max"/>
        <color rgb="FFEA9999"/>
        <color rgb="FFFFD666"/>
        <color rgb="FF93C47D"/>
      </colorScale>
    </cfRule>
  </conditionalFormatting>
  <conditionalFormatting sqref="Q4:Q18">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93C47D"/>
      </colorScale>
    </cfRule>
  </conditionalFormatting>
  <conditionalFormatting sqref="R4:R18">
    <cfRule type="colorScale" priority="4">
      <colorScale>
        <cfvo type="min"/>
        <cfvo type="percentile" val="50"/>
        <cfvo type="max"/>
        <color rgb="FFEA9999"/>
        <color rgb="FFFFD666"/>
        <color rgb="FF93C47D"/>
      </colorScale>
    </cfRule>
  </conditionalFormatting>
  <conditionalFormatting sqref="M4:M18">
    <cfRule type="colorScale" priority="5">
      <colorScale>
        <cfvo type="min"/>
        <cfvo type="percentile" val="50"/>
        <cfvo type="max"/>
        <color rgb="FFDD7E6B"/>
        <color rgb="FFFFD666"/>
        <color rgb="FF6AA84F"/>
      </colorScale>
    </cfRule>
  </conditionalFormatting>
  <conditionalFormatting sqref="N4:N18">
    <cfRule type="colorScale" priority="6">
      <colorScale>
        <cfvo type="min"/>
        <cfvo type="percentile" val="50"/>
        <cfvo type="max"/>
        <color rgb="FFEA9999"/>
        <color rgb="FFFFD666"/>
        <color rgb="FF6AA84F"/>
      </colorScale>
    </cfRule>
  </conditionalFormatting>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5" t="s">
        <v>109</v>
      </c>
      <c r="D1" s="6" t="s">
        <v>5</v>
      </c>
      <c r="J1" s="9">
        <v>46054.0</v>
      </c>
    </row>
    <row r="2" ht="15.75" customHeight="1">
      <c r="D2" s="6" t="s">
        <v>110</v>
      </c>
      <c r="J2" s="12" t="s">
        <v>111</v>
      </c>
      <c r="O2" s="13" t="s">
        <v>18</v>
      </c>
      <c r="Q2" s="13" t="s">
        <v>19</v>
      </c>
      <c r="S2" s="14" t="s">
        <v>20</v>
      </c>
      <c r="Z2" s="10" t="s">
        <v>9</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0" t="s">
        <v>25</v>
      </c>
      <c r="AA3" s="20" t="s">
        <v>37</v>
      </c>
    </row>
    <row r="4" ht="15.75" customHeight="1">
      <c r="A4" s="22" t="str">
        <f t="shared" ref="A4:A276" si="2">TEXT(C4,"dddd")</f>
        <v>domingo</v>
      </c>
      <c r="B4" s="24" t="str">
        <f t="shared" ref="B4:B276" si="3">TEXT(C4,"mmmm")</f>
        <v>febrero</v>
      </c>
      <c r="C4" s="37">
        <v>46054.0</v>
      </c>
      <c r="D4" s="26" t="s">
        <v>39</v>
      </c>
      <c r="E4" s="27">
        <v>123.0</v>
      </c>
      <c r="F4" s="27">
        <v>45.0</v>
      </c>
      <c r="G4" s="27">
        <v>1.0</v>
      </c>
      <c r="H4" s="27">
        <v>8.0</v>
      </c>
      <c r="J4" s="28" t="s">
        <v>39</v>
      </c>
      <c r="K4" s="23">
        <f t="shared" ref="K4:K18" si="4">AVERAGEIF($D$4:$D$350,J4,$E$4:$E$350)</f>
        <v>81.9</v>
      </c>
      <c r="L4" s="23">
        <f t="shared" ref="L4:L18" si="5">AVERAGEIF($D$4:$D$350,J4,$F$4:$F$350)</f>
        <v>39.6</v>
      </c>
      <c r="M4" s="23">
        <f t="shared" ref="M4:M18" si="6">AVERAGEIF($D$4:$D$350,J4,$G$4:$G$350)</f>
        <v>2.4</v>
      </c>
      <c r="N4" s="23">
        <f t="shared" ref="N4:N18" si="7">AVERAGEIF($D$4:$D$350,J4,$H$4:$H$350)</f>
        <v>10.4</v>
      </c>
      <c r="O4" s="29">
        <f t="shared" ref="O4:O18" si="8">K4/S4</f>
        <v>10.2375</v>
      </c>
      <c r="P4" s="29">
        <f t="shared" ref="P4:P18" si="9">L4/S4</f>
        <v>4.95</v>
      </c>
      <c r="Q4" s="23">
        <f t="shared" ref="Q4:Q18" si="10">K4*T4</f>
        <v>409.5</v>
      </c>
      <c r="R4" s="23">
        <f t="shared" ref="R4:R18" si="11">L4*T4</f>
        <v>198</v>
      </c>
      <c r="S4" s="30">
        <v>8.0</v>
      </c>
      <c r="T4" s="30">
        <v>5.0</v>
      </c>
      <c r="Z4" s="23">
        <f t="shared" ref="Z4:AA4" si="1">V4/4</f>
        <v>0</v>
      </c>
      <c r="AA4" s="23">
        <f t="shared" si="1"/>
        <v>0</v>
      </c>
    </row>
    <row r="5" ht="15.75" customHeight="1">
      <c r="A5" s="22" t="str">
        <f t="shared" si="2"/>
        <v>domingo</v>
      </c>
      <c r="B5" s="24" t="str">
        <f t="shared" si="3"/>
        <v>febrero</v>
      </c>
      <c r="C5" s="37">
        <v>46054.0</v>
      </c>
      <c r="D5" s="22" t="s">
        <v>116</v>
      </c>
      <c r="E5" s="27">
        <v>50.0</v>
      </c>
      <c r="F5" s="27">
        <v>36.0</v>
      </c>
      <c r="G5" s="27">
        <v>8.0</v>
      </c>
      <c r="H5" s="27">
        <v>2.0</v>
      </c>
      <c r="J5" s="28" t="s">
        <v>40</v>
      </c>
      <c r="K5" s="23">
        <f t="shared" si="4"/>
        <v>74.125</v>
      </c>
      <c r="L5" s="23">
        <f t="shared" si="5"/>
        <v>41.1875</v>
      </c>
      <c r="M5" s="23">
        <f t="shared" si="6"/>
        <v>4.375</v>
      </c>
      <c r="N5" s="23">
        <f t="shared" si="7"/>
        <v>6.6875</v>
      </c>
      <c r="O5" s="29">
        <f t="shared" si="8"/>
        <v>7.4125</v>
      </c>
      <c r="P5" s="29">
        <f t="shared" si="9"/>
        <v>4.11875</v>
      </c>
      <c r="Q5" s="23">
        <f t="shared" si="10"/>
        <v>296.5</v>
      </c>
      <c r="R5" s="23">
        <f t="shared" si="11"/>
        <v>164.75</v>
      </c>
      <c r="S5" s="30">
        <v>10.0</v>
      </c>
      <c r="T5" s="30">
        <v>4.0</v>
      </c>
      <c r="V5" s="59"/>
      <c r="W5" s="59"/>
      <c r="X5" s="59"/>
      <c r="Y5" s="59"/>
      <c r="Z5" s="23">
        <f t="shared" ref="Z5:AA5" si="12">V5/4</f>
        <v>0</v>
      </c>
      <c r="AA5" s="23">
        <f t="shared" si="12"/>
        <v>0</v>
      </c>
    </row>
    <row r="6" ht="15.75" customHeight="1">
      <c r="A6" s="22" t="str">
        <f t="shared" si="2"/>
        <v>domingo</v>
      </c>
      <c r="B6" s="24" t="str">
        <f t="shared" si="3"/>
        <v>febrero</v>
      </c>
      <c r="C6" s="37">
        <v>46054.0</v>
      </c>
      <c r="D6" s="26" t="s">
        <v>40</v>
      </c>
      <c r="E6" s="27">
        <v>75.0</v>
      </c>
      <c r="F6" s="27">
        <v>35.0</v>
      </c>
      <c r="G6" s="27">
        <v>7.0</v>
      </c>
      <c r="H6" s="27">
        <v>7.0</v>
      </c>
      <c r="J6" s="28" t="s">
        <v>44</v>
      </c>
      <c r="K6" s="23">
        <f t="shared" si="4"/>
        <v>62.66666667</v>
      </c>
      <c r="L6" s="23">
        <f t="shared" si="5"/>
        <v>62.66666667</v>
      </c>
      <c r="M6" s="23">
        <f t="shared" si="6"/>
        <v>0</v>
      </c>
      <c r="N6" s="23">
        <f t="shared" si="7"/>
        <v>0</v>
      </c>
      <c r="O6" s="29">
        <f t="shared" si="8"/>
        <v>5.696969697</v>
      </c>
      <c r="P6" s="29">
        <f t="shared" si="9"/>
        <v>5.696969697</v>
      </c>
      <c r="Q6" s="23">
        <f t="shared" si="10"/>
        <v>250.6666667</v>
      </c>
      <c r="R6" s="23">
        <f t="shared" si="11"/>
        <v>250.6666667</v>
      </c>
      <c r="S6" s="30">
        <v>11.0</v>
      </c>
      <c r="T6" s="30">
        <v>4.0</v>
      </c>
      <c r="V6" s="59"/>
      <c r="W6" s="59"/>
      <c r="X6" s="59"/>
      <c r="Y6" s="59"/>
      <c r="Z6" s="23">
        <f t="shared" ref="Z6:AA6" si="13">V6/4</f>
        <v>0</v>
      </c>
      <c r="AA6" s="23">
        <f t="shared" si="13"/>
        <v>0</v>
      </c>
    </row>
    <row r="7" ht="15.75" customHeight="1">
      <c r="A7" s="22" t="str">
        <f t="shared" si="2"/>
        <v>domingo</v>
      </c>
      <c r="B7" s="24" t="str">
        <f t="shared" si="3"/>
        <v>febrero</v>
      </c>
      <c r="C7" s="37">
        <v>46054.0</v>
      </c>
      <c r="D7" s="22" t="s">
        <v>43</v>
      </c>
      <c r="E7" s="27">
        <v>76.0</v>
      </c>
      <c r="F7" s="27">
        <v>50.0</v>
      </c>
      <c r="G7" s="27">
        <v>5.0</v>
      </c>
      <c r="H7" s="27">
        <v>13.0</v>
      </c>
      <c r="J7" s="28" t="s">
        <v>59</v>
      </c>
      <c r="K7" s="23">
        <f t="shared" si="4"/>
        <v>100.4444444</v>
      </c>
      <c r="L7" s="23">
        <f t="shared" si="5"/>
        <v>83.11111111</v>
      </c>
      <c r="M7" s="23">
        <f t="shared" si="6"/>
        <v>2.444444444</v>
      </c>
      <c r="N7" s="23">
        <f t="shared" si="7"/>
        <v>1</v>
      </c>
      <c r="O7" s="29">
        <f t="shared" si="8"/>
        <v>9.131313131</v>
      </c>
      <c r="P7" s="29">
        <f t="shared" si="9"/>
        <v>7.555555556</v>
      </c>
      <c r="Q7" s="23">
        <f t="shared" si="10"/>
        <v>401.7777778</v>
      </c>
      <c r="R7" s="23">
        <f t="shared" si="11"/>
        <v>332.4444444</v>
      </c>
      <c r="S7" s="30">
        <v>11.0</v>
      </c>
      <c r="T7" s="30">
        <v>4.0</v>
      </c>
      <c r="V7" s="59"/>
      <c r="W7" s="59"/>
      <c r="X7" s="59"/>
      <c r="Y7" s="59"/>
      <c r="Z7" s="23">
        <f t="shared" ref="Z7:AA7" si="14">V7/4</f>
        <v>0</v>
      </c>
      <c r="AA7" s="23">
        <f t="shared" si="14"/>
        <v>0</v>
      </c>
    </row>
    <row r="8" ht="15.75" customHeight="1">
      <c r="A8" s="22" t="str">
        <f t="shared" si="2"/>
        <v>domingo</v>
      </c>
      <c r="B8" s="24" t="str">
        <f t="shared" si="3"/>
        <v>febrero</v>
      </c>
      <c r="C8" s="37">
        <v>46054.0</v>
      </c>
      <c r="D8" s="26" t="s">
        <v>59</v>
      </c>
      <c r="E8" s="27">
        <v>95.0</v>
      </c>
      <c r="F8" s="27">
        <v>66.0</v>
      </c>
      <c r="G8" s="27">
        <v>4.0</v>
      </c>
      <c r="H8" s="27">
        <v>1.0</v>
      </c>
      <c r="J8" s="28" t="s">
        <v>52</v>
      </c>
      <c r="K8" s="23">
        <f t="shared" si="4"/>
        <v>53.23076923</v>
      </c>
      <c r="L8" s="23">
        <f t="shared" si="5"/>
        <v>38.15384615</v>
      </c>
      <c r="M8" s="23">
        <f t="shared" si="6"/>
        <v>4.153846154</v>
      </c>
      <c r="N8" s="23">
        <f t="shared" si="7"/>
        <v>5.076923077</v>
      </c>
      <c r="O8" s="29">
        <f t="shared" si="8"/>
        <v>5.323076923</v>
      </c>
      <c r="P8" s="29">
        <f t="shared" si="9"/>
        <v>3.815384615</v>
      </c>
      <c r="Q8" s="23">
        <f t="shared" si="10"/>
        <v>212.9230769</v>
      </c>
      <c r="R8" s="23">
        <f t="shared" si="11"/>
        <v>152.6153846</v>
      </c>
      <c r="S8" s="30">
        <v>10.0</v>
      </c>
      <c r="T8" s="30">
        <v>4.0</v>
      </c>
      <c r="V8" s="59"/>
      <c r="W8" s="59"/>
      <c r="X8" s="59"/>
      <c r="Y8" s="59"/>
      <c r="Z8" s="23">
        <f t="shared" ref="Z8:AA8" si="15">V8/4</f>
        <v>0</v>
      </c>
      <c r="AA8" s="23">
        <f t="shared" si="15"/>
        <v>0</v>
      </c>
    </row>
    <row r="9" ht="15.75" customHeight="1">
      <c r="A9" s="22" t="str">
        <f t="shared" si="2"/>
        <v>domingo</v>
      </c>
      <c r="B9" s="24" t="str">
        <f t="shared" si="3"/>
        <v>febrero</v>
      </c>
      <c r="C9" s="37">
        <v>46054.0</v>
      </c>
      <c r="D9" s="26" t="s">
        <v>52</v>
      </c>
      <c r="E9" s="27">
        <v>80.0</v>
      </c>
      <c r="F9" s="27">
        <v>41.0</v>
      </c>
      <c r="G9" s="27">
        <v>6.0</v>
      </c>
      <c r="H9" s="27">
        <v>10.0</v>
      </c>
      <c r="J9" s="28" t="s">
        <v>53</v>
      </c>
      <c r="K9" s="23">
        <f t="shared" si="4"/>
        <v>103.9333333</v>
      </c>
      <c r="L9" s="23">
        <f t="shared" si="5"/>
        <v>65.93333333</v>
      </c>
      <c r="M9" s="23">
        <f t="shared" si="6"/>
        <v>1.417777778</v>
      </c>
      <c r="N9" s="23">
        <f t="shared" si="7"/>
        <v>7.008888889</v>
      </c>
      <c r="O9" s="29">
        <f t="shared" si="8"/>
        <v>10.39333333</v>
      </c>
      <c r="P9" s="29">
        <f t="shared" si="9"/>
        <v>6.593333333</v>
      </c>
      <c r="Q9" s="23">
        <f t="shared" si="10"/>
        <v>415.7333333</v>
      </c>
      <c r="R9" s="23">
        <f t="shared" si="11"/>
        <v>263.7333333</v>
      </c>
      <c r="S9" s="30">
        <v>10.0</v>
      </c>
      <c r="T9" s="30">
        <v>4.0</v>
      </c>
      <c r="V9" s="59"/>
      <c r="W9" s="59"/>
      <c r="X9" s="59"/>
      <c r="Y9" s="59"/>
      <c r="Z9" s="23">
        <f t="shared" ref="Z9:AA9" si="16">V9/4</f>
        <v>0</v>
      </c>
      <c r="AA9" s="23">
        <f t="shared" si="16"/>
        <v>0</v>
      </c>
    </row>
    <row r="10" ht="15.75" customHeight="1">
      <c r="A10" s="22" t="str">
        <f t="shared" si="2"/>
        <v>domingo</v>
      </c>
      <c r="B10" s="24" t="str">
        <f t="shared" si="3"/>
        <v>febrero</v>
      </c>
      <c r="C10" s="37">
        <v>46054.0</v>
      </c>
      <c r="D10" s="26" t="s">
        <v>53</v>
      </c>
      <c r="E10" s="27">
        <v>104.0</v>
      </c>
      <c r="F10" s="27">
        <v>59.0</v>
      </c>
      <c r="G10" s="27">
        <v>3.0</v>
      </c>
      <c r="H10" s="27">
        <v>5.0</v>
      </c>
      <c r="J10" s="28" t="s">
        <v>60</v>
      </c>
      <c r="K10" s="23">
        <f t="shared" si="4"/>
        <v>148.75</v>
      </c>
      <c r="L10" s="23">
        <f t="shared" si="5"/>
        <v>85</v>
      </c>
      <c r="M10" s="23">
        <f t="shared" si="6"/>
        <v>4.5</v>
      </c>
      <c r="N10" s="23">
        <f t="shared" si="7"/>
        <v>5.75</v>
      </c>
      <c r="O10" s="29">
        <f t="shared" si="8"/>
        <v>14.875</v>
      </c>
      <c r="P10" s="29">
        <f t="shared" si="9"/>
        <v>8.5</v>
      </c>
      <c r="Q10" s="23">
        <f t="shared" si="10"/>
        <v>595</v>
      </c>
      <c r="R10" s="23">
        <f t="shared" si="11"/>
        <v>340</v>
      </c>
      <c r="S10" s="30">
        <v>10.0</v>
      </c>
      <c r="T10" s="30">
        <v>4.0</v>
      </c>
      <c r="V10" s="59"/>
      <c r="W10" s="59"/>
      <c r="X10" s="59"/>
      <c r="Y10" s="59"/>
      <c r="Z10" s="23">
        <f t="shared" ref="Z10:AA10" si="17">V10/4</f>
        <v>0</v>
      </c>
      <c r="AA10" s="23">
        <f t="shared" si="17"/>
        <v>0</v>
      </c>
    </row>
    <row r="11" ht="15.75" customHeight="1">
      <c r="A11" s="22" t="str">
        <f t="shared" si="2"/>
        <v>domingo</v>
      </c>
      <c r="B11" s="24" t="str">
        <f t="shared" si="3"/>
        <v>febrero</v>
      </c>
      <c r="C11" s="37">
        <v>46054.0</v>
      </c>
      <c r="D11" s="26" t="s">
        <v>60</v>
      </c>
      <c r="E11" s="27">
        <v>191.0</v>
      </c>
      <c r="F11" s="27">
        <v>155.0</v>
      </c>
      <c r="G11" s="27">
        <v>10.0</v>
      </c>
      <c r="H11" s="27">
        <v>5.0</v>
      </c>
      <c r="J11" s="28" t="s">
        <v>41</v>
      </c>
      <c r="K11" s="23">
        <f t="shared" si="4"/>
        <v>102.6428571</v>
      </c>
      <c r="L11" s="23">
        <f t="shared" si="5"/>
        <v>71.64285714</v>
      </c>
      <c r="M11" s="23">
        <f t="shared" si="6"/>
        <v>1.857142857</v>
      </c>
      <c r="N11" s="23">
        <f t="shared" si="7"/>
        <v>11</v>
      </c>
      <c r="O11" s="29">
        <f t="shared" si="8"/>
        <v>9.331168831</v>
      </c>
      <c r="P11" s="29">
        <f t="shared" si="9"/>
        <v>6.512987013</v>
      </c>
      <c r="Q11" s="23">
        <f t="shared" si="10"/>
        <v>410.5714286</v>
      </c>
      <c r="R11" s="23">
        <f t="shared" si="11"/>
        <v>286.5714286</v>
      </c>
      <c r="S11" s="30">
        <v>11.0</v>
      </c>
      <c r="T11" s="30">
        <v>4.0</v>
      </c>
      <c r="V11" s="59"/>
      <c r="W11" s="59"/>
      <c r="X11" s="59"/>
      <c r="Y11" s="59"/>
      <c r="Z11" s="23">
        <f t="shared" ref="Z11:AA11" si="18">V11/4</f>
        <v>0</v>
      </c>
      <c r="AA11" s="23">
        <f t="shared" si="18"/>
        <v>0</v>
      </c>
    </row>
    <row r="12" ht="15.75" customHeight="1">
      <c r="A12" s="22" t="str">
        <f t="shared" si="2"/>
        <v>lunes</v>
      </c>
      <c r="B12" s="24" t="str">
        <f t="shared" si="3"/>
        <v>febrero</v>
      </c>
      <c r="C12" s="37">
        <v>46055.0</v>
      </c>
      <c r="D12" s="26" t="s">
        <v>39</v>
      </c>
      <c r="E12" s="27">
        <v>89.0</v>
      </c>
      <c r="F12" s="27">
        <v>54.0</v>
      </c>
      <c r="G12" s="27">
        <v>1.0</v>
      </c>
      <c r="H12" s="27">
        <v>14.0</v>
      </c>
      <c r="J12" s="28" t="s">
        <v>42</v>
      </c>
      <c r="K12" s="23">
        <f t="shared" si="4"/>
        <v>97.58333333</v>
      </c>
      <c r="L12" s="23">
        <f t="shared" si="5"/>
        <v>58.08333333</v>
      </c>
      <c r="M12" s="23">
        <f t="shared" si="6"/>
        <v>4.166666667</v>
      </c>
      <c r="N12" s="23">
        <f t="shared" si="7"/>
        <v>18.75</v>
      </c>
      <c r="O12" s="29">
        <f t="shared" si="8"/>
        <v>9.758333333</v>
      </c>
      <c r="P12" s="29">
        <f t="shared" si="9"/>
        <v>5.808333333</v>
      </c>
      <c r="Q12" s="23">
        <f t="shared" si="10"/>
        <v>390.3333333</v>
      </c>
      <c r="R12" s="23">
        <f t="shared" si="11"/>
        <v>232.3333333</v>
      </c>
      <c r="S12" s="30">
        <v>10.0</v>
      </c>
      <c r="T12" s="30">
        <v>4.0</v>
      </c>
      <c r="V12" s="59"/>
      <c r="W12" s="59"/>
      <c r="X12" s="59"/>
      <c r="Y12" s="59"/>
      <c r="Z12" s="23">
        <f t="shared" ref="Z12:AA12" si="19">V12/4</f>
        <v>0</v>
      </c>
      <c r="AA12" s="23">
        <f t="shared" si="19"/>
        <v>0</v>
      </c>
    </row>
    <row r="13" ht="15.75" customHeight="1">
      <c r="A13" s="22" t="str">
        <f t="shared" si="2"/>
        <v>lunes</v>
      </c>
      <c r="B13" s="24" t="str">
        <f t="shared" si="3"/>
        <v>febrero</v>
      </c>
      <c r="C13" s="37">
        <v>46055.0</v>
      </c>
      <c r="D13" s="26" t="s">
        <v>41</v>
      </c>
      <c r="E13" s="27">
        <v>83.0</v>
      </c>
      <c r="F13" s="27">
        <v>62.0</v>
      </c>
      <c r="G13" s="27">
        <v>2.0</v>
      </c>
      <c r="H13" s="27">
        <v>6.0</v>
      </c>
      <c r="J13" s="28" t="s">
        <v>67</v>
      </c>
      <c r="K13" s="23">
        <f t="shared" si="4"/>
        <v>84.28571429</v>
      </c>
      <c r="L13" s="23">
        <f t="shared" si="5"/>
        <v>70</v>
      </c>
      <c r="M13" s="23">
        <f t="shared" si="6"/>
        <v>3.928571429</v>
      </c>
      <c r="N13" s="23">
        <f t="shared" si="7"/>
        <v>2.5</v>
      </c>
      <c r="O13" s="29">
        <f t="shared" si="8"/>
        <v>8.428571429</v>
      </c>
      <c r="P13" s="29">
        <f t="shared" si="9"/>
        <v>7</v>
      </c>
      <c r="Q13" s="23">
        <f t="shared" si="10"/>
        <v>337.1428571</v>
      </c>
      <c r="R13" s="23">
        <f t="shared" si="11"/>
        <v>280</v>
      </c>
      <c r="S13" s="30">
        <v>10.0</v>
      </c>
      <c r="T13" s="30">
        <v>4.0</v>
      </c>
      <c r="V13" s="59"/>
      <c r="W13" s="59"/>
      <c r="X13" s="59"/>
      <c r="Y13" s="59"/>
      <c r="Z13" s="23">
        <f t="shared" ref="Z13:AA13" si="20">V13/4</f>
        <v>0</v>
      </c>
      <c r="AA13" s="23">
        <f t="shared" si="20"/>
        <v>0</v>
      </c>
    </row>
    <row r="14" ht="15.75" customHeight="1">
      <c r="A14" s="22" t="str">
        <f t="shared" si="2"/>
        <v>lunes</v>
      </c>
      <c r="B14" s="24" t="str">
        <f t="shared" si="3"/>
        <v>febrero</v>
      </c>
      <c r="C14" s="37">
        <v>46055.0</v>
      </c>
      <c r="D14" s="26" t="s">
        <v>42</v>
      </c>
      <c r="E14" s="27">
        <v>88.0</v>
      </c>
      <c r="F14" s="27">
        <v>58.0</v>
      </c>
      <c r="G14" s="27">
        <v>2.0</v>
      </c>
      <c r="H14" s="27">
        <v>15.0</v>
      </c>
      <c r="J14" s="28" t="s">
        <v>58</v>
      </c>
      <c r="K14" s="23">
        <f t="shared" si="4"/>
        <v>89.55555556</v>
      </c>
      <c r="L14" s="23">
        <f t="shared" si="5"/>
        <v>53</v>
      </c>
      <c r="M14" s="23">
        <f t="shared" si="6"/>
        <v>4.666666667</v>
      </c>
      <c r="N14" s="23">
        <f t="shared" si="7"/>
        <v>3.888888889</v>
      </c>
      <c r="O14" s="29">
        <f t="shared" si="8"/>
        <v>11.19444444</v>
      </c>
      <c r="P14" s="29">
        <f t="shared" si="9"/>
        <v>6.625</v>
      </c>
      <c r="Q14" s="23">
        <f t="shared" si="10"/>
        <v>447.7777778</v>
      </c>
      <c r="R14" s="23">
        <f t="shared" si="11"/>
        <v>265</v>
      </c>
      <c r="S14" s="30">
        <v>8.0</v>
      </c>
      <c r="T14" s="30">
        <v>5.0</v>
      </c>
      <c r="V14" s="59"/>
      <c r="W14" s="59"/>
      <c r="X14" s="59"/>
      <c r="Y14" s="59"/>
      <c r="Z14" s="23">
        <f t="shared" ref="Z14:AA14" si="21">V14/4</f>
        <v>0</v>
      </c>
      <c r="AA14" s="23">
        <f t="shared" si="21"/>
        <v>0</v>
      </c>
    </row>
    <row r="15" ht="15.75" customHeight="1">
      <c r="A15" s="22" t="str">
        <f t="shared" si="2"/>
        <v>lunes</v>
      </c>
      <c r="B15" s="24" t="str">
        <f t="shared" si="3"/>
        <v>febrero</v>
      </c>
      <c r="C15" s="37">
        <v>46055.0</v>
      </c>
      <c r="D15" s="26" t="s">
        <v>44</v>
      </c>
      <c r="E15" s="27">
        <v>74.0</v>
      </c>
      <c r="F15" s="27">
        <v>74.0</v>
      </c>
      <c r="G15" s="27">
        <v>0.0</v>
      </c>
      <c r="H15" s="27">
        <v>0.0</v>
      </c>
      <c r="J15" s="28" t="s">
        <v>64</v>
      </c>
      <c r="K15" s="23">
        <f t="shared" si="4"/>
        <v>144.8888889</v>
      </c>
      <c r="L15" s="23">
        <f t="shared" si="5"/>
        <v>83.88888889</v>
      </c>
      <c r="M15" s="23">
        <f t="shared" si="6"/>
        <v>6.055555556</v>
      </c>
      <c r="N15" s="23">
        <f t="shared" si="7"/>
        <v>9.444444444</v>
      </c>
      <c r="O15" s="29">
        <f t="shared" si="8"/>
        <v>18.11111111</v>
      </c>
      <c r="P15" s="29">
        <f t="shared" si="9"/>
        <v>10.48611111</v>
      </c>
      <c r="Q15" s="23">
        <f t="shared" si="10"/>
        <v>724.4444444</v>
      </c>
      <c r="R15" s="23">
        <f t="shared" si="11"/>
        <v>419.4444444</v>
      </c>
      <c r="S15" s="30">
        <v>8.0</v>
      </c>
      <c r="T15" s="30">
        <v>5.0</v>
      </c>
      <c r="V15" s="59"/>
      <c r="W15" s="59"/>
      <c r="X15" s="59"/>
      <c r="Y15" s="59"/>
      <c r="Z15" s="23">
        <f t="shared" ref="Z15:AA15" si="22">V15/4</f>
        <v>0</v>
      </c>
      <c r="AA15" s="23">
        <f t="shared" si="22"/>
        <v>0</v>
      </c>
    </row>
    <row r="16" ht="15.75" customHeight="1">
      <c r="A16" s="22" t="str">
        <f t="shared" si="2"/>
        <v>lunes</v>
      </c>
      <c r="B16" s="24" t="str">
        <f t="shared" si="3"/>
        <v>febrero</v>
      </c>
      <c r="C16" s="37">
        <v>46055.0</v>
      </c>
      <c r="D16" s="22" t="s">
        <v>89</v>
      </c>
      <c r="E16" s="27">
        <v>162.0</v>
      </c>
      <c r="F16" s="27">
        <v>51.0</v>
      </c>
      <c r="G16" s="27">
        <v>0.0</v>
      </c>
      <c r="H16" s="27">
        <v>0.0</v>
      </c>
      <c r="J16" s="28" t="s">
        <v>65</v>
      </c>
      <c r="K16" s="23">
        <f t="shared" si="4"/>
        <v>71.63157895</v>
      </c>
      <c r="L16" s="23">
        <f t="shared" si="5"/>
        <v>57.26315789</v>
      </c>
      <c r="M16" s="23">
        <f t="shared" si="6"/>
        <v>2.578947368</v>
      </c>
      <c r="N16" s="23">
        <f t="shared" si="7"/>
        <v>1.842105263</v>
      </c>
      <c r="O16" s="29">
        <f t="shared" si="8"/>
        <v>8.953947368</v>
      </c>
      <c r="P16" s="29">
        <f t="shared" si="9"/>
        <v>7.157894737</v>
      </c>
      <c r="Q16" s="23">
        <f t="shared" si="10"/>
        <v>358.1578947</v>
      </c>
      <c r="R16" s="23">
        <f t="shared" si="11"/>
        <v>286.3157895</v>
      </c>
      <c r="S16" s="30">
        <v>8.0</v>
      </c>
      <c r="T16" s="30">
        <v>5.0</v>
      </c>
      <c r="V16" s="59"/>
      <c r="W16" s="59"/>
      <c r="X16" s="59"/>
      <c r="Y16" s="59"/>
      <c r="Z16" s="23">
        <f t="shared" ref="Z16:AA16" si="23">V16/4</f>
        <v>0</v>
      </c>
      <c r="AA16" s="23">
        <f t="shared" si="23"/>
        <v>0</v>
      </c>
    </row>
    <row r="17" ht="15.75" customHeight="1">
      <c r="A17" s="22" t="str">
        <f t="shared" si="2"/>
        <v>lunes</v>
      </c>
      <c r="B17" s="24" t="str">
        <f t="shared" si="3"/>
        <v>febrero</v>
      </c>
      <c r="C17" s="37">
        <v>46055.0</v>
      </c>
      <c r="D17" s="22" t="s">
        <v>90</v>
      </c>
      <c r="E17" s="27">
        <v>63.0</v>
      </c>
      <c r="F17" s="27">
        <v>40.0</v>
      </c>
      <c r="G17" s="27">
        <v>0.0</v>
      </c>
      <c r="H17" s="27">
        <v>0.0</v>
      </c>
      <c r="J17" s="28" t="s">
        <v>51</v>
      </c>
      <c r="K17" s="23">
        <f t="shared" si="4"/>
        <v>57.2</v>
      </c>
      <c r="L17" s="23">
        <f t="shared" si="5"/>
        <v>45.93333333</v>
      </c>
      <c r="M17" s="23">
        <f t="shared" si="6"/>
        <v>2.975</v>
      </c>
      <c r="N17" s="23">
        <f t="shared" si="7"/>
        <v>13.875</v>
      </c>
      <c r="O17" s="29">
        <f t="shared" si="8"/>
        <v>5.2</v>
      </c>
      <c r="P17" s="29">
        <f t="shared" si="9"/>
        <v>4.175757576</v>
      </c>
      <c r="Q17" s="23">
        <f t="shared" si="10"/>
        <v>228.8</v>
      </c>
      <c r="R17" s="23">
        <f t="shared" si="11"/>
        <v>183.7333333</v>
      </c>
      <c r="S17" s="30">
        <v>11.0</v>
      </c>
      <c r="T17" s="30">
        <v>4.0</v>
      </c>
      <c r="V17" s="59"/>
      <c r="W17" s="59"/>
      <c r="X17" s="59"/>
      <c r="Y17" s="59"/>
      <c r="Z17" s="23">
        <f t="shared" ref="Z17:AA17" si="24">V17/4</f>
        <v>0</v>
      </c>
      <c r="AA17" s="23">
        <f t="shared" si="24"/>
        <v>0</v>
      </c>
    </row>
    <row r="18" ht="15.75" customHeight="1">
      <c r="A18" s="22" t="str">
        <f t="shared" si="2"/>
        <v>lunes</v>
      </c>
      <c r="B18" s="24" t="str">
        <f t="shared" si="3"/>
        <v>febrero</v>
      </c>
      <c r="C18" s="37">
        <v>46055.0</v>
      </c>
      <c r="D18" s="26" t="s">
        <v>67</v>
      </c>
      <c r="E18" s="27">
        <v>81.0</v>
      </c>
      <c r="F18" s="27">
        <v>71.0</v>
      </c>
      <c r="G18" s="27">
        <v>0.0</v>
      </c>
      <c r="H18" s="27">
        <v>0.0</v>
      </c>
      <c r="J18" s="28" t="s">
        <v>66</v>
      </c>
      <c r="K18" s="23">
        <f t="shared" si="4"/>
        <v>97.73684211</v>
      </c>
      <c r="L18" s="23">
        <f t="shared" si="5"/>
        <v>85.05263158</v>
      </c>
      <c r="M18" s="23">
        <f t="shared" si="6"/>
        <v>0.6315789474</v>
      </c>
      <c r="N18" s="23">
        <f t="shared" si="7"/>
        <v>4.315789474</v>
      </c>
      <c r="O18" s="29">
        <f t="shared" si="8"/>
        <v>12.21710526</v>
      </c>
      <c r="P18" s="29">
        <f t="shared" si="9"/>
        <v>10.63157895</v>
      </c>
      <c r="Q18" s="23">
        <f t="shared" si="10"/>
        <v>488.6842105</v>
      </c>
      <c r="R18" s="23">
        <f t="shared" si="11"/>
        <v>425.2631579</v>
      </c>
      <c r="S18" s="30">
        <v>8.0</v>
      </c>
      <c r="T18" s="30">
        <v>5.0</v>
      </c>
      <c r="U18" s="62"/>
      <c r="V18" s="63"/>
      <c r="W18" s="64"/>
      <c r="X18" s="64"/>
      <c r="Y18" s="64"/>
      <c r="Z18" s="23">
        <f t="shared" ref="Z18:AA18" si="25">V18/4</f>
        <v>0</v>
      </c>
      <c r="AA18" s="23">
        <f t="shared" si="25"/>
        <v>0</v>
      </c>
    </row>
    <row r="19" ht="15.75" customHeight="1">
      <c r="A19" s="22" t="str">
        <f t="shared" si="2"/>
        <v>lunes</v>
      </c>
      <c r="B19" s="24" t="str">
        <f t="shared" si="3"/>
        <v>febrero</v>
      </c>
      <c r="C19" s="37">
        <v>46055.0</v>
      </c>
      <c r="D19" s="22" t="s">
        <v>93</v>
      </c>
      <c r="E19" s="27">
        <v>137.0</v>
      </c>
      <c r="F19" s="27">
        <v>84.0</v>
      </c>
      <c r="G19" s="27">
        <v>0.0</v>
      </c>
      <c r="H19" s="27">
        <v>0.0</v>
      </c>
      <c r="U19" s="16"/>
      <c r="V19" s="16"/>
      <c r="W19" s="16"/>
      <c r="X19" s="16"/>
      <c r="Y19" s="16"/>
      <c r="Z19" s="16"/>
      <c r="AA19" s="38"/>
    </row>
    <row r="20" ht="15.75" customHeight="1">
      <c r="A20" s="22" t="str">
        <f t="shared" si="2"/>
        <v>lunes</v>
      </c>
      <c r="B20" s="24" t="str">
        <f t="shared" si="3"/>
        <v>febrero</v>
      </c>
      <c r="C20" s="37">
        <v>46055.0</v>
      </c>
      <c r="D20" s="26" t="s">
        <v>58</v>
      </c>
      <c r="E20" s="27">
        <v>97.0</v>
      </c>
      <c r="F20" s="27">
        <v>57.0</v>
      </c>
      <c r="G20" s="27">
        <v>3.0</v>
      </c>
      <c r="H20" s="27">
        <v>6.0</v>
      </c>
      <c r="J20" s="39" t="s">
        <v>69</v>
      </c>
      <c r="K20" s="40">
        <f t="shared" ref="K20:R20" si="26">AVERAGE(K4:K18)</f>
        <v>91.3716656</v>
      </c>
      <c r="L20" s="40">
        <f t="shared" si="26"/>
        <v>62.70111063</v>
      </c>
      <c r="M20" s="40">
        <f t="shared" si="26"/>
        <v>3.076746524</v>
      </c>
      <c r="N20" s="40">
        <f t="shared" si="26"/>
        <v>6.769302669</v>
      </c>
      <c r="O20" s="39">
        <f t="shared" si="26"/>
        <v>9.750958324</v>
      </c>
      <c r="P20" s="39">
        <f t="shared" si="26"/>
        <v>6.641843728</v>
      </c>
      <c r="Q20" s="39">
        <f t="shared" si="26"/>
        <v>397.8675201</v>
      </c>
      <c r="R20" s="39">
        <f t="shared" si="26"/>
        <v>272.0580877</v>
      </c>
      <c r="U20" s="16"/>
      <c r="V20" s="16"/>
      <c r="W20" s="16"/>
      <c r="X20" s="16"/>
      <c r="Y20" s="16"/>
      <c r="Z20" s="16"/>
      <c r="AA20" s="38"/>
    </row>
    <row r="21" ht="15.75" customHeight="1">
      <c r="A21" s="22" t="str">
        <f t="shared" si="2"/>
        <v>lunes</v>
      </c>
      <c r="B21" s="24" t="str">
        <f t="shared" si="3"/>
        <v>febrero</v>
      </c>
      <c r="C21" s="37">
        <v>46055.0</v>
      </c>
      <c r="D21" s="26" t="s">
        <v>64</v>
      </c>
      <c r="E21" s="27">
        <v>205.0</v>
      </c>
      <c r="F21" s="27">
        <v>130.0</v>
      </c>
      <c r="G21" s="27">
        <v>3.0</v>
      </c>
      <c r="H21" s="27">
        <v>9.0</v>
      </c>
      <c r="J21" s="5" t="s">
        <v>122</v>
      </c>
      <c r="U21" s="16"/>
      <c r="V21" s="16"/>
      <c r="W21" s="16"/>
      <c r="X21" s="16"/>
      <c r="Y21" s="16"/>
      <c r="Z21" s="16"/>
      <c r="AA21" s="38"/>
    </row>
    <row r="22" ht="15.75" customHeight="1">
      <c r="A22" s="22" t="str">
        <f t="shared" si="2"/>
        <v>lunes</v>
      </c>
      <c r="B22" s="24" t="str">
        <f t="shared" si="3"/>
        <v>febrero</v>
      </c>
      <c r="C22" s="37">
        <v>46055.0</v>
      </c>
      <c r="D22" s="26" t="s">
        <v>65</v>
      </c>
      <c r="E22" s="27">
        <v>86.0</v>
      </c>
      <c r="F22" s="27">
        <v>67.0</v>
      </c>
      <c r="G22" s="27">
        <v>1.0</v>
      </c>
      <c r="H22" s="27">
        <v>0.0</v>
      </c>
      <c r="J22" s="42" t="s">
        <v>73</v>
      </c>
      <c r="U22" s="53"/>
      <c r="V22" s="53"/>
      <c r="W22" s="53"/>
      <c r="X22" s="53"/>
      <c r="Y22" s="53"/>
      <c r="Z22" s="53"/>
      <c r="AA22" s="30"/>
    </row>
    <row r="23" ht="15.75" customHeight="1">
      <c r="A23" s="22" t="str">
        <f t="shared" si="2"/>
        <v>lunes</v>
      </c>
      <c r="B23" s="24" t="str">
        <f t="shared" si="3"/>
        <v>febrero</v>
      </c>
      <c r="C23" s="37">
        <v>46055.0</v>
      </c>
      <c r="D23" s="26" t="s">
        <v>60</v>
      </c>
      <c r="E23" s="27">
        <v>106.0</v>
      </c>
      <c r="F23" s="27">
        <v>46.0</v>
      </c>
      <c r="G23" s="27">
        <v>1.0</v>
      </c>
      <c r="H23" s="27">
        <v>13.0</v>
      </c>
      <c r="K23" s="44" t="s">
        <v>74</v>
      </c>
      <c r="O23" s="45" t="s">
        <v>75</v>
      </c>
      <c r="Q23" s="45" t="s">
        <v>76</v>
      </c>
      <c r="U23" s="53"/>
      <c r="V23" s="53"/>
      <c r="W23" s="53"/>
      <c r="X23" s="53"/>
      <c r="Y23" s="53"/>
      <c r="Z23" s="53"/>
      <c r="AA23" s="30"/>
    </row>
    <row r="24" ht="15.75" customHeight="1">
      <c r="A24" s="22" t="str">
        <f t="shared" si="2"/>
        <v>lunes</v>
      </c>
      <c r="B24" s="24" t="str">
        <f t="shared" si="3"/>
        <v>febrero</v>
      </c>
      <c r="C24" s="37">
        <v>46055.0</v>
      </c>
      <c r="D24" s="26" t="s">
        <v>66</v>
      </c>
      <c r="E24" s="27">
        <v>70.0</v>
      </c>
      <c r="F24" s="27">
        <v>67.0</v>
      </c>
      <c r="G24" s="27">
        <v>1.0</v>
      </c>
      <c r="H24" s="27">
        <v>1.0</v>
      </c>
      <c r="K24" s="47" t="s">
        <v>25</v>
      </c>
      <c r="L24" s="47" t="s">
        <v>26</v>
      </c>
      <c r="M24" s="48" t="s">
        <v>79</v>
      </c>
      <c r="N24" s="47" t="s">
        <v>31</v>
      </c>
      <c r="O24" s="47" t="s">
        <v>25</v>
      </c>
      <c r="P24" s="47" t="s">
        <v>26</v>
      </c>
      <c r="Q24" s="47" t="s">
        <v>25</v>
      </c>
      <c r="R24" s="47" t="s">
        <v>26</v>
      </c>
      <c r="U24" s="53"/>
      <c r="V24" s="53"/>
      <c r="W24" s="53"/>
      <c r="X24" s="53"/>
      <c r="Y24" s="53"/>
      <c r="Z24" s="53"/>
      <c r="AA24" s="30"/>
    </row>
    <row r="25" ht="15.75" customHeight="1">
      <c r="A25" s="22" t="str">
        <f t="shared" si="2"/>
        <v>martes</v>
      </c>
      <c r="B25" s="24" t="str">
        <f t="shared" si="3"/>
        <v>febrero</v>
      </c>
      <c r="C25" s="37">
        <v>46056.0</v>
      </c>
      <c r="D25" s="26" t="s">
        <v>39</v>
      </c>
      <c r="E25" s="27">
        <v>78.0</v>
      </c>
      <c r="F25" s="27">
        <v>53.0</v>
      </c>
      <c r="G25" s="27">
        <v>1.0</v>
      </c>
      <c r="H25" s="27">
        <v>15.0</v>
      </c>
      <c r="J25" s="16"/>
      <c r="K25" s="49" t="s">
        <v>60</v>
      </c>
      <c r="L25" s="49" t="s">
        <v>66</v>
      </c>
      <c r="M25" s="49" t="s">
        <v>64</v>
      </c>
      <c r="N25" s="49" t="s">
        <v>42</v>
      </c>
      <c r="O25" s="49" t="s">
        <v>64</v>
      </c>
      <c r="P25" s="49" t="s">
        <v>66</v>
      </c>
      <c r="Q25" s="49" t="s">
        <v>64</v>
      </c>
      <c r="R25" s="50" t="s">
        <v>66</v>
      </c>
      <c r="U25" s="55"/>
      <c r="V25" s="55"/>
      <c r="W25" s="55"/>
      <c r="X25" s="55"/>
      <c r="Y25" s="55"/>
      <c r="Z25" s="55"/>
      <c r="AA25" s="51"/>
    </row>
    <row r="26" ht="15.75" customHeight="1">
      <c r="A26" s="22" t="str">
        <f t="shared" si="2"/>
        <v>martes</v>
      </c>
      <c r="B26" s="24" t="str">
        <f t="shared" si="3"/>
        <v>febrero</v>
      </c>
      <c r="C26" s="37">
        <v>46056.0</v>
      </c>
      <c r="D26" s="26" t="s">
        <v>41</v>
      </c>
      <c r="E26" s="27">
        <v>73.0</v>
      </c>
      <c r="F26" s="27">
        <v>57.0</v>
      </c>
      <c r="G26" s="27">
        <v>2.0</v>
      </c>
      <c r="H26" s="27">
        <v>8.0</v>
      </c>
      <c r="J26" s="16"/>
      <c r="K26" s="49" t="s">
        <v>64</v>
      </c>
      <c r="L26" s="49" t="s">
        <v>60</v>
      </c>
      <c r="M26" s="49" t="s">
        <v>58</v>
      </c>
      <c r="N26" s="49" t="s">
        <v>51</v>
      </c>
      <c r="O26" s="49" t="s">
        <v>60</v>
      </c>
      <c r="P26" s="49" t="s">
        <v>64</v>
      </c>
      <c r="Q26" s="49" t="s">
        <v>60</v>
      </c>
      <c r="R26" s="50" t="s">
        <v>64</v>
      </c>
      <c r="U26" s="55"/>
      <c r="V26" s="55"/>
      <c r="W26" s="55"/>
      <c r="X26" s="55"/>
      <c r="Y26" s="55"/>
      <c r="Z26" s="55"/>
      <c r="AA26" s="51"/>
    </row>
    <row r="27" ht="15.75" customHeight="1">
      <c r="A27" s="22" t="str">
        <f t="shared" si="2"/>
        <v>martes</v>
      </c>
      <c r="B27" s="24" t="str">
        <f t="shared" si="3"/>
        <v>febrero</v>
      </c>
      <c r="C27" s="37">
        <v>46056.0</v>
      </c>
      <c r="D27" s="26" t="s">
        <v>42</v>
      </c>
      <c r="E27" s="27">
        <v>93.0</v>
      </c>
      <c r="F27" s="27">
        <v>48.0</v>
      </c>
      <c r="G27" s="27">
        <v>10.0</v>
      </c>
      <c r="H27" s="27">
        <v>35.0</v>
      </c>
      <c r="J27" s="16"/>
      <c r="K27" s="49" t="s">
        <v>53</v>
      </c>
      <c r="L27" s="49" t="s">
        <v>64</v>
      </c>
      <c r="M27" s="49" t="s">
        <v>60</v>
      </c>
      <c r="N27" s="49" t="s">
        <v>41</v>
      </c>
      <c r="O27" s="49" t="s">
        <v>66</v>
      </c>
      <c r="P27" s="49" t="s">
        <v>60</v>
      </c>
      <c r="Q27" s="49" t="s">
        <v>66</v>
      </c>
      <c r="R27" s="50" t="s">
        <v>60</v>
      </c>
      <c r="U27" s="55"/>
      <c r="V27" s="55"/>
      <c r="W27" s="55"/>
      <c r="X27" s="55"/>
      <c r="Y27" s="55"/>
      <c r="Z27" s="55"/>
      <c r="AA27" s="51"/>
    </row>
    <row r="28" ht="15.75" customHeight="1">
      <c r="A28" s="22" t="str">
        <f t="shared" si="2"/>
        <v>martes</v>
      </c>
      <c r="B28" s="24" t="str">
        <f t="shared" si="3"/>
        <v>febrero</v>
      </c>
      <c r="C28" s="37">
        <v>46056.0</v>
      </c>
      <c r="D28" s="22" t="s">
        <v>89</v>
      </c>
      <c r="E28" s="27">
        <v>186.0</v>
      </c>
      <c r="F28" s="27">
        <v>67.0</v>
      </c>
      <c r="G28" s="27">
        <v>0.0</v>
      </c>
      <c r="H28" s="27">
        <v>0.0</v>
      </c>
      <c r="J28" s="53"/>
      <c r="K28" s="49" t="s">
        <v>41</v>
      </c>
      <c r="L28" s="49" t="s">
        <v>59</v>
      </c>
      <c r="M28" s="49" t="s">
        <v>40</v>
      </c>
      <c r="N28" s="49" t="s">
        <v>39</v>
      </c>
      <c r="O28" s="49" t="s">
        <v>58</v>
      </c>
      <c r="P28" s="49" t="s">
        <v>59</v>
      </c>
      <c r="Q28" s="49" t="s">
        <v>58</v>
      </c>
      <c r="R28" s="50" t="s">
        <v>59</v>
      </c>
    </row>
    <row r="29" ht="15.75" customHeight="1">
      <c r="A29" s="22" t="str">
        <f t="shared" si="2"/>
        <v>martes</v>
      </c>
      <c r="B29" s="24" t="str">
        <f t="shared" si="3"/>
        <v>febrero</v>
      </c>
      <c r="C29" s="37">
        <v>46056.0</v>
      </c>
      <c r="D29" s="22" t="s">
        <v>90</v>
      </c>
      <c r="E29" s="27">
        <v>251.0</v>
      </c>
      <c r="F29" s="27">
        <v>118.0</v>
      </c>
      <c r="G29" s="27">
        <v>0.0</v>
      </c>
      <c r="H29" s="27">
        <v>0.0</v>
      </c>
      <c r="J29" s="53"/>
      <c r="K29" s="49" t="s">
        <v>59</v>
      </c>
      <c r="L29" s="49" t="s">
        <v>41</v>
      </c>
      <c r="M29" s="49" t="s">
        <v>42</v>
      </c>
      <c r="N29" s="49" t="s">
        <v>64</v>
      </c>
      <c r="O29" s="49" t="s">
        <v>53</v>
      </c>
      <c r="P29" s="49" t="s">
        <v>65</v>
      </c>
      <c r="Q29" s="49" t="s">
        <v>53</v>
      </c>
      <c r="R29" s="50" t="s">
        <v>41</v>
      </c>
    </row>
    <row r="30" ht="15.75" customHeight="1">
      <c r="A30" s="22" t="str">
        <f t="shared" si="2"/>
        <v>martes</v>
      </c>
      <c r="B30" s="24" t="str">
        <f t="shared" si="3"/>
        <v>febrero</v>
      </c>
      <c r="C30" s="37">
        <v>46056.0</v>
      </c>
      <c r="D30" s="26" t="s">
        <v>59</v>
      </c>
      <c r="E30" s="27">
        <v>59.0</v>
      </c>
      <c r="F30" s="27">
        <v>52.0</v>
      </c>
      <c r="G30" s="27">
        <v>5.0</v>
      </c>
      <c r="H30" s="27">
        <v>0.0</v>
      </c>
      <c r="J30" s="53"/>
      <c r="K30" s="52" t="s">
        <v>66</v>
      </c>
      <c r="L30" s="52" t="s">
        <v>67</v>
      </c>
      <c r="M30" s="52" t="s">
        <v>52</v>
      </c>
      <c r="N30" s="52" t="s">
        <v>53</v>
      </c>
      <c r="O30" s="52" t="s">
        <v>39</v>
      </c>
      <c r="P30" s="52" t="s">
        <v>67</v>
      </c>
      <c r="Q30" s="52" t="s">
        <v>41</v>
      </c>
      <c r="R30" s="52" t="s">
        <v>65</v>
      </c>
    </row>
    <row r="31" ht="15.75" customHeight="1">
      <c r="A31" s="22" t="str">
        <f t="shared" si="2"/>
        <v>martes</v>
      </c>
      <c r="B31" s="24" t="str">
        <f t="shared" si="3"/>
        <v>febrero</v>
      </c>
      <c r="C31" s="37">
        <v>46056.0</v>
      </c>
      <c r="D31" s="26" t="s">
        <v>67</v>
      </c>
      <c r="E31" s="27">
        <v>71.0</v>
      </c>
      <c r="F31" s="27">
        <v>59.0</v>
      </c>
      <c r="G31" s="27">
        <v>0.0</v>
      </c>
      <c r="H31" s="27">
        <v>0.0</v>
      </c>
      <c r="J31" s="53"/>
      <c r="K31" s="52" t="s">
        <v>42</v>
      </c>
      <c r="L31" s="52" t="s">
        <v>53</v>
      </c>
      <c r="M31" s="52" t="s">
        <v>67</v>
      </c>
      <c r="N31" s="52" t="s">
        <v>40</v>
      </c>
      <c r="O31" s="52" t="s">
        <v>42</v>
      </c>
      <c r="P31" s="52" t="s">
        <v>58</v>
      </c>
      <c r="Q31" s="52" t="s">
        <v>39</v>
      </c>
      <c r="R31" s="52" t="s">
        <v>67</v>
      </c>
    </row>
    <row r="32" ht="15.75" customHeight="1">
      <c r="A32" s="22" t="str">
        <f t="shared" si="2"/>
        <v>martes</v>
      </c>
      <c r="B32" s="24" t="str">
        <f t="shared" si="3"/>
        <v>febrero</v>
      </c>
      <c r="C32" s="37">
        <v>46056.0</v>
      </c>
      <c r="D32" s="22" t="s">
        <v>93</v>
      </c>
      <c r="E32" s="27">
        <v>162.0</v>
      </c>
      <c r="F32" s="27">
        <v>97.0</v>
      </c>
      <c r="G32" s="27">
        <v>0.0</v>
      </c>
      <c r="H32" s="27">
        <v>0.0</v>
      </c>
      <c r="J32" s="53"/>
      <c r="K32" s="52" t="s">
        <v>58</v>
      </c>
      <c r="L32" s="52" t="s">
        <v>44</v>
      </c>
      <c r="M32" s="52" t="s">
        <v>51</v>
      </c>
      <c r="N32" s="52" t="s">
        <v>60</v>
      </c>
      <c r="O32" s="52" t="s">
        <v>41</v>
      </c>
      <c r="P32" s="52" t="s">
        <v>53</v>
      </c>
      <c r="Q32" s="52" t="s">
        <v>59</v>
      </c>
      <c r="R32" s="52" t="s">
        <v>58</v>
      </c>
    </row>
    <row r="33" ht="15.75" customHeight="1">
      <c r="A33" s="22" t="str">
        <f t="shared" si="2"/>
        <v>martes</v>
      </c>
      <c r="B33" s="24" t="str">
        <f t="shared" si="3"/>
        <v>febrero</v>
      </c>
      <c r="C33" s="37">
        <v>46056.0</v>
      </c>
      <c r="D33" s="26" t="s">
        <v>58</v>
      </c>
      <c r="E33" s="27">
        <v>91.0</v>
      </c>
      <c r="F33" s="27">
        <v>53.0</v>
      </c>
      <c r="G33" s="27">
        <v>4.0</v>
      </c>
      <c r="H33" s="27">
        <v>7.0</v>
      </c>
      <c r="J33" s="53"/>
      <c r="K33" s="52" t="s">
        <v>67</v>
      </c>
      <c r="L33" s="52" t="s">
        <v>42</v>
      </c>
      <c r="M33" s="52" t="s">
        <v>65</v>
      </c>
      <c r="N33" s="52" t="s">
        <v>52</v>
      </c>
      <c r="O33" s="52" t="s">
        <v>59</v>
      </c>
      <c r="P33" s="52" t="s">
        <v>41</v>
      </c>
      <c r="Q33" s="52" t="s">
        <v>42</v>
      </c>
      <c r="R33" s="52" t="s">
        <v>53</v>
      </c>
    </row>
    <row r="34" ht="15.75" customHeight="1">
      <c r="A34" s="22" t="str">
        <f t="shared" si="2"/>
        <v>martes</v>
      </c>
      <c r="B34" s="24" t="str">
        <f t="shared" si="3"/>
        <v>febrero</v>
      </c>
      <c r="C34" s="37">
        <v>46056.0</v>
      </c>
      <c r="D34" s="26" t="s">
        <v>64</v>
      </c>
      <c r="E34" s="27">
        <v>200.0</v>
      </c>
      <c r="F34" s="27">
        <v>126.0</v>
      </c>
      <c r="G34" s="27">
        <v>9.0</v>
      </c>
      <c r="H34" s="27">
        <v>11.0</v>
      </c>
      <c r="K34" s="52" t="s">
        <v>39</v>
      </c>
      <c r="L34" s="52" t="s">
        <v>65</v>
      </c>
      <c r="M34" s="52" t="s">
        <v>59</v>
      </c>
      <c r="N34" s="52" t="s">
        <v>66</v>
      </c>
      <c r="O34" s="52" t="s">
        <v>65</v>
      </c>
      <c r="P34" s="52" t="s">
        <v>42</v>
      </c>
      <c r="Q34" s="52" t="s">
        <v>65</v>
      </c>
      <c r="R34" s="52" t="s">
        <v>44</v>
      </c>
    </row>
    <row r="35" ht="15.75" customHeight="1">
      <c r="A35" s="22" t="str">
        <f t="shared" si="2"/>
        <v>martes</v>
      </c>
      <c r="B35" s="24" t="str">
        <f t="shared" si="3"/>
        <v>febrero</v>
      </c>
      <c r="C35" s="37">
        <v>46056.0</v>
      </c>
      <c r="D35" s="26" t="s">
        <v>65</v>
      </c>
      <c r="E35" s="27">
        <v>56.0</v>
      </c>
      <c r="F35" s="27">
        <v>44.0</v>
      </c>
      <c r="G35" s="27">
        <v>5.0</v>
      </c>
      <c r="H35" s="27">
        <v>2.0</v>
      </c>
      <c r="K35" s="54" t="s">
        <v>40</v>
      </c>
      <c r="L35" s="54" t="s">
        <v>58</v>
      </c>
      <c r="M35" s="54" t="s">
        <v>39</v>
      </c>
      <c r="N35" s="54" t="s">
        <v>58</v>
      </c>
      <c r="O35" s="54" t="s">
        <v>67</v>
      </c>
      <c r="P35" s="54" t="s">
        <v>44</v>
      </c>
      <c r="Q35" s="54" t="s">
        <v>67</v>
      </c>
      <c r="R35" s="54" t="s">
        <v>42</v>
      </c>
    </row>
    <row r="36" ht="15.75" customHeight="1">
      <c r="A36" s="22" t="str">
        <f t="shared" si="2"/>
        <v>martes</v>
      </c>
      <c r="B36" s="24" t="str">
        <f t="shared" si="3"/>
        <v>febrero</v>
      </c>
      <c r="C36" s="37">
        <v>46056.0</v>
      </c>
      <c r="D36" s="26" t="s">
        <v>66</v>
      </c>
      <c r="E36" s="27">
        <v>58.0</v>
      </c>
      <c r="F36" s="27">
        <v>44.0</v>
      </c>
      <c r="G36" s="27">
        <v>0.0</v>
      </c>
      <c r="H36" s="27">
        <v>4.0</v>
      </c>
      <c r="K36" s="54" t="s">
        <v>65</v>
      </c>
      <c r="L36" s="54" t="s">
        <v>51</v>
      </c>
      <c r="M36" s="54" t="s">
        <v>41</v>
      </c>
      <c r="N36" s="54" t="s">
        <v>67</v>
      </c>
      <c r="O36" s="54" t="s">
        <v>40</v>
      </c>
      <c r="P36" s="54" t="s">
        <v>39</v>
      </c>
      <c r="Q36" s="54" t="s">
        <v>40</v>
      </c>
      <c r="R36" s="54" t="s">
        <v>39</v>
      </c>
    </row>
    <row r="37" ht="15.75" customHeight="1">
      <c r="A37" s="22" t="str">
        <f t="shared" si="2"/>
        <v>miércoles</v>
      </c>
      <c r="B37" s="24" t="str">
        <f t="shared" si="3"/>
        <v>febrero</v>
      </c>
      <c r="C37" s="37">
        <v>46057.0</v>
      </c>
      <c r="D37" s="26" t="s">
        <v>39</v>
      </c>
      <c r="E37" s="27">
        <v>75.0</v>
      </c>
      <c r="F37" s="27">
        <v>42.0</v>
      </c>
      <c r="G37" s="27">
        <v>1.0</v>
      </c>
      <c r="H37" s="27">
        <v>20.0</v>
      </c>
      <c r="K37" s="54" t="s">
        <v>44</v>
      </c>
      <c r="L37" s="54" t="s">
        <v>40</v>
      </c>
      <c r="M37" s="54" t="s">
        <v>53</v>
      </c>
      <c r="N37" s="54" t="s">
        <v>65</v>
      </c>
      <c r="O37" s="54" t="s">
        <v>44</v>
      </c>
      <c r="P37" s="54" t="s">
        <v>51</v>
      </c>
      <c r="Q37" s="54" t="s">
        <v>44</v>
      </c>
      <c r="R37" s="54" t="s">
        <v>51</v>
      </c>
    </row>
    <row r="38" ht="15.75" customHeight="1">
      <c r="A38" s="22" t="str">
        <f t="shared" si="2"/>
        <v>miércoles</v>
      </c>
      <c r="B38" s="24" t="str">
        <f t="shared" si="3"/>
        <v>febrero</v>
      </c>
      <c r="C38" s="37">
        <v>46057.0</v>
      </c>
      <c r="D38" s="22" t="s">
        <v>107</v>
      </c>
      <c r="E38" s="27">
        <v>100.0</v>
      </c>
      <c r="F38" s="27">
        <v>44.0</v>
      </c>
      <c r="G38" s="27">
        <v>0.0</v>
      </c>
      <c r="H38" s="27">
        <v>0.0</v>
      </c>
      <c r="K38" s="54" t="s">
        <v>51</v>
      </c>
      <c r="L38" s="54" t="s">
        <v>39</v>
      </c>
      <c r="M38" s="54" t="s">
        <v>66</v>
      </c>
      <c r="N38" s="54" t="s">
        <v>59</v>
      </c>
      <c r="O38" s="54" t="s">
        <v>52</v>
      </c>
      <c r="P38" s="54" t="s">
        <v>40</v>
      </c>
      <c r="Q38" s="54" t="s">
        <v>51</v>
      </c>
      <c r="R38" s="54" t="s">
        <v>40</v>
      </c>
    </row>
    <row r="39" ht="15.75" customHeight="1">
      <c r="A39" s="22" t="str">
        <f t="shared" si="2"/>
        <v>miércoles</v>
      </c>
      <c r="B39" s="24" t="str">
        <f t="shared" si="3"/>
        <v>febrero</v>
      </c>
      <c r="C39" s="37">
        <v>46057.0</v>
      </c>
      <c r="D39" s="26" t="s">
        <v>41</v>
      </c>
      <c r="E39" s="27">
        <v>102.0</v>
      </c>
      <c r="F39" s="27">
        <v>79.0</v>
      </c>
      <c r="G39" s="27">
        <v>5.0</v>
      </c>
      <c r="H39" s="27">
        <v>6.0</v>
      </c>
      <c r="K39" s="54" t="s">
        <v>52</v>
      </c>
      <c r="L39" s="54" t="s">
        <v>52</v>
      </c>
      <c r="M39" s="54" t="s">
        <v>44</v>
      </c>
      <c r="N39" s="54" t="s">
        <v>44</v>
      </c>
      <c r="O39" s="54" t="s">
        <v>51</v>
      </c>
      <c r="P39" s="54" t="s">
        <v>52</v>
      </c>
      <c r="Q39" s="54" t="s">
        <v>52</v>
      </c>
      <c r="R39" s="54" t="s">
        <v>52</v>
      </c>
    </row>
    <row r="40" ht="15.75" customHeight="1">
      <c r="A40" s="22" t="str">
        <f t="shared" si="2"/>
        <v>miércoles</v>
      </c>
      <c r="B40" s="24" t="str">
        <f t="shared" si="3"/>
        <v>febrero</v>
      </c>
      <c r="C40" s="37">
        <v>46057.0</v>
      </c>
      <c r="D40" s="26" t="s">
        <v>42</v>
      </c>
      <c r="E40" s="27">
        <v>97.0</v>
      </c>
      <c r="F40" s="27">
        <v>53.0</v>
      </c>
      <c r="G40" s="27">
        <v>8.0</v>
      </c>
      <c r="H40" s="27">
        <v>30.0</v>
      </c>
    </row>
    <row r="41" ht="15.75" customHeight="1">
      <c r="A41" s="22" t="str">
        <f t="shared" si="2"/>
        <v>miércoles</v>
      </c>
      <c r="B41" s="24" t="str">
        <f t="shared" si="3"/>
        <v>febrero</v>
      </c>
      <c r="C41" s="37">
        <v>46057.0</v>
      </c>
      <c r="D41" s="26" t="s">
        <v>51</v>
      </c>
      <c r="E41" s="27">
        <v>77.0</v>
      </c>
      <c r="F41" s="27">
        <v>52.0</v>
      </c>
      <c r="G41" s="27">
        <v>4.0</v>
      </c>
      <c r="H41" s="27">
        <v>21.0</v>
      </c>
      <c r="J41" s="40" t="s">
        <v>69</v>
      </c>
      <c r="K41" s="40">
        <f t="shared" ref="K41:R41" si="27">AVERAGE(K4:K18)</f>
        <v>91.3716656</v>
      </c>
      <c r="L41" s="40">
        <f t="shared" si="27"/>
        <v>62.70111063</v>
      </c>
      <c r="M41" s="40">
        <f t="shared" si="27"/>
        <v>3.076746524</v>
      </c>
      <c r="N41" s="40">
        <f t="shared" si="27"/>
        <v>6.769302669</v>
      </c>
      <c r="O41" s="40">
        <f t="shared" si="27"/>
        <v>9.750958324</v>
      </c>
      <c r="P41" s="40">
        <f t="shared" si="27"/>
        <v>6.641843728</v>
      </c>
      <c r="Q41" s="40">
        <f t="shared" si="27"/>
        <v>397.8675201</v>
      </c>
      <c r="R41" s="40">
        <f t="shared" si="27"/>
        <v>272.0580877</v>
      </c>
    </row>
    <row r="42" ht="15.75" customHeight="1">
      <c r="A42" s="22" t="str">
        <f t="shared" si="2"/>
        <v>miércoles</v>
      </c>
      <c r="B42" s="24" t="str">
        <f t="shared" si="3"/>
        <v>febrero</v>
      </c>
      <c r="C42" s="37">
        <v>46057.0</v>
      </c>
      <c r="D42" s="22" t="s">
        <v>89</v>
      </c>
      <c r="E42" s="27">
        <v>169.0</v>
      </c>
      <c r="F42" s="27">
        <v>82.0</v>
      </c>
      <c r="G42" s="27">
        <v>0.0</v>
      </c>
      <c r="H42" s="27">
        <v>0.0</v>
      </c>
    </row>
    <row r="43" ht="15.75" customHeight="1">
      <c r="A43" s="22" t="str">
        <f t="shared" si="2"/>
        <v>miércoles</v>
      </c>
      <c r="B43" s="24" t="str">
        <f t="shared" si="3"/>
        <v>febrero</v>
      </c>
      <c r="C43" s="37">
        <v>46057.0</v>
      </c>
      <c r="D43" s="26" t="s">
        <v>67</v>
      </c>
      <c r="E43" s="27">
        <v>87.0</v>
      </c>
      <c r="F43" s="27">
        <v>79.0</v>
      </c>
      <c r="G43" s="27">
        <v>7.0</v>
      </c>
      <c r="H43" s="27">
        <v>4.0</v>
      </c>
    </row>
    <row r="44" ht="15.75" customHeight="1">
      <c r="A44" s="22" t="str">
        <f t="shared" si="2"/>
        <v>miércoles</v>
      </c>
      <c r="B44" s="24" t="str">
        <f t="shared" si="3"/>
        <v>febrero</v>
      </c>
      <c r="C44" s="37">
        <v>46057.0</v>
      </c>
      <c r="D44" s="22" t="s">
        <v>93</v>
      </c>
      <c r="E44" s="27">
        <v>73.0</v>
      </c>
      <c r="F44" s="27">
        <v>50.0</v>
      </c>
      <c r="G44" s="27">
        <v>0.0</v>
      </c>
      <c r="H44" s="27">
        <v>0.0</v>
      </c>
    </row>
    <row r="45" ht="15.75" customHeight="1">
      <c r="A45" s="22" t="str">
        <f t="shared" si="2"/>
        <v>miércoles</v>
      </c>
      <c r="B45" s="24" t="str">
        <f t="shared" si="3"/>
        <v>febrero</v>
      </c>
      <c r="C45" s="37">
        <v>46057.0</v>
      </c>
      <c r="D45" s="26" t="s">
        <v>58</v>
      </c>
      <c r="E45" s="27">
        <v>97.0</v>
      </c>
      <c r="F45" s="27">
        <v>60.0</v>
      </c>
      <c r="G45" s="27">
        <v>7.0</v>
      </c>
      <c r="H45" s="27">
        <v>12.0</v>
      </c>
    </row>
    <row r="46" ht="15.75" customHeight="1">
      <c r="A46" s="22" t="str">
        <f t="shared" si="2"/>
        <v>miércoles</v>
      </c>
      <c r="B46" s="24" t="str">
        <f t="shared" si="3"/>
        <v>febrero</v>
      </c>
      <c r="C46" s="37">
        <v>46057.0</v>
      </c>
      <c r="D46" s="22" t="s">
        <v>127</v>
      </c>
      <c r="E46" s="27">
        <v>0.0</v>
      </c>
      <c r="F46" s="27">
        <v>0.0</v>
      </c>
      <c r="G46" s="27">
        <v>0.0</v>
      </c>
      <c r="H46" s="27">
        <v>0.0</v>
      </c>
    </row>
    <row r="47" ht="15.75" customHeight="1">
      <c r="A47" s="22" t="str">
        <f t="shared" si="2"/>
        <v>miércoles</v>
      </c>
      <c r="B47" s="24" t="str">
        <f t="shared" si="3"/>
        <v>febrero</v>
      </c>
      <c r="C47" s="37">
        <v>46057.0</v>
      </c>
      <c r="D47" s="26" t="s">
        <v>64</v>
      </c>
      <c r="E47" s="27">
        <v>176.0</v>
      </c>
      <c r="F47" s="27">
        <v>94.0</v>
      </c>
      <c r="G47" s="27">
        <v>5.0</v>
      </c>
      <c r="H47" s="27">
        <v>15.0</v>
      </c>
    </row>
    <row r="48" ht="15.75" customHeight="1">
      <c r="A48" s="22" t="str">
        <f t="shared" si="2"/>
        <v>miércoles</v>
      </c>
      <c r="B48" s="24" t="str">
        <f t="shared" si="3"/>
        <v>febrero</v>
      </c>
      <c r="C48" s="37">
        <v>46057.0</v>
      </c>
      <c r="D48" s="26" t="s">
        <v>65</v>
      </c>
      <c r="E48" s="27">
        <v>74.0</v>
      </c>
      <c r="F48" s="27">
        <v>64.0</v>
      </c>
      <c r="G48" s="27">
        <v>5.0</v>
      </c>
      <c r="H48" s="27">
        <v>1.0</v>
      </c>
    </row>
    <row r="49" ht="15.75" customHeight="1">
      <c r="A49" s="22" t="str">
        <f t="shared" si="2"/>
        <v>miércoles</v>
      </c>
      <c r="B49" s="24" t="str">
        <f t="shared" si="3"/>
        <v>febrero</v>
      </c>
      <c r="C49" s="37">
        <v>46057.0</v>
      </c>
      <c r="D49" s="26" t="s">
        <v>66</v>
      </c>
      <c r="E49" s="27">
        <v>109.0</v>
      </c>
      <c r="F49" s="27">
        <v>88.0</v>
      </c>
      <c r="G49" s="27">
        <v>2.0</v>
      </c>
      <c r="H49" s="27">
        <v>8.0</v>
      </c>
      <c r="J49" s="12" t="s">
        <v>128</v>
      </c>
      <c r="O49" s="13" t="s">
        <v>18</v>
      </c>
      <c r="Q49" s="13" t="s">
        <v>19</v>
      </c>
    </row>
    <row r="50" ht="15.75" customHeight="1">
      <c r="A50" s="22" t="str">
        <f t="shared" si="2"/>
        <v>jueves</v>
      </c>
      <c r="B50" s="24" t="str">
        <f t="shared" si="3"/>
        <v>febrero</v>
      </c>
      <c r="C50" s="37">
        <v>46058.0</v>
      </c>
      <c r="D50" s="22" t="s">
        <v>107</v>
      </c>
      <c r="E50" s="27">
        <v>126.0</v>
      </c>
      <c r="F50" s="27">
        <v>57.0</v>
      </c>
      <c r="G50" s="27">
        <v>0.0</v>
      </c>
      <c r="H50" s="27">
        <v>0.0</v>
      </c>
      <c r="J50" s="17" t="s">
        <v>29</v>
      </c>
      <c r="K50" s="17" t="s">
        <v>25</v>
      </c>
      <c r="L50" s="17" t="s">
        <v>26</v>
      </c>
      <c r="M50" s="17" t="s">
        <v>30</v>
      </c>
      <c r="N50" s="17" t="s">
        <v>31</v>
      </c>
      <c r="O50" s="18" t="s">
        <v>25</v>
      </c>
      <c r="P50" s="18" t="s">
        <v>26</v>
      </c>
      <c r="Q50" s="17" t="s">
        <v>25</v>
      </c>
      <c r="R50" s="17" t="s">
        <v>26</v>
      </c>
    </row>
    <row r="51" ht="15.75" customHeight="1">
      <c r="A51" s="22" t="str">
        <f t="shared" si="2"/>
        <v>jueves</v>
      </c>
      <c r="B51" s="24" t="str">
        <f t="shared" si="3"/>
        <v>febrero</v>
      </c>
      <c r="C51" s="37">
        <v>46058.0</v>
      </c>
      <c r="D51" s="26" t="s">
        <v>40</v>
      </c>
      <c r="E51" s="27">
        <v>93.0</v>
      </c>
      <c r="F51" s="27">
        <v>48.0</v>
      </c>
      <c r="G51" s="27">
        <v>4.0</v>
      </c>
      <c r="H51" s="27">
        <v>4.0</v>
      </c>
      <c r="J51" s="28" t="s">
        <v>39</v>
      </c>
      <c r="K51" s="23">
        <v>81.9</v>
      </c>
      <c r="L51" s="23">
        <v>39.6</v>
      </c>
      <c r="M51" s="23">
        <v>2.4</v>
      </c>
      <c r="N51" s="23">
        <v>10.4</v>
      </c>
      <c r="O51" s="23">
        <v>10.2375</v>
      </c>
      <c r="P51" s="23">
        <v>4.95</v>
      </c>
      <c r="Q51" s="23">
        <v>409.5</v>
      </c>
      <c r="R51" s="23">
        <v>198.0</v>
      </c>
    </row>
    <row r="52" ht="15.75" customHeight="1">
      <c r="A52" s="22" t="str">
        <f t="shared" si="2"/>
        <v>jueves</v>
      </c>
      <c r="B52" s="24" t="str">
        <f t="shared" si="3"/>
        <v>febrero</v>
      </c>
      <c r="C52" s="37">
        <v>46058.0</v>
      </c>
      <c r="D52" s="26" t="s">
        <v>41</v>
      </c>
      <c r="E52" s="27">
        <v>93.0</v>
      </c>
      <c r="F52" s="27">
        <v>73.0</v>
      </c>
      <c r="G52" s="27">
        <v>1.0</v>
      </c>
      <c r="H52" s="27">
        <v>3.0</v>
      </c>
      <c r="J52" s="28" t="s">
        <v>40</v>
      </c>
      <c r="K52" s="23">
        <v>74.125</v>
      </c>
      <c r="L52" s="23">
        <v>41.1875</v>
      </c>
      <c r="M52" s="23">
        <v>4.375</v>
      </c>
      <c r="N52" s="23">
        <v>6.6875</v>
      </c>
      <c r="O52" s="23">
        <v>7.4125</v>
      </c>
      <c r="P52" s="23">
        <v>4.11875</v>
      </c>
      <c r="Q52" s="23">
        <v>296.5</v>
      </c>
      <c r="R52" s="23">
        <v>164.75</v>
      </c>
    </row>
    <row r="53" ht="15.75" customHeight="1">
      <c r="A53" s="22" t="str">
        <f t="shared" si="2"/>
        <v>jueves</v>
      </c>
      <c r="B53" s="24" t="str">
        <f t="shared" si="3"/>
        <v>febrero</v>
      </c>
      <c r="C53" s="37">
        <v>46058.0</v>
      </c>
      <c r="D53" s="26" t="s">
        <v>42</v>
      </c>
      <c r="E53" s="27">
        <v>62.0</v>
      </c>
      <c r="F53" s="27">
        <v>34.0</v>
      </c>
      <c r="G53" s="27">
        <v>4.0</v>
      </c>
      <c r="H53" s="27">
        <v>20.0</v>
      </c>
      <c r="J53" s="28" t="s">
        <v>44</v>
      </c>
      <c r="K53" s="23">
        <v>62.666666666666664</v>
      </c>
      <c r="L53" s="23">
        <v>62.666666666666664</v>
      </c>
      <c r="M53" s="23">
        <v>0.0</v>
      </c>
      <c r="N53" s="23">
        <v>0.0</v>
      </c>
      <c r="O53" s="23">
        <v>5.696969696969696</v>
      </c>
      <c r="P53" s="23">
        <v>5.696969696969696</v>
      </c>
      <c r="Q53" s="23">
        <v>250.66666666666666</v>
      </c>
      <c r="R53" s="23">
        <v>250.66666666666666</v>
      </c>
    </row>
    <row r="54" ht="15.75" customHeight="1">
      <c r="A54" s="22" t="str">
        <f t="shared" si="2"/>
        <v>jueves</v>
      </c>
      <c r="B54" s="24" t="str">
        <f t="shared" si="3"/>
        <v>febrero</v>
      </c>
      <c r="C54" s="37">
        <v>46058.0</v>
      </c>
      <c r="D54" s="22" t="s">
        <v>117</v>
      </c>
      <c r="E54" s="27">
        <v>153.0</v>
      </c>
      <c r="F54" s="27">
        <v>63.0</v>
      </c>
      <c r="G54" s="27">
        <v>0.0</v>
      </c>
      <c r="H54" s="27">
        <v>0.0</v>
      </c>
      <c r="J54" s="28" t="s">
        <v>59</v>
      </c>
      <c r="K54" s="23">
        <v>100.44444444444444</v>
      </c>
      <c r="L54" s="23">
        <v>83.11111111111111</v>
      </c>
      <c r="M54" s="23">
        <v>2.4444444444444446</v>
      </c>
      <c r="N54" s="23">
        <v>1.0</v>
      </c>
      <c r="O54" s="23">
        <v>9.131313131313131</v>
      </c>
      <c r="P54" s="23">
        <v>7.555555555555556</v>
      </c>
      <c r="Q54" s="23">
        <v>401.77777777777777</v>
      </c>
      <c r="R54" s="23">
        <v>332.44444444444446</v>
      </c>
    </row>
    <row r="55" ht="15.75" customHeight="1">
      <c r="A55" s="22" t="str">
        <f t="shared" si="2"/>
        <v>jueves</v>
      </c>
      <c r="B55" s="24" t="str">
        <f t="shared" si="3"/>
        <v>febrero</v>
      </c>
      <c r="C55" s="37">
        <v>46058.0</v>
      </c>
      <c r="D55" s="26" t="s">
        <v>51</v>
      </c>
      <c r="E55" s="27">
        <v>56.0</v>
      </c>
      <c r="F55" s="27">
        <v>45.0</v>
      </c>
      <c r="G55" s="27">
        <v>4.0</v>
      </c>
      <c r="H55" s="27">
        <v>11.0</v>
      </c>
      <c r="J55" s="28" t="s">
        <v>52</v>
      </c>
      <c r="K55" s="23">
        <v>53.23076923076923</v>
      </c>
      <c r="L55" s="23">
        <v>38.15384615384615</v>
      </c>
      <c r="M55" s="23">
        <v>4.153846153846154</v>
      </c>
      <c r="N55" s="23">
        <v>5.076923076923077</v>
      </c>
      <c r="O55" s="23">
        <v>5.323076923076924</v>
      </c>
      <c r="P55" s="23">
        <v>3.815384615384615</v>
      </c>
      <c r="Q55" s="23">
        <v>212.92307692307693</v>
      </c>
      <c r="R55" s="23">
        <v>152.6153846153846</v>
      </c>
    </row>
    <row r="56" ht="15.75" customHeight="1">
      <c r="A56" s="22" t="str">
        <f t="shared" si="2"/>
        <v>jueves</v>
      </c>
      <c r="B56" s="24" t="str">
        <f t="shared" si="3"/>
        <v>febrero</v>
      </c>
      <c r="C56" s="37">
        <v>46058.0</v>
      </c>
      <c r="D56" s="22" t="s">
        <v>89</v>
      </c>
      <c r="E56" s="27">
        <v>87.0</v>
      </c>
      <c r="F56" s="27">
        <v>52.0</v>
      </c>
      <c r="G56" s="27">
        <v>0.0</v>
      </c>
      <c r="H56" s="27">
        <v>1.0</v>
      </c>
      <c r="J56" s="28" t="s">
        <v>53</v>
      </c>
      <c r="K56" s="23">
        <v>103.93333333333334</v>
      </c>
      <c r="L56" s="23">
        <v>65.93333333333334</v>
      </c>
      <c r="M56" s="23">
        <v>1.4177777777777778</v>
      </c>
      <c r="N56" s="23">
        <v>7.0088888888888885</v>
      </c>
      <c r="O56" s="23">
        <v>10.393333333333334</v>
      </c>
      <c r="P56" s="23">
        <v>6.593333333333334</v>
      </c>
      <c r="Q56" s="23">
        <v>415.73333333333335</v>
      </c>
      <c r="R56" s="23">
        <v>263.73333333333335</v>
      </c>
    </row>
    <row r="57" ht="15.75" customHeight="1">
      <c r="A57" s="22" t="str">
        <f t="shared" si="2"/>
        <v>jueves</v>
      </c>
      <c r="B57" s="24" t="str">
        <f t="shared" si="3"/>
        <v>febrero</v>
      </c>
      <c r="C57" s="37">
        <v>46058.0</v>
      </c>
      <c r="D57" s="26" t="s">
        <v>67</v>
      </c>
      <c r="E57" s="27">
        <v>102.0</v>
      </c>
      <c r="F57" s="27">
        <v>90.0</v>
      </c>
      <c r="G57" s="27">
        <v>8.0</v>
      </c>
      <c r="H57" s="27">
        <v>1.0</v>
      </c>
      <c r="J57" s="28" t="s">
        <v>60</v>
      </c>
      <c r="K57" s="23">
        <v>148.75</v>
      </c>
      <c r="L57" s="23">
        <v>85.0</v>
      </c>
      <c r="M57" s="23">
        <v>4.5</v>
      </c>
      <c r="N57" s="23">
        <v>5.75</v>
      </c>
      <c r="O57" s="23">
        <v>14.875</v>
      </c>
      <c r="P57" s="23">
        <v>8.5</v>
      </c>
      <c r="Q57" s="23">
        <v>595.0</v>
      </c>
      <c r="R57" s="23">
        <v>340.0</v>
      </c>
    </row>
    <row r="58" ht="15.75" customHeight="1">
      <c r="A58" s="22" t="str">
        <f t="shared" si="2"/>
        <v>jueves</v>
      </c>
      <c r="B58" s="24" t="str">
        <f t="shared" si="3"/>
        <v>febrero</v>
      </c>
      <c r="C58" s="37">
        <v>46058.0</v>
      </c>
      <c r="D58" s="26" t="s">
        <v>58</v>
      </c>
      <c r="E58" s="27">
        <v>108.0</v>
      </c>
      <c r="F58" s="27">
        <v>67.0</v>
      </c>
      <c r="G58" s="27">
        <v>7.0</v>
      </c>
      <c r="H58" s="27">
        <v>5.0</v>
      </c>
      <c r="J58" s="28" t="s">
        <v>41</v>
      </c>
      <c r="K58" s="23">
        <v>102.64285714285714</v>
      </c>
      <c r="L58" s="23">
        <v>71.64285714285714</v>
      </c>
      <c r="M58" s="23">
        <v>1.8571428571428572</v>
      </c>
      <c r="N58" s="23">
        <v>11.0</v>
      </c>
      <c r="O58" s="23">
        <v>9.331168831168831</v>
      </c>
      <c r="P58" s="23">
        <v>6.512987012987012</v>
      </c>
      <c r="Q58" s="23">
        <v>410.57142857142856</v>
      </c>
      <c r="R58" s="23">
        <v>286.57142857142856</v>
      </c>
    </row>
    <row r="59" ht="15.75" customHeight="1">
      <c r="A59" s="22" t="str">
        <f t="shared" si="2"/>
        <v>jueves</v>
      </c>
      <c r="B59" s="24" t="str">
        <f t="shared" si="3"/>
        <v>febrero</v>
      </c>
      <c r="C59" s="37">
        <v>46058.0</v>
      </c>
      <c r="D59" s="22" t="s">
        <v>127</v>
      </c>
      <c r="E59" s="27">
        <v>0.0</v>
      </c>
      <c r="F59" s="27">
        <v>0.0</v>
      </c>
      <c r="G59" s="27">
        <v>0.0</v>
      </c>
      <c r="H59" s="27">
        <v>0.0</v>
      </c>
      <c r="J59" s="28" t="s">
        <v>42</v>
      </c>
      <c r="K59" s="23">
        <v>97.58333333333333</v>
      </c>
      <c r="L59" s="23">
        <v>58.083333333333336</v>
      </c>
      <c r="M59" s="23">
        <v>4.166666666666667</v>
      </c>
      <c r="N59" s="23">
        <v>18.75</v>
      </c>
      <c r="O59" s="23">
        <v>9.758333333333333</v>
      </c>
      <c r="P59" s="23">
        <v>5.808333333333334</v>
      </c>
      <c r="Q59" s="23">
        <v>390.3333333333333</v>
      </c>
      <c r="R59" s="23">
        <v>232.33333333333334</v>
      </c>
    </row>
    <row r="60" ht="15.75" customHeight="1">
      <c r="A60" s="22" t="str">
        <f t="shared" si="2"/>
        <v>jueves</v>
      </c>
      <c r="B60" s="24" t="str">
        <f t="shared" si="3"/>
        <v>febrero</v>
      </c>
      <c r="C60" s="37">
        <v>46058.0</v>
      </c>
      <c r="D60" s="26" t="s">
        <v>52</v>
      </c>
      <c r="E60" s="27">
        <v>39.0</v>
      </c>
      <c r="F60" s="27">
        <v>32.0</v>
      </c>
      <c r="G60" s="27">
        <v>4.0</v>
      </c>
      <c r="H60" s="27">
        <v>5.0</v>
      </c>
      <c r="J60" s="28" t="s">
        <v>67</v>
      </c>
      <c r="K60" s="23">
        <v>84.28571428571429</v>
      </c>
      <c r="L60" s="23">
        <v>70.0</v>
      </c>
      <c r="M60" s="23">
        <v>3.9285714285714284</v>
      </c>
      <c r="N60" s="23">
        <v>2.5</v>
      </c>
      <c r="O60" s="23">
        <v>8.428571428571429</v>
      </c>
      <c r="P60" s="23">
        <v>7.0</v>
      </c>
      <c r="Q60" s="23">
        <v>337.14285714285717</v>
      </c>
      <c r="R60" s="23">
        <v>280.0</v>
      </c>
    </row>
    <row r="61" ht="15.75" customHeight="1">
      <c r="A61" s="22" t="str">
        <f t="shared" si="2"/>
        <v>jueves</v>
      </c>
      <c r="B61" s="24" t="str">
        <f t="shared" si="3"/>
        <v>febrero</v>
      </c>
      <c r="C61" s="37">
        <v>46058.0</v>
      </c>
      <c r="D61" s="26" t="s">
        <v>53</v>
      </c>
      <c r="E61" s="27">
        <v>85.0</v>
      </c>
      <c r="F61" s="27">
        <v>67.0</v>
      </c>
      <c r="G61" s="27">
        <v>1.0</v>
      </c>
      <c r="H61" s="27">
        <v>7.0</v>
      </c>
      <c r="J61" s="28" t="s">
        <v>58</v>
      </c>
      <c r="K61" s="23">
        <v>89.55555555555556</v>
      </c>
      <c r="L61" s="23">
        <v>53.0</v>
      </c>
      <c r="M61" s="23">
        <v>4.666666666666667</v>
      </c>
      <c r="N61" s="23">
        <v>3.888888888888889</v>
      </c>
      <c r="O61" s="23">
        <v>11.194444444444445</v>
      </c>
      <c r="P61" s="23">
        <v>6.625</v>
      </c>
      <c r="Q61" s="23">
        <v>447.77777777777777</v>
      </c>
      <c r="R61" s="23">
        <v>265.0</v>
      </c>
    </row>
    <row r="62" ht="15.75" customHeight="1">
      <c r="A62" s="22" t="str">
        <f t="shared" si="2"/>
        <v>jueves</v>
      </c>
      <c r="B62" s="24" t="str">
        <f t="shared" si="3"/>
        <v>febrero</v>
      </c>
      <c r="C62" s="37">
        <v>46058.0</v>
      </c>
      <c r="D62" s="26" t="s">
        <v>64</v>
      </c>
      <c r="E62" s="27">
        <v>182.0</v>
      </c>
      <c r="F62" s="27">
        <v>101.0</v>
      </c>
      <c r="G62" s="27">
        <v>7.0</v>
      </c>
      <c r="H62" s="27">
        <v>26.0</v>
      </c>
      <c r="J62" s="28" t="s">
        <v>64</v>
      </c>
      <c r="K62" s="23">
        <v>144.88888888888889</v>
      </c>
      <c r="L62" s="23">
        <v>83.88888888888889</v>
      </c>
      <c r="M62" s="23">
        <v>6.055555555555555</v>
      </c>
      <c r="N62" s="23">
        <v>9.444444444444445</v>
      </c>
      <c r="O62" s="23">
        <v>18.11111111111111</v>
      </c>
      <c r="P62" s="23">
        <v>10.48611111111111</v>
      </c>
      <c r="Q62" s="23">
        <v>724.4444444444445</v>
      </c>
      <c r="R62" s="23">
        <v>419.44444444444446</v>
      </c>
    </row>
    <row r="63" ht="15.75" customHeight="1">
      <c r="A63" s="22" t="str">
        <f t="shared" si="2"/>
        <v>jueves</v>
      </c>
      <c r="B63" s="24" t="str">
        <f t="shared" si="3"/>
        <v>febrero</v>
      </c>
      <c r="C63" s="37">
        <v>46058.0</v>
      </c>
      <c r="D63" s="26" t="s">
        <v>65</v>
      </c>
      <c r="E63" s="27">
        <v>52.0</v>
      </c>
      <c r="F63" s="27">
        <v>41.0</v>
      </c>
      <c r="G63" s="27">
        <v>3.0</v>
      </c>
      <c r="H63" s="27">
        <v>0.0</v>
      </c>
      <c r="J63" s="28" t="s">
        <v>65</v>
      </c>
      <c r="K63" s="23">
        <v>71.63157894736842</v>
      </c>
      <c r="L63" s="23">
        <v>57.26315789473684</v>
      </c>
      <c r="M63" s="23">
        <v>2.5789473684210527</v>
      </c>
      <c r="N63" s="23">
        <v>1.8421052631578947</v>
      </c>
      <c r="O63" s="23">
        <v>8.953947368421053</v>
      </c>
      <c r="P63" s="23">
        <v>7.157894736842105</v>
      </c>
      <c r="Q63" s="23">
        <v>358.15789473684214</v>
      </c>
      <c r="R63" s="23">
        <v>286.3157894736842</v>
      </c>
    </row>
    <row r="64" ht="15.75" customHeight="1">
      <c r="A64" s="22" t="str">
        <f t="shared" si="2"/>
        <v>jueves</v>
      </c>
      <c r="B64" s="24" t="str">
        <f t="shared" si="3"/>
        <v>febrero</v>
      </c>
      <c r="C64" s="37">
        <v>46058.0</v>
      </c>
      <c r="D64" s="26" t="s">
        <v>66</v>
      </c>
      <c r="E64" s="27">
        <v>77.0</v>
      </c>
      <c r="F64" s="27">
        <v>64.0</v>
      </c>
      <c r="G64" s="27">
        <v>2.0</v>
      </c>
      <c r="H64" s="27">
        <v>2.0</v>
      </c>
      <c r="J64" s="28" t="s">
        <v>51</v>
      </c>
      <c r="K64" s="23">
        <v>57.2</v>
      </c>
      <c r="L64" s="23">
        <v>45.93333333333333</v>
      </c>
      <c r="M64" s="23">
        <v>2.975</v>
      </c>
      <c r="N64" s="23">
        <v>13.875</v>
      </c>
      <c r="O64" s="23">
        <v>5.2</v>
      </c>
      <c r="P64" s="23">
        <v>4.175757575757576</v>
      </c>
      <c r="Q64" s="23">
        <v>228.8</v>
      </c>
      <c r="R64" s="23">
        <v>183.73333333333332</v>
      </c>
    </row>
    <row r="65" ht="15.75" customHeight="1">
      <c r="A65" s="22" t="str">
        <f t="shared" si="2"/>
        <v>viernes</v>
      </c>
      <c r="B65" s="24" t="str">
        <f t="shared" si="3"/>
        <v>febrero</v>
      </c>
      <c r="C65" s="37">
        <v>46059.0</v>
      </c>
      <c r="D65" s="22" t="s">
        <v>116</v>
      </c>
      <c r="E65" s="27">
        <v>28.0</v>
      </c>
      <c r="F65" s="27">
        <v>16.0</v>
      </c>
      <c r="G65" s="27">
        <v>6.0</v>
      </c>
      <c r="H65" s="27">
        <v>4.0</v>
      </c>
      <c r="J65" s="28" t="s">
        <v>66</v>
      </c>
      <c r="K65" s="23">
        <v>97.73684210526316</v>
      </c>
      <c r="L65" s="23">
        <v>85.05263157894737</v>
      </c>
      <c r="M65" s="23">
        <v>0.631578947368421</v>
      </c>
      <c r="N65" s="23">
        <v>4.315789473684211</v>
      </c>
      <c r="O65" s="23">
        <v>12.217105263157896</v>
      </c>
      <c r="P65" s="23">
        <v>10.631578947368421</v>
      </c>
      <c r="Q65" s="23">
        <v>488.68421052631584</v>
      </c>
      <c r="R65" s="23">
        <v>425.2631578947369</v>
      </c>
    </row>
    <row r="66" ht="15.75" customHeight="1">
      <c r="A66" s="22" t="str">
        <f t="shared" si="2"/>
        <v>viernes</v>
      </c>
      <c r="B66" s="24" t="str">
        <f t="shared" si="3"/>
        <v>febrero</v>
      </c>
      <c r="C66" s="37">
        <v>46059.0</v>
      </c>
      <c r="D66" s="26" t="s">
        <v>40</v>
      </c>
      <c r="E66" s="27">
        <v>69.0</v>
      </c>
      <c r="F66" s="27">
        <v>35.0</v>
      </c>
      <c r="G66" s="27">
        <v>1.0</v>
      </c>
      <c r="H66" s="27">
        <v>5.0</v>
      </c>
    </row>
    <row r="67" ht="15.75" customHeight="1">
      <c r="A67" s="22" t="str">
        <f t="shared" si="2"/>
        <v>viernes</v>
      </c>
      <c r="B67" s="24" t="str">
        <f t="shared" si="3"/>
        <v>febrero</v>
      </c>
      <c r="C67" s="37">
        <v>46059.0</v>
      </c>
      <c r="D67" s="26" t="s">
        <v>51</v>
      </c>
      <c r="E67" s="27">
        <v>64.0</v>
      </c>
      <c r="F67" s="27">
        <v>59.0</v>
      </c>
      <c r="G67" s="27">
        <v>6.0</v>
      </c>
      <c r="H67" s="27">
        <v>16.0</v>
      </c>
      <c r="J67" s="5" t="s">
        <v>129</v>
      </c>
    </row>
    <row r="68" ht="15.75" customHeight="1">
      <c r="A68" s="22" t="str">
        <f t="shared" si="2"/>
        <v>viernes</v>
      </c>
      <c r="B68" s="24" t="str">
        <f t="shared" si="3"/>
        <v>febrero</v>
      </c>
      <c r="C68" s="37">
        <v>46059.0</v>
      </c>
      <c r="D68" s="26" t="s">
        <v>58</v>
      </c>
      <c r="E68" s="27">
        <v>79.0</v>
      </c>
      <c r="F68" s="27">
        <v>44.0</v>
      </c>
      <c r="G68" s="27">
        <v>4.0</v>
      </c>
      <c r="H68" s="27">
        <v>8.0</v>
      </c>
    </row>
    <row r="69" ht="15.75" customHeight="1">
      <c r="A69" s="22" t="str">
        <f t="shared" si="2"/>
        <v>viernes</v>
      </c>
      <c r="B69" s="24" t="str">
        <f t="shared" si="3"/>
        <v>febrero</v>
      </c>
      <c r="C69" s="37">
        <v>46059.0</v>
      </c>
      <c r="D69" s="26" t="s">
        <v>52</v>
      </c>
      <c r="E69" s="27">
        <v>55.0</v>
      </c>
      <c r="F69" s="27">
        <v>42.0</v>
      </c>
      <c r="G69" s="27">
        <v>4.0</v>
      </c>
      <c r="H69" s="27">
        <v>2.0</v>
      </c>
    </row>
    <row r="70" ht="15.75" customHeight="1">
      <c r="A70" s="22" t="str">
        <f t="shared" si="2"/>
        <v>viernes</v>
      </c>
      <c r="B70" s="24" t="str">
        <f t="shared" si="3"/>
        <v>febrero</v>
      </c>
      <c r="C70" s="37">
        <v>46059.0</v>
      </c>
      <c r="D70" s="26" t="s">
        <v>53</v>
      </c>
      <c r="E70" s="27">
        <v>102.0</v>
      </c>
      <c r="F70" s="27">
        <v>65.0</v>
      </c>
      <c r="G70" s="27">
        <v>1.0</v>
      </c>
      <c r="H70" s="27">
        <v>3.0</v>
      </c>
    </row>
    <row r="71" ht="15.75" customHeight="1">
      <c r="A71" s="22" t="str">
        <f t="shared" si="2"/>
        <v>viernes</v>
      </c>
      <c r="B71" s="24" t="str">
        <f t="shared" si="3"/>
        <v>febrero</v>
      </c>
      <c r="C71" s="37">
        <v>46059.0</v>
      </c>
      <c r="D71" s="26" t="s">
        <v>64</v>
      </c>
      <c r="E71" s="27">
        <v>104.0</v>
      </c>
      <c r="F71" s="27">
        <v>51.0</v>
      </c>
      <c r="G71" s="27">
        <v>5.0</v>
      </c>
      <c r="H71" s="27">
        <v>11.0</v>
      </c>
    </row>
    <row r="72" ht="15.75" customHeight="1">
      <c r="A72" s="22" t="str">
        <f t="shared" si="2"/>
        <v>viernes</v>
      </c>
      <c r="B72" s="24" t="str">
        <f t="shared" si="3"/>
        <v>febrero</v>
      </c>
      <c r="C72" s="37">
        <v>46059.0</v>
      </c>
      <c r="D72" s="26" t="s">
        <v>65</v>
      </c>
      <c r="E72" s="27">
        <v>84.0</v>
      </c>
      <c r="F72" s="27">
        <v>70.0</v>
      </c>
      <c r="G72" s="27">
        <v>2.0</v>
      </c>
      <c r="H72" s="27">
        <v>1.0</v>
      </c>
    </row>
    <row r="73" ht="15.75" customHeight="1">
      <c r="A73" s="22" t="str">
        <f t="shared" si="2"/>
        <v>viernes</v>
      </c>
      <c r="B73" s="24" t="str">
        <f t="shared" si="3"/>
        <v>febrero</v>
      </c>
      <c r="C73" s="37">
        <v>46059.0</v>
      </c>
      <c r="D73" s="26" t="s">
        <v>66</v>
      </c>
      <c r="E73" s="27">
        <v>90.0</v>
      </c>
      <c r="F73" s="27">
        <v>69.0</v>
      </c>
      <c r="G73" s="27">
        <v>0.0</v>
      </c>
      <c r="H73" s="27">
        <v>12.0</v>
      </c>
    </row>
    <row r="74" ht="15.75" customHeight="1">
      <c r="A74" s="22" t="str">
        <f t="shared" si="2"/>
        <v>sábado</v>
      </c>
      <c r="B74" s="24" t="str">
        <f t="shared" si="3"/>
        <v>febrero</v>
      </c>
      <c r="C74" s="37">
        <v>46060.0</v>
      </c>
      <c r="D74" s="22" t="s">
        <v>116</v>
      </c>
      <c r="E74" s="27">
        <v>52.0</v>
      </c>
      <c r="F74" s="27">
        <v>39.0</v>
      </c>
      <c r="G74" s="27">
        <v>5.0</v>
      </c>
      <c r="H74" s="27">
        <v>6.0</v>
      </c>
    </row>
    <row r="75" ht="15.75" customHeight="1">
      <c r="A75" s="22" t="str">
        <f t="shared" si="2"/>
        <v>sábado</v>
      </c>
      <c r="B75" s="24" t="str">
        <f t="shared" si="3"/>
        <v>febrero</v>
      </c>
      <c r="C75" s="37">
        <v>46060.0</v>
      </c>
      <c r="D75" s="26" t="s">
        <v>40</v>
      </c>
      <c r="E75" s="27">
        <v>58.0</v>
      </c>
      <c r="F75" s="27">
        <v>38.0</v>
      </c>
      <c r="G75" s="27">
        <v>3.0</v>
      </c>
      <c r="H75" s="27">
        <v>8.0</v>
      </c>
    </row>
    <row r="76" ht="15.75" customHeight="1">
      <c r="A76" s="22" t="str">
        <f t="shared" si="2"/>
        <v>sábado</v>
      </c>
      <c r="B76" s="24" t="str">
        <f t="shared" si="3"/>
        <v>febrero</v>
      </c>
      <c r="C76" s="37">
        <v>46060.0</v>
      </c>
      <c r="D76" s="22" t="s">
        <v>43</v>
      </c>
      <c r="E76" s="27">
        <v>68.0</v>
      </c>
      <c r="F76" s="27">
        <v>43.0</v>
      </c>
      <c r="G76" s="27">
        <v>3.0</v>
      </c>
      <c r="H76" s="27">
        <v>15.0</v>
      </c>
    </row>
    <row r="77" ht="15.75" customHeight="1">
      <c r="A77" s="22" t="str">
        <f t="shared" si="2"/>
        <v>sábado</v>
      </c>
      <c r="B77" s="24" t="str">
        <f t="shared" si="3"/>
        <v>febrero</v>
      </c>
      <c r="C77" s="37">
        <v>46060.0</v>
      </c>
      <c r="D77" s="26" t="s">
        <v>51</v>
      </c>
      <c r="E77" s="27">
        <v>30.0</v>
      </c>
      <c r="F77" s="27">
        <v>27.0</v>
      </c>
      <c r="G77" s="66">
        <v>3.625</v>
      </c>
      <c r="H77" s="66">
        <v>13.125</v>
      </c>
    </row>
    <row r="78" ht="15.75" customHeight="1">
      <c r="A78" s="22" t="str">
        <f t="shared" si="2"/>
        <v>sábado</v>
      </c>
      <c r="B78" s="24" t="str">
        <f t="shared" si="3"/>
        <v>febrero</v>
      </c>
      <c r="C78" s="37">
        <v>46060.0</v>
      </c>
      <c r="D78" s="26" t="s">
        <v>59</v>
      </c>
      <c r="E78" s="27">
        <v>51.0</v>
      </c>
      <c r="F78" s="27">
        <v>41.0</v>
      </c>
      <c r="G78" s="27">
        <v>2.0</v>
      </c>
      <c r="H78" s="27">
        <v>3.0</v>
      </c>
    </row>
    <row r="79" ht="15.75" customHeight="1">
      <c r="A79" s="22" t="str">
        <f t="shared" si="2"/>
        <v>sábado</v>
      </c>
      <c r="B79" s="24" t="str">
        <f t="shared" si="3"/>
        <v>febrero</v>
      </c>
      <c r="C79" s="37">
        <v>46060.0</v>
      </c>
      <c r="D79" s="26" t="s">
        <v>52</v>
      </c>
      <c r="E79" s="27">
        <v>81.0</v>
      </c>
      <c r="F79" s="27">
        <v>61.0</v>
      </c>
      <c r="G79" s="27">
        <v>6.0</v>
      </c>
      <c r="H79" s="27">
        <v>10.0</v>
      </c>
    </row>
    <row r="80" ht="15.75" customHeight="1">
      <c r="A80" s="22" t="str">
        <f t="shared" si="2"/>
        <v>sábado</v>
      </c>
      <c r="B80" s="24" t="str">
        <f t="shared" si="3"/>
        <v>febrero</v>
      </c>
      <c r="C80" s="37">
        <v>46060.0</v>
      </c>
      <c r="D80" s="26" t="s">
        <v>53</v>
      </c>
      <c r="E80" s="27">
        <v>117.0</v>
      </c>
      <c r="F80" s="27">
        <v>79.0</v>
      </c>
      <c r="G80" s="66">
        <v>1.2666666666666666</v>
      </c>
      <c r="H80" s="66">
        <v>7.133333333333334</v>
      </c>
    </row>
    <row r="81" ht="15.75" customHeight="1">
      <c r="A81" s="22" t="str">
        <f t="shared" si="2"/>
        <v>sábado</v>
      </c>
      <c r="B81" s="24" t="str">
        <f t="shared" si="3"/>
        <v>febrero</v>
      </c>
      <c r="C81" s="37">
        <v>46060.0</v>
      </c>
      <c r="D81" s="26" t="s">
        <v>60</v>
      </c>
      <c r="E81" s="27">
        <v>218.0</v>
      </c>
      <c r="F81" s="27">
        <v>130.0</v>
      </c>
      <c r="G81" s="27">
        <v>5.0</v>
      </c>
      <c r="H81" s="27">
        <v>6.0</v>
      </c>
    </row>
    <row r="82" ht="15.75" customHeight="1">
      <c r="A82" s="22" t="str">
        <f t="shared" si="2"/>
        <v>domingo</v>
      </c>
      <c r="B82" s="24" t="str">
        <f t="shared" si="3"/>
        <v>febrero</v>
      </c>
      <c r="C82" s="37">
        <v>46061.0</v>
      </c>
      <c r="D82" s="26" t="s">
        <v>39</v>
      </c>
      <c r="E82" s="27">
        <v>90.0</v>
      </c>
      <c r="F82" s="27">
        <v>34.0</v>
      </c>
      <c r="G82" s="27">
        <v>10.0</v>
      </c>
      <c r="H82" s="27">
        <v>7.0</v>
      </c>
    </row>
    <row r="83" ht="15.75" customHeight="1">
      <c r="A83" s="22" t="str">
        <f t="shared" si="2"/>
        <v>domingo</v>
      </c>
      <c r="B83" s="24" t="str">
        <f t="shared" si="3"/>
        <v>febrero</v>
      </c>
      <c r="C83" s="37">
        <v>46061.0</v>
      </c>
      <c r="D83" s="26" t="s">
        <v>40</v>
      </c>
      <c r="E83" s="27">
        <v>67.0</v>
      </c>
      <c r="F83" s="27">
        <v>30.0</v>
      </c>
      <c r="G83" s="27">
        <v>9.0</v>
      </c>
      <c r="H83" s="27">
        <v>7.0</v>
      </c>
    </row>
    <row r="84" ht="15.75" customHeight="1">
      <c r="A84" s="22" t="str">
        <f t="shared" si="2"/>
        <v>domingo</v>
      </c>
      <c r="B84" s="24" t="str">
        <f t="shared" si="3"/>
        <v>febrero</v>
      </c>
      <c r="C84" s="37">
        <v>46061.0</v>
      </c>
      <c r="D84" s="22" t="s">
        <v>43</v>
      </c>
      <c r="E84" s="27">
        <v>101.0</v>
      </c>
      <c r="F84" s="27">
        <v>63.0</v>
      </c>
      <c r="G84" s="27">
        <v>4.0</v>
      </c>
      <c r="H84" s="27">
        <v>10.0</v>
      </c>
    </row>
    <row r="85" ht="15.75" customHeight="1">
      <c r="A85" s="22" t="str">
        <f t="shared" si="2"/>
        <v>domingo</v>
      </c>
      <c r="B85" s="24" t="str">
        <f t="shared" si="3"/>
        <v>febrero</v>
      </c>
      <c r="C85" s="37">
        <v>46061.0</v>
      </c>
      <c r="D85" s="26" t="s">
        <v>59</v>
      </c>
      <c r="E85" s="27">
        <v>136.0</v>
      </c>
      <c r="F85" s="27">
        <v>104.0</v>
      </c>
      <c r="G85" s="27">
        <v>3.0</v>
      </c>
      <c r="H85" s="27">
        <v>0.0</v>
      </c>
    </row>
    <row r="86" ht="15.75" customHeight="1">
      <c r="A86" s="22" t="str">
        <f t="shared" si="2"/>
        <v>domingo</v>
      </c>
      <c r="B86" s="24" t="str">
        <f t="shared" si="3"/>
        <v>febrero</v>
      </c>
      <c r="C86" s="37">
        <v>46061.0</v>
      </c>
      <c r="D86" s="26" t="s">
        <v>52</v>
      </c>
      <c r="E86" s="27">
        <v>91.0</v>
      </c>
      <c r="F86" s="27">
        <v>58.0</v>
      </c>
      <c r="G86" s="27">
        <v>6.0</v>
      </c>
      <c r="H86" s="27">
        <v>9.0</v>
      </c>
    </row>
    <row r="87" ht="15.75" customHeight="1">
      <c r="A87" s="22" t="str">
        <f t="shared" si="2"/>
        <v>domingo</v>
      </c>
      <c r="B87" s="24" t="str">
        <f t="shared" si="3"/>
        <v>febrero</v>
      </c>
      <c r="C87" s="37">
        <v>46061.0</v>
      </c>
      <c r="D87" s="26" t="s">
        <v>53</v>
      </c>
      <c r="E87" s="27">
        <v>112.0</v>
      </c>
      <c r="F87" s="27">
        <v>56.0</v>
      </c>
      <c r="G87" s="27">
        <v>2.0</v>
      </c>
      <c r="H87" s="27">
        <v>16.0</v>
      </c>
    </row>
    <row r="88" ht="15.75" customHeight="1">
      <c r="A88" s="22" t="str">
        <f t="shared" si="2"/>
        <v>domingo</v>
      </c>
      <c r="B88" s="24" t="str">
        <f t="shared" si="3"/>
        <v>febrero</v>
      </c>
      <c r="C88" s="37">
        <v>46061.0</v>
      </c>
      <c r="D88" s="26" t="s">
        <v>60</v>
      </c>
      <c r="E88" s="27">
        <v>114.0</v>
      </c>
      <c r="F88" s="27">
        <v>54.0</v>
      </c>
      <c r="G88" s="27">
        <v>8.0</v>
      </c>
      <c r="H88" s="27">
        <v>1.0</v>
      </c>
    </row>
    <row r="89" ht="15.75" customHeight="1">
      <c r="A89" s="22" t="str">
        <f t="shared" si="2"/>
        <v>lunes</v>
      </c>
      <c r="B89" s="24" t="str">
        <f t="shared" si="3"/>
        <v>febrero</v>
      </c>
      <c r="C89" s="37">
        <v>46062.0</v>
      </c>
      <c r="D89" s="26" t="s">
        <v>39</v>
      </c>
      <c r="E89" s="27">
        <v>69.0</v>
      </c>
      <c r="F89" s="27">
        <v>33.0</v>
      </c>
      <c r="G89" s="27">
        <v>1.0</v>
      </c>
      <c r="H89" s="27">
        <v>7.0</v>
      </c>
    </row>
    <row r="90" ht="15.75" customHeight="1">
      <c r="A90" s="22" t="str">
        <f t="shared" si="2"/>
        <v>lunes</v>
      </c>
      <c r="B90" s="24" t="str">
        <f t="shared" si="3"/>
        <v>febrero</v>
      </c>
      <c r="C90" s="37">
        <v>46062.0</v>
      </c>
      <c r="D90" s="26" t="s">
        <v>41</v>
      </c>
      <c r="E90" s="27">
        <v>95.0</v>
      </c>
      <c r="F90" s="27">
        <v>72.0</v>
      </c>
      <c r="G90" s="27">
        <v>1.0</v>
      </c>
      <c r="H90" s="27">
        <v>4.0</v>
      </c>
    </row>
    <row r="91" ht="15.75" customHeight="1">
      <c r="A91" s="22" t="str">
        <f t="shared" si="2"/>
        <v>lunes</v>
      </c>
      <c r="B91" s="24" t="str">
        <f t="shared" si="3"/>
        <v>febrero</v>
      </c>
      <c r="C91" s="37">
        <v>46062.0</v>
      </c>
      <c r="D91" s="26" t="s">
        <v>42</v>
      </c>
      <c r="E91" s="27">
        <v>105.0</v>
      </c>
      <c r="F91" s="27">
        <v>64.0</v>
      </c>
      <c r="G91" s="27">
        <v>2.0</v>
      </c>
      <c r="H91" s="27">
        <v>10.0</v>
      </c>
    </row>
    <row r="92" ht="15.75" customHeight="1">
      <c r="A92" s="22" t="str">
        <f t="shared" si="2"/>
        <v>lunes</v>
      </c>
      <c r="B92" s="24" t="str">
        <f t="shared" si="3"/>
        <v>febrero</v>
      </c>
      <c r="C92" s="37">
        <v>46062.0</v>
      </c>
      <c r="D92" s="26" t="s">
        <v>44</v>
      </c>
      <c r="E92" s="27">
        <v>52.0</v>
      </c>
      <c r="F92" s="27">
        <v>60.0</v>
      </c>
      <c r="G92" s="27">
        <v>0.0</v>
      </c>
      <c r="H92" s="27">
        <v>0.0</v>
      </c>
    </row>
    <row r="93" ht="15.75" customHeight="1">
      <c r="A93" s="22" t="str">
        <f t="shared" si="2"/>
        <v>lunes</v>
      </c>
      <c r="B93" s="24" t="str">
        <f t="shared" si="3"/>
        <v>febrero</v>
      </c>
      <c r="C93" s="37">
        <v>46062.0</v>
      </c>
      <c r="D93" s="22" t="s">
        <v>89</v>
      </c>
      <c r="E93" s="27">
        <v>152.0</v>
      </c>
      <c r="F93" s="27">
        <v>75.0</v>
      </c>
      <c r="G93" s="27">
        <v>0.0</v>
      </c>
      <c r="H93" s="27">
        <v>0.0</v>
      </c>
    </row>
    <row r="94" ht="15.75" customHeight="1">
      <c r="A94" s="22" t="str">
        <f t="shared" si="2"/>
        <v>lunes</v>
      </c>
      <c r="B94" s="24" t="str">
        <f t="shared" si="3"/>
        <v>febrero</v>
      </c>
      <c r="C94" s="37">
        <v>46062.0</v>
      </c>
      <c r="D94" s="22" t="s">
        <v>90</v>
      </c>
      <c r="E94" s="27">
        <v>233.0</v>
      </c>
      <c r="F94" s="27">
        <v>80.0</v>
      </c>
      <c r="G94" s="27">
        <v>0.0</v>
      </c>
      <c r="H94" s="27">
        <v>0.0</v>
      </c>
    </row>
    <row r="95" ht="15.75" customHeight="1">
      <c r="A95" s="22" t="str">
        <f t="shared" si="2"/>
        <v>lunes</v>
      </c>
      <c r="B95" s="24" t="str">
        <f t="shared" si="3"/>
        <v>febrero</v>
      </c>
      <c r="C95" s="37">
        <v>46062.0</v>
      </c>
      <c r="D95" s="26" t="s">
        <v>59</v>
      </c>
      <c r="E95" s="27">
        <v>76.0</v>
      </c>
      <c r="F95" s="27">
        <v>63.0</v>
      </c>
      <c r="G95" s="27">
        <v>4.0</v>
      </c>
      <c r="H95" s="27">
        <v>1.0</v>
      </c>
    </row>
    <row r="96" ht="15.75" customHeight="1">
      <c r="A96" s="22" t="str">
        <f t="shared" si="2"/>
        <v>lunes</v>
      </c>
      <c r="B96" s="24" t="str">
        <f t="shared" si="3"/>
        <v>febrero</v>
      </c>
      <c r="C96" s="37">
        <v>46062.0</v>
      </c>
      <c r="D96" s="26" t="s">
        <v>67</v>
      </c>
      <c r="E96" s="27">
        <v>80.0</v>
      </c>
      <c r="F96" s="27">
        <v>65.0</v>
      </c>
      <c r="G96" s="27">
        <v>3.0</v>
      </c>
      <c r="H96" s="27">
        <v>7.0</v>
      </c>
    </row>
    <row r="97" ht="15.75" customHeight="1">
      <c r="A97" s="22" t="str">
        <f t="shared" si="2"/>
        <v>lunes</v>
      </c>
      <c r="B97" s="24" t="str">
        <f t="shared" si="3"/>
        <v>febrero</v>
      </c>
      <c r="C97" s="37">
        <v>46062.0</v>
      </c>
      <c r="D97" s="22" t="s">
        <v>93</v>
      </c>
      <c r="E97" s="27">
        <v>108.0</v>
      </c>
      <c r="F97" s="27">
        <v>65.0</v>
      </c>
      <c r="G97" s="27">
        <v>0.0</v>
      </c>
      <c r="H97" s="27">
        <v>0.0</v>
      </c>
    </row>
    <row r="98" ht="15.75" customHeight="1">
      <c r="A98" s="22" t="str">
        <f t="shared" si="2"/>
        <v>lunes</v>
      </c>
      <c r="B98" s="24" t="str">
        <f t="shared" si="3"/>
        <v>febrero</v>
      </c>
      <c r="C98" s="37">
        <v>46062.0</v>
      </c>
      <c r="D98" s="26" t="s">
        <v>58</v>
      </c>
      <c r="E98" s="27">
        <v>121.0</v>
      </c>
      <c r="F98" s="27">
        <v>65.0</v>
      </c>
      <c r="G98" s="27">
        <v>5.0</v>
      </c>
      <c r="H98" s="27">
        <v>5.0</v>
      </c>
    </row>
    <row r="99" ht="15.75" customHeight="1">
      <c r="A99" s="22" t="str">
        <f t="shared" si="2"/>
        <v>lunes</v>
      </c>
      <c r="B99" s="24" t="str">
        <f t="shared" si="3"/>
        <v>febrero</v>
      </c>
      <c r="C99" s="37">
        <v>46062.0</v>
      </c>
      <c r="D99" s="26" t="s">
        <v>64</v>
      </c>
      <c r="E99" s="27">
        <v>157.0</v>
      </c>
      <c r="F99" s="27">
        <v>94.0</v>
      </c>
      <c r="G99" s="27">
        <v>8.0</v>
      </c>
      <c r="H99" s="27">
        <v>8.0</v>
      </c>
    </row>
    <row r="100" ht="15.75" customHeight="1">
      <c r="A100" s="22" t="str">
        <f t="shared" si="2"/>
        <v>lunes</v>
      </c>
      <c r="B100" s="24" t="str">
        <f t="shared" si="3"/>
        <v>febrero</v>
      </c>
      <c r="C100" s="37">
        <v>46062.0</v>
      </c>
      <c r="D100" s="26" t="s">
        <v>65</v>
      </c>
      <c r="E100" s="27">
        <v>60.0</v>
      </c>
      <c r="F100" s="27">
        <v>48.0</v>
      </c>
      <c r="G100" s="27">
        <v>1.0</v>
      </c>
      <c r="H100" s="27">
        <v>0.0</v>
      </c>
    </row>
    <row r="101" ht="15.75" customHeight="1">
      <c r="A101" s="22" t="str">
        <f t="shared" si="2"/>
        <v>lunes</v>
      </c>
      <c r="B101" s="24" t="str">
        <f t="shared" si="3"/>
        <v>febrero</v>
      </c>
      <c r="C101" s="37">
        <v>46062.0</v>
      </c>
      <c r="D101" s="26" t="s">
        <v>60</v>
      </c>
      <c r="E101" s="27">
        <v>113.0</v>
      </c>
      <c r="F101" s="27">
        <v>40.0</v>
      </c>
      <c r="G101" s="27">
        <v>5.0</v>
      </c>
      <c r="H101" s="27">
        <v>13.0</v>
      </c>
    </row>
    <row r="102" ht="15.75" customHeight="1">
      <c r="A102" s="22" t="str">
        <f t="shared" si="2"/>
        <v>lunes</v>
      </c>
      <c r="B102" s="24" t="str">
        <f t="shared" si="3"/>
        <v>febrero</v>
      </c>
      <c r="C102" s="37">
        <v>46062.0</v>
      </c>
      <c r="D102" s="26" t="s">
        <v>66</v>
      </c>
      <c r="E102" s="27">
        <v>78.0</v>
      </c>
      <c r="F102" s="27">
        <v>66.0</v>
      </c>
      <c r="G102" s="27">
        <v>0.0</v>
      </c>
      <c r="H102" s="27">
        <v>1.0</v>
      </c>
    </row>
    <row r="103" ht="15.75" customHeight="1">
      <c r="A103" s="22" t="str">
        <f t="shared" si="2"/>
        <v>martes</v>
      </c>
      <c r="B103" s="24" t="str">
        <f t="shared" si="3"/>
        <v>febrero</v>
      </c>
      <c r="C103" s="37">
        <v>46063.0</v>
      </c>
      <c r="D103" s="26" t="s">
        <v>39</v>
      </c>
      <c r="E103" s="27">
        <v>88.0</v>
      </c>
      <c r="F103" s="27">
        <v>35.0</v>
      </c>
      <c r="G103" s="27">
        <v>2.0</v>
      </c>
      <c r="H103" s="27">
        <v>23.0</v>
      </c>
    </row>
    <row r="104" ht="15.75" customHeight="1">
      <c r="A104" s="22" t="str">
        <f t="shared" si="2"/>
        <v>martes</v>
      </c>
      <c r="B104" s="24" t="str">
        <f t="shared" si="3"/>
        <v>febrero</v>
      </c>
      <c r="C104" s="37">
        <v>46063.0</v>
      </c>
      <c r="D104" s="26" t="s">
        <v>41</v>
      </c>
      <c r="E104" s="27">
        <v>92.0</v>
      </c>
      <c r="F104" s="27">
        <v>69.0</v>
      </c>
      <c r="G104" s="27">
        <v>4.0</v>
      </c>
      <c r="H104" s="27">
        <v>13.0</v>
      </c>
    </row>
    <row r="105" ht="15.75" customHeight="1">
      <c r="A105" s="22" t="str">
        <f t="shared" si="2"/>
        <v>martes</v>
      </c>
      <c r="B105" s="24" t="str">
        <f t="shared" si="3"/>
        <v>febrero</v>
      </c>
      <c r="C105" s="37">
        <v>46063.0</v>
      </c>
      <c r="D105" s="26" t="s">
        <v>42</v>
      </c>
      <c r="E105" s="27">
        <v>113.0</v>
      </c>
      <c r="F105" s="27">
        <v>78.0</v>
      </c>
      <c r="G105" s="27">
        <v>7.0</v>
      </c>
      <c r="H105" s="27">
        <v>27.0</v>
      </c>
    </row>
    <row r="106" ht="15.75" customHeight="1">
      <c r="A106" s="22" t="str">
        <f t="shared" si="2"/>
        <v>martes</v>
      </c>
      <c r="B106" s="24" t="str">
        <f t="shared" si="3"/>
        <v>febrero</v>
      </c>
      <c r="C106" s="37">
        <v>46063.0</v>
      </c>
      <c r="D106" s="22" t="s">
        <v>89</v>
      </c>
      <c r="E106" s="27">
        <v>188.0</v>
      </c>
      <c r="F106" s="27">
        <v>85.0</v>
      </c>
      <c r="G106" s="27">
        <v>0.0</v>
      </c>
      <c r="H106" s="27">
        <v>0.0</v>
      </c>
    </row>
    <row r="107" ht="15.75" customHeight="1">
      <c r="A107" s="22" t="str">
        <f t="shared" si="2"/>
        <v>martes</v>
      </c>
      <c r="B107" s="24" t="str">
        <f t="shared" si="3"/>
        <v>febrero</v>
      </c>
      <c r="C107" s="37">
        <v>46063.0</v>
      </c>
      <c r="D107" s="22" t="s">
        <v>90</v>
      </c>
      <c r="E107" s="27">
        <v>205.0</v>
      </c>
      <c r="F107" s="27">
        <v>92.0</v>
      </c>
      <c r="G107" s="27">
        <v>0.0</v>
      </c>
      <c r="H107" s="27">
        <v>0.0</v>
      </c>
    </row>
    <row r="108" ht="15.75" customHeight="1">
      <c r="A108" s="22" t="str">
        <f t="shared" si="2"/>
        <v>martes</v>
      </c>
      <c r="B108" s="24" t="str">
        <f t="shared" si="3"/>
        <v>febrero</v>
      </c>
      <c r="C108" s="37">
        <v>46063.0</v>
      </c>
      <c r="D108" s="26" t="s">
        <v>67</v>
      </c>
      <c r="E108" s="27">
        <v>89.0</v>
      </c>
      <c r="F108" s="27">
        <v>78.0</v>
      </c>
      <c r="G108" s="27">
        <v>10.0</v>
      </c>
      <c r="H108" s="27">
        <v>4.0</v>
      </c>
    </row>
    <row r="109" ht="15.75" customHeight="1">
      <c r="A109" s="22" t="str">
        <f t="shared" si="2"/>
        <v>martes</v>
      </c>
      <c r="B109" s="24" t="str">
        <f t="shared" si="3"/>
        <v>febrero</v>
      </c>
      <c r="C109" s="37">
        <v>46063.0</v>
      </c>
      <c r="D109" s="22" t="s">
        <v>93</v>
      </c>
      <c r="E109" s="27">
        <v>76.0</v>
      </c>
      <c r="F109" s="27">
        <v>56.0</v>
      </c>
      <c r="G109" s="27">
        <v>0.0</v>
      </c>
      <c r="H109" s="27">
        <v>0.0</v>
      </c>
    </row>
    <row r="110" ht="15.75" customHeight="1">
      <c r="A110" s="22" t="str">
        <f t="shared" si="2"/>
        <v>martes</v>
      </c>
      <c r="B110" s="24" t="str">
        <f t="shared" si="3"/>
        <v>febrero</v>
      </c>
      <c r="C110" s="37">
        <v>46063.0</v>
      </c>
      <c r="D110" s="26" t="s">
        <v>58</v>
      </c>
      <c r="E110" s="27">
        <v>115.0</v>
      </c>
      <c r="F110" s="27">
        <v>76.0</v>
      </c>
      <c r="G110" s="27">
        <v>10.0</v>
      </c>
      <c r="H110" s="27">
        <v>1.0</v>
      </c>
    </row>
    <row r="111" ht="15.75" customHeight="1">
      <c r="A111" s="22" t="str">
        <f t="shared" si="2"/>
        <v>martes</v>
      </c>
      <c r="B111" s="24" t="str">
        <f t="shared" si="3"/>
        <v>febrero</v>
      </c>
      <c r="C111" s="37">
        <v>46063.0</v>
      </c>
      <c r="D111" s="26" t="s">
        <v>64</v>
      </c>
      <c r="E111" s="27">
        <v>132.0</v>
      </c>
      <c r="F111" s="27">
        <v>69.0</v>
      </c>
      <c r="G111" s="27">
        <v>7.0</v>
      </c>
      <c r="H111" s="27">
        <v>17.0</v>
      </c>
    </row>
    <row r="112" ht="15.75" customHeight="1">
      <c r="A112" s="22" t="str">
        <f t="shared" si="2"/>
        <v>martes</v>
      </c>
      <c r="B112" s="24" t="str">
        <f t="shared" si="3"/>
        <v>febrero</v>
      </c>
      <c r="C112" s="37">
        <v>46063.0</v>
      </c>
      <c r="D112" s="26" t="s">
        <v>65</v>
      </c>
      <c r="E112" s="27">
        <v>82.0</v>
      </c>
      <c r="F112" s="27">
        <v>59.0</v>
      </c>
      <c r="G112" s="27">
        <v>1.0</v>
      </c>
      <c r="H112" s="27">
        <v>8.0</v>
      </c>
    </row>
    <row r="113" ht="15.75" customHeight="1">
      <c r="A113" s="22" t="str">
        <f t="shared" si="2"/>
        <v>martes</v>
      </c>
      <c r="B113" s="24" t="str">
        <f t="shared" si="3"/>
        <v>febrero</v>
      </c>
      <c r="C113" s="37">
        <v>46063.0</v>
      </c>
      <c r="D113" s="26" t="s">
        <v>66</v>
      </c>
      <c r="E113" s="27">
        <v>96.0</v>
      </c>
      <c r="F113" s="27">
        <v>89.0</v>
      </c>
      <c r="G113" s="27">
        <v>0.0</v>
      </c>
      <c r="H113" s="27">
        <v>2.0</v>
      </c>
    </row>
    <row r="114" ht="15.75" customHeight="1">
      <c r="A114" s="22" t="str">
        <f t="shared" si="2"/>
        <v>miércoles</v>
      </c>
      <c r="B114" s="24" t="str">
        <f t="shared" si="3"/>
        <v>febrero</v>
      </c>
      <c r="C114" s="37">
        <v>46064.0</v>
      </c>
      <c r="D114" s="22" t="s">
        <v>77</v>
      </c>
      <c r="E114" s="22" t="s">
        <v>77</v>
      </c>
      <c r="F114" s="22" t="s">
        <v>77</v>
      </c>
      <c r="G114" s="22" t="s">
        <v>77</v>
      </c>
      <c r="H114" s="22" t="s">
        <v>77</v>
      </c>
    </row>
    <row r="115" ht="15.75" customHeight="1">
      <c r="A115" s="22" t="str">
        <f t="shared" si="2"/>
        <v>jueves</v>
      </c>
      <c r="B115" s="24" t="str">
        <f t="shared" si="3"/>
        <v>febrero</v>
      </c>
      <c r="C115" s="37">
        <v>46065.0</v>
      </c>
      <c r="D115" s="22" t="s">
        <v>107</v>
      </c>
      <c r="E115" s="27">
        <v>163.0</v>
      </c>
      <c r="F115" s="27">
        <v>61.0</v>
      </c>
      <c r="G115" s="27">
        <v>0.0</v>
      </c>
      <c r="H115" s="27">
        <v>0.0</v>
      </c>
    </row>
    <row r="116" ht="15.75" customHeight="1">
      <c r="A116" s="22" t="str">
        <f t="shared" si="2"/>
        <v>jueves</v>
      </c>
      <c r="B116" s="24" t="str">
        <f t="shared" si="3"/>
        <v>febrero</v>
      </c>
      <c r="C116" s="37">
        <v>46065.0</v>
      </c>
      <c r="D116" s="26" t="s">
        <v>40</v>
      </c>
      <c r="E116" s="27">
        <v>90.0</v>
      </c>
      <c r="F116" s="27">
        <v>46.0</v>
      </c>
      <c r="G116" s="27">
        <v>2.0</v>
      </c>
      <c r="H116" s="27">
        <v>12.0</v>
      </c>
    </row>
    <row r="117" ht="15.75" customHeight="1">
      <c r="A117" s="22" t="str">
        <f t="shared" si="2"/>
        <v>jueves</v>
      </c>
      <c r="B117" s="24" t="str">
        <f t="shared" si="3"/>
        <v>febrero</v>
      </c>
      <c r="C117" s="37">
        <v>46065.0</v>
      </c>
      <c r="D117" s="26" t="s">
        <v>41</v>
      </c>
      <c r="E117" s="27">
        <v>106.0</v>
      </c>
      <c r="F117" s="27">
        <v>58.0</v>
      </c>
      <c r="G117" s="27">
        <v>2.0</v>
      </c>
      <c r="H117" s="27">
        <v>15.0</v>
      </c>
    </row>
    <row r="118" ht="15.75" customHeight="1">
      <c r="A118" s="22" t="str">
        <f t="shared" si="2"/>
        <v>jueves</v>
      </c>
      <c r="B118" s="24" t="str">
        <f t="shared" si="3"/>
        <v>febrero</v>
      </c>
      <c r="C118" s="37">
        <v>46065.0</v>
      </c>
      <c r="D118" s="26" t="s">
        <v>42</v>
      </c>
      <c r="E118" s="27">
        <v>79.0</v>
      </c>
      <c r="F118" s="27">
        <v>49.0</v>
      </c>
      <c r="G118" s="27">
        <v>5.0</v>
      </c>
      <c r="H118" s="27">
        <v>9.0</v>
      </c>
    </row>
    <row r="119" ht="15.75" customHeight="1">
      <c r="A119" s="22" t="str">
        <f t="shared" si="2"/>
        <v>jueves</v>
      </c>
      <c r="B119" s="24" t="str">
        <f t="shared" si="3"/>
        <v>febrero</v>
      </c>
      <c r="C119" s="37">
        <v>46065.0</v>
      </c>
      <c r="D119" s="22" t="s">
        <v>117</v>
      </c>
      <c r="E119" s="27">
        <v>238.0</v>
      </c>
      <c r="F119" s="27">
        <v>79.0</v>
      </c>
      <c r="G119" s="27">
        <v>0.0</v>
      </c>
      <c r="H119" s="27">
        <v>0.0</v>
      </c>
    </row>
    <row r="120" ht="15.75" customHeight="1">
      <c r="A120" s="22" t="str">
        <f t="shared" si="2"/>
        <v>jueves</v>
      </c>
      <c r="B120" s="24" t="str">
        <f t="shared" si="3"/>
        <v>febrero</v>
      </c>
      <c r="C120" s="37">
        <v>46065.0</v>
      </c>
      <c r="D120" s="26" t="s">
        <v>51</v>
      </c>
      <c r="E120" s="27">
        <v>51.0</v>
      </c>
      <c r="F120" s="27">
        <v>45.0</v>
      </c>
      <c r="G120" s="27">
        <v>3.0</v>
      </c>
      <c r="H120" s="27">
        <v>9.0</v>
      </c>
    </row>
    <row r="121" ht="15.75" customHeight="1">
      <c r="A121" s="22" t="str">
        <f t="shared" si="2"/>
        <v>jueves</v>
      </c>
      <c r="B121" s="24" t="str">
        <f t="shared" si="3"/>
        <v>febrero</v>
      </c>
      <c r="C121" s="37">
        <v>46065.0</v>
      </c>
      <c r="D121" s="22" t="s">
        <v>89</v>
      </c>
      <c r="E121" s="27">
        <v>117.0</v>
      </c>
      <c r="F121" s="27">
        <v>37.0</v>
      </c>
      <c r="G121" s="27">
        <v>0.0</v>
      </c>
      <c r="H121" s="27">
        <v>0.0</v>
      </c>
    </row>
    <row r="122" ht="15.75" customHeight="1">
      <c r="A122" s="22" t="str">
        <f t="shared" si="2"/>
        <v>jueves</v>
      </c>
      <c r="B122" s="24" t="str">
        <f t="shared" si="3"/>
        <v>febrero</v>
      </c>
      <c r="C122" s="37">
        <v>46065.0</v>
      </c>
      <c r="D122" s="26" t="s">
        <v>67</v>
      </c>
      <c r="E122" s="27">
        <v>92.0</v>
      </c>
      <c r="F122" s="27">
        <v>74.0</v>
      </c>
      <c r="G122" s="27">
        <v>6.0</v>
      </c>
      <c r="H122" s="27">
        <v>4.0</v>
      </c>
    </row>
    <row r="123" ht="15.75" customHeight="1">
      <c r="A123" s="22" t="str">
        <f t="shared" si="2"/>
        <v>jueves</v>
      </c>
      <c r="B123" s="24" t="str">
        <f t="shared" si="3"/>
        <v>febrero</v>
      </c>
      <c r="C123" s="37">
        <v>46065.0</v>
      </c>
      <c r="D123" s="26" t="s">
        <v>58</v>
      </c>
      <c r="E123" s="27">
        <v>112.0</v>
      </c>
      <c r="F123" s="27">
        <v>72.0</v>
      </c>
      <c r="G123" s="27">
        <v>6.0</v>
      </c>
      <c r="H123" s="27">
        <v>2.0</v>
      </c>
    </row>
    <row r="124" ht="15.75" customHeight="1">
      <c r="A124" s="22" t="str">
        <f t="shared" si="2"/>
        <v>jueves</v>
      </c>
      <c r="B124" s="24" t="str">
        <f t="shared" si="3"/>
        <v>febrero</v>
      </c>
      <c r="C124" s="37">
        <v>46065.0</v>
      </c>
      <c r="D124" s="22" t="s">
        <v>127</v>
      </c>
      <c r="E124" s="27">
        <v>0.0</v>
      </c>
      <c r="F124" s="27">
        <v>0.0</v>
      </c>
      <c r="G124" s="27">
        <v>0.0</v>
      </c>
      <c r="H124" s="27">
        <v>0.0</v>
      </c>
    </row>
    <row r="125" ht="15.75" customHeight="1">
      <c r="A125" s="22" t="str">
        <f t="shared" si="2"/>
        <v>jueves</v>
      </c>
      <c r="B125" s="24" t="str">
        <f t="shared" si="3"/>
        <v>febrero</v>
      </c>
      <c r="C125" s="37">
        <v>46065.0</v>
      </c>
      <c r="D125" s="26" t="s">
        <v>52</v>
      </c>
      <c r="E125" s="27">
        <v>37.0</v>
      </c>
      <c r="F125" s="27">
        <v>30.0</v>
      </c>
      <c r="G125" s="27">
        <v>2.0</v>
      </c>
      <c r="H125" s="27">
        <v>2.0</v>
      </c>
    </row>
    <row r="126" ht="15.75" customHeight="1">
      <c r="A126" s="22" t="str">
        <f t="shared" si="2"/>
        <v>jueves</v>
      </c>
      <c r="B126" s="24" t="str">
        <f t="shared" si="3"/>
        <v>febrero</v>
      </c>
      <c r="C126" s="37">
        <v>46065.0</v>
      </c>
      <c r="D126" s="26" t="s">
        <v>53</v>
      </c>
      <c r="E126" s="27">
        <v>58.0</v>
      </c>
      <c r="F126" s="27">
        <v>43.0</v>
      </c>
      <c r="G126" s="27">
        <v>1.0</v>
      </c>
      <c r="H126" s="27">
        <v>2.0</v>
      </c>
    </row>
    <row r="127" ht="15.75" customHeight="1">
      <c r="A127" s="22" t="str">
        <f t="shared" si="2"/>
        <v>jueves</v>
      </c>
      <c r="B127" s="24" t="str">
        <f t="shared" si="3"/>
        <v>febrero</v>
      </c>
      <c r="C127" s="37">
        <v>46065.0</v>
      </c>
      <c r="D127" s="26" t="s">
        <v>64</v>
      </c>
      <c r="E127" s="27">
        <v>162.0</v>
      </c>
      <c r="F127" s="27">
        <v>91.0</v>
      </c>
      <c r="G127" s="27">
        <v>7.0</v>
      </c>
      <c r="H127" s="27">
        <v>4.0</v>
      </c>
    </row>
    <row r="128" ht="15.75" customHeight="1">
      <c r="A128" s="22" t="str">
        <f t="shared" si="2"/>
        <v>jueves</v>
      </c>
      <c r="B128" s="24" t="str">
        <f t="shared" si="3"/>
        <v>febrero</v>
      </c>
      <c r="C128" s="37">
        <v>46065.0</v>
      </c>
      <c r="D128" s="26" t="s">
        <v>65</v>
      </c>
      <c r="E128" s="27">
        <v>75.0</v>
      </c>
      <c r="F128" s="27">
        <v>63.0</v>
      </c>
      <c r="G128" s="27">
        <v>3.0</v>
      </c>
      <c r="H128" s="27">
        <v>0.0</v>
      </c>
    </row>
    <row r="129" ht="15.75" customHeight="1">
      <c r="A129" s="22" t="str">
        <f t="shared" si="2"/>
        <v>jueves</v>
      </c>
      <c r="B129" s="24" t="str">
        <f t="shared" si="3"/>
        <v>febrero</v>
      </c>
      <c r="C129" s="37">
        <v>46065.0</v>
      </c>
      <c r="D129" s="26" t="s">
        <v>66</v>
      </c>
      <c r="E129" s="27">
        <v>93.0</v>
      </c>
      <c r="F129" s="27">
        <v>87.0</v>
      </c>
      <c r="G129" s="27">
        <v>3.0</v>
      </c>
      <c r="H129" s="27">
        <v>5.0</v>
      </c>
    </row>
    <row r="130" ht="15.75" customHeight="1">
      <c r="A130" s="22" t="str">
        <f t="shared" si="2"/>
        <v>viernes</v>
      </c>
      <c r="B130" s="24" t="str">
        <f t="shared" si="3"/>
        <v>febrero</v>
      </c>
      <c r="C130" s="37">
        <v>46066.0</v>
      </c>
      <c r="D130" s="26" t="s">
        <v>40</v>
      </c>
      <c r="E130" s="27">
        <v>66.0</v>
      </c>
      <c r="F130" s="27">
        <v>46.0</v>
      </c>
      <c r="G130" s="27">
        <v>1.0</v>
      </c>
      <c r="H130" s="27">
        <v>8.0</v>
      </c>
    </row>
    <row r="131" ht="15.75" customHeight="1">
      <c r="A131" s="22" t="str">
        <f t="shared" si="2"/>
        <v>viernes</v>
      </c>
      <c r="B131" s="24" t="str">
        <f t="shared" si="3"/>
        <v>febrero</v>
      </c>
      <c r="C131" s="37">
        <v>46066.0</v>
      </c>
      <c r="D131" s="26" t="s">
        <v>51</v>
      </c>
      <c r="E131" s="27">
        <v>35.0</v>
      </c>
      <c r="F131" s="27">
        <v>24.0</v>
      </c>
      <c r="G131" s="27">
        <v>5.0</v>
      </c>
      <c r="H131" s="27">
        <v>19.0</v>
      </c>
    </row>
    <row r="132" ht="15.75" customHeight="1">
      <c r="A132" s="22" t="str">
        <f t="shared" si="2"/>
        <v>viernes</v>
      </c>
      <c r="B132" s="24" t="str">
        <f t="shared" si="3"/>
        <v>febrero</v>
      </c>
      <c r="C132" s="37">
        <v>46066.0</v>
      </c>
      <c r="D132" s="26" t="s">
        <v>58</v>
      </c>
      <c r="E132" s="27">
        <v>57.0</v>
      </c>
      <c r="F132" s="27">
        <v>32.0</v>
      </c>
      <c r="G132" s="27">
        <v>6.0</v>
      </c>
      <c r="H132" s="27">
        <v>0.0</v>
      </c>
    </row>
    <row r="133" ht="15.75" customHeight="1">
      <c r="A133" s="22" t="str">
        <f t="shared" si="2"/>
        <v>viernes</v>
      </c>
      <c r="B133" s="24" t="str">
        <f t="shared" si="3"/>
        <v>febrero</v>
      </c>
      <c r="C133" s="37">
        <v>46066.0</v>
      </c>
      <c r="D133" s="26" t="s">
        <v>52</v>
      </c>
      <c r="E133" s="27">
        <v>89.0</v>
      </c>
      <c r="F133" s="27">
        <v>61.0</v>
      </c>
      <c r="G133" s="27">
        <v>3.0</v>
      </c>
      <c r="H133" s="27">
        <v>4.0</v>
      </c>
    </row>
    <row r="134" ht="15.75" customHeight="1">
      <c r="A134" s="22" t="str">
        <f t="shared" si="2"/>
        <v>viernes</v>
      </c>
      <c r="B134" s="24" t="str">
        <f t="shared" si="3"/>
        <v>febrero</v>
      </c>
      <c r="C134" s="37">
        <v>46066.0</v>
      </c>
      <c r="D134" s="26" t="s">
        <v>64</v>
      </c>
      <c r="E134" s="27">
        <v>102.0</v>
      </c>
      <c r="F134" s="27">
        <v>48.0</v>
      </c>
      <c r="G134" s="27">
        <v>2.0</v>
      </c>
      <c r="H134" s="27">
        <v>9.0</v>
      </c>
    </row>
    <row r="135" ht="15.75" customHeight="1">
      <c r="A135" s="22" t="str">
        <f t="shared" si="2"/>
        <v>viernes</v>
      </c>
      <c r="B135" s="24" t="str">
        <f t="shared" si="3"/>
        <v>febrero</v>
      </c>
      <c r="C135" s="37">
        <v>46066.0</v>
      </c>
      <c r="D135" s="26" t="s">
        <v>65</v>
      </c>
      <c r="E135" s="27">
        <v>100.0</v>
      </c>
      <c r="F135" s="27">
        <v>88.0</v>
      </c>
      <c r="G135" s="27">
        <v>1.0</v>
      </c>
      <c r="H135" s="27">
        <v>1.0</v>
      </c>
    </row>
    <row r="136" ht="15.75" customHeight="1">
      <c r="A136" s="22" t="str">
        <f t="shared" si="2"/>
        <v>viernes</v>
      </c>
      <c r="B136" s="24" t="str">
        <f t="shared" si="3"/>
        <v>febrero</v>
      </c>
      <c r="C136" s="37">
        <v>46066.0</v>
      </c>
      <c r="D136" s="26" t="s">
        <v>66</v>
      </c>
      <c r="E136" s="27">
        <v>103.0</v>
      </c>
      <c r="F136" s="27">
        <v>89.0</v>
      </c>
      <c r="G136" s="27">
        <v>0.0</v>
      </c>
      <c r="H136" s="27">
        <v>5.0</v>
      </c>
    </row>
    <row r="137" ht="15.75" customHeight="1">
      <c r="A137" s="22" t="str">
        <f t="shared" si="2"/>
        <v>sábado</v>
      </c>
      <c r="B137" s="24" t="str">
        <f t="shared" si="3"/>
        <v>febrero</v>
      </c>
      <c r="C137" s="37">
        <v>46067.0</v>
      </c>
      <c r="D137" s="26" t="s">
        <v>40</v>
      </c>
      <c r="E137" s="27">
        <v>75.0</v>
      </c>
      <c r="F137" s="27">
        <v>39.0</v>
      </c>
      <c r="G137" s="27">
        <v>2.0</v>
      </c>
      <c r="H137" s="27">
        <v>4.0</v>
      </c>
    </row>
    <row r="138" ht="15.75" customHeight="1">
      <c r="A138" s="22" t="str">
        <f t="shared" si="2"/>
        <v>sábado</v>
      </c>
      <c r="B138" s="24" t="str">
        <f t="shared" si="3"/>
        <v>febrero</v>
      </c>
      <c r="C138" s="37">
        <v>46067.0</v>
      </c>
      <c r="D138" s="22" t="s">
        <v>43</v>
      </c>
      <c r="E138" s="27">
        <v>75.0</v>
      </c>
      <c r="F138" s="27">
        <v>41.0</v>
      </c>
      <c r="G138" s="27">
        <v>4.0</v>
      </c>
      <c r="H138" s="27">
        <v>7.0</v>
      </c>
    </row>
    <row r="139" ht="15.75" customHeight="1">
      <c r="A139" s="22" t="str">
        <f t="shared" si="2"/>
        <v>sábado</v>
      </c>
      <c r="B139" s="24" t="str">
        <f t="shared" si="3"/>
        <v>febrero</v>
      </c>
      <c r="C139" s="37">
        <v>46067.0</v>
      </c>
      <c r="D139" s="26" t="s">
        <v>51</v>
      </c>
      <c r="E139" s="27">
        <v>65.0</v>
      </c>
      <c r="F139" s="27">
        <v>59.0</v>
      </c>
      <c r="G139" s="27">
        <v>2.0</v>
      </c>
      <c r="H139" s="27">
        <v>3.0</v>
      </c>
    </row>
    <row r="140" ht="15.75" customHeight="1">
      <c r="A140" s="22" t="str">
        <f t="shared" si="2"/>
        <v>sábado</v>
      </c>
      <c r="B140" s="24" t="str">
        <f t="shared" si="3"/>
        <v>febrero</v>
      </c>
      <c r="C140" s="37">
        <v>46067.0</v>
      </c>
      <c r="D140" s="26" t="s">
        <v>59</v>
      </c>
      <c r="E140" s="27">
        <v>118.0</v>
      </c>
      <c r="F140" s="27">
        <v>114.0</v>
      </c>
      <c r="G140" s="27">
        <v>2.0</v>
      </c>
      <c r="H140" s="27">
        <v>0.0</v>
      </c>
    </row>
    <row r="141" ht="15.75" customHeight="1">
      <c r="A141" s="22" t="str">
        <f t="shared" si="2"/>
        <v>sábado</v>
      </c>
      <c r="B141" s="24" t="str">
        <f t="shared" si="3"/>
        <v>febrero</v>
      </c>
      <c r="C141" s="37">
        <v>46067.0</v>
      </c>
      <c r="D141" s="26" t="s">
        <v>53</v>
      </c>
      <c r="E141" s="27">
        <v>141.0</v>
      </c>
      <c r="F141" s="27">
        <v>95.0</v>
      </c>
      <c r="G141" s="27">
        <v>2.0</v>
      </c>
      <c r="H141" s="27">
        <v>9.0</v>
      </c>
    </row>
    <row r="142" ht="15.75" customHeight="1">
      <c r="A142" s="22" t="str">
        <f t="shared" si="2"/>
        <v>sábado</v>
      </c>
      <c r="B142" s="24" t="str">
        <f t="shared" si="3"/>
        <v>febrero</v>
      </c>
      <c r="C142" s="37">
        <v>46067.0</v>
      </c>
      <c r="D142" s="26" t="s">
        <v>60</v>
      </c>
      <c r="E142" s="27">
        <v>65.0</v>
      </c>
      <c r="F142" s="27">
        <v>41.0</v>
      </c>
      <c r="G142" s="27">
        <v>2.0</v>
      </c>
      <c r="H142" s="27">
        <v>8.0</v>
      </c>
    </row>
    <row r="143" ht="15.75" customHeight="1">
      <c r="A143" s="22" t="str">
        <f t="shared" si="2"/>
        <v>domingo</v>
      </c>
      <c r="B143" s="24" t="str">
        <f t="shared" si="3"/>
        <v>febrero</v>
      </c>
      <c r="C143" s="37">
        <v>46068.0</v>
      </c>
      <c r="D143" s="26" t="s">
        <v>40</v>
      </c>
      <c r="E143" s="27">
        <v>65.0</v>
      </c>
      <c r="F143" s="27">
        <v>41.0</v>
      </c>
      <c r="G143" s="27">
        <v>11.0</v>
      </c>
      <c r="H143" s="27">
        <v>3.0</v>
      </c>
    </row>
    <row r="144" ht="15.75" customHeight="1">
      <c r="A144" s="22" t="str">
        <f t="shared" si="2"/>
        <v>domingo</v>
      </c>
      <c r="B144" s="24" t="str">
        <f t="shared" si="3"/>
        <v>febrero</v>
      </c>
      <c r="C144" s="37">
        <v>46068.0</v>
      </c>
      <c r="D144" s="22" t="s">
        <v>43</v>
      </c>
      <c r="E144" s="27">
        <v>80.0</v>
      </c>
      <c r="F144" s="27">
        <v>42.0</v>
      </c>
      <c r="G144" s="27">
        <v>11.0</v>
      </c>
      <c r="H144" s="27">
        <v>16.0</v>
      </c>
    </row>
    <row r="145" ht="15.75" customHeight="1">
      <c r="A145" s="22" t="str">
        <f t="shared" si="2"/>
        <v>domingo</v>
      </c>
      <c r="B145" s="24" t="str">
        <f t="shared" si="3"/>
        <v>febrero</v>
      </c>
      <c r="C145" s="37">
        <v>46068.0</v>
      </c>
      <c r="D145" s="26" t="s">
        <v>59</v>
      </c>
      <c r="E145" s="27">
        <v>103.0</v>
      </c>
      <c r="F145" s="27">
        <v>80.0</v>
      </c>
      <c r="G145" s="27">
        <v>1.0</v>
      </c>
      <c r="H145" s="27">
        <v>1.0</v>
      </c>
    </row>
    <row r="146" ht="15.75" customHeight="1">
      <c r="A146" s="22" t="str">
        <f t="shared" si="2"/>
        <v>domingo</v>
      </c>
      <c r="B146" s="24" t="str">
        <f t="shared" si="3"/>
        <v>febrero</v>
      </c>
      <c r="C146" s="37">
        <v>46068.0</v>
      </c>
      <c r="D146" s="26" t="s">
        <v>53</v>
      </c>
      <c r="E146" s="27">
        <v>154.0</v>
      </c>
      <c r="F146" s="27">
        <v>68.0</v>
      </c>
      <c r="G146" s="27">
        <v>1.0</v>
      </c>
      <c r="H146" s="27">
        <v>14.0</v>
      </c>
    </row>
    <row r="147" ht="15.75" customHeight="1">
      <c r="A147" s="22" t="str">
        <f t="shared" si="2"/>
        <v>domingo</v>
      </c>
      <c r="B147" s="24" t="str">
        <f t="shared" si="3"/>
        <v>febrero</v>
      </c>
      <c r="C147" s="37">
        <v>46068.0</v>
      </c>
      <c r="D147" s="26" t="s">
        <v>60</v>
      </c>
      <c r="E147" s="27">
        <v>239.0</v>
      </c>
      <c r="F147" s="27">
        <v>165.0</v>
      </c>
      <c r="G147" s="27">
        <v>6.0</v>
      </c>
      <c r="H147" s="27">
        <v>0.0</v>
      </c>
    </row>
    <row r="148" ht="15.75" customHeight="1">
      <c r="A148" s="22" t="str">
        <f t="shared" si="2"/>
        <v>lunes</v>
      </c>
      <c r="B148" s="24" t="str">
        <f t="shared" si="3"/>
        <v>febrero</v>
      </c>
      <c r="C148" s="37">
        <v>46069.0</v>
      </c>
      <c r="D148" s="26" t="s">
        <v>41</v>
      </c>
      <c r="E148" s="27">
        <v>140.0</v>
      </c>
      <c r="F148" s="27">
        <v>80.0</v>
      </c>
      <c r="G148" s="27">
        <v>1.0</v>
      </c>
      <c r="H148" s="27">
        <v>28.0</v>
      </c>
    </row>
    <row r="149" ht="15.75" customHeight="1">
      <c r="A149" s="22" t="str">
        <f t="shared" si="2"/>
        <v>lunes</v>
      </c>
      <c r="B149" s="24" t="str">
        <f t="shared" si="3"/>
        <v>febrero</v>
      </c>
      <c r="C149" s="37">
        <v>46069.0</v>
      </c>
      <c r="D149" s="26" t="s">
        <v>44</v>
      </c>
      <c r="E149" s="27">
        <v>63.0</v>
      </c>
      <c r="F149" s="27">
        <v>61.0</v>
      </c>
      <c r="G149" s="27">
        <v>0.0</v>
      </c>
      <c r="H149" s="27">
        <v>0.0</v>
      </c>
    </row>
    <row r="150" ht="15.75" customHeight="1">
      <c r="A150" s="22" t="str">
        <f t="shared" si="2"/>
        <v>lunes</v>
      </c>
      <c r="B150" s="24" t="str">
        <f t="shared" si="3"/>
        <v>febrero</v>
      </c>
      <c r="C150" s="37">
        <v>46069.0</v>
      </c>
      <c r="D150" s="22" t="s">
        <v>89</v>
      </c>
      <c r="E150" s="27">
        <v>0.0</v>
      </c>
      <c r="F150" s="27">
        <v>0.0</v>
      </c>
      <c r="G150" s="27">
        <v>0.0</v>
      </c>
      <c r="H150" s="27">
        <v>0.0</v>
      </c>
    </row>
    <row r="151" ht="15.75" customHeight="1">
      <c r="A151" s="22" t="str">
        <f t="shared" si="2"/>
        <v>lunes</v>
      </c>
      <c r="B151" s="24" t="str">
        <f t="shared" si="3"/>
        <v>febrero</v>
      </c>
      <c r="C151" s="37">
        <v>46069.0</v>
      </c>
      <c r="D151" s="22" t="s">
        <v>90</v>
      </c>
      <c r="E151" s="27">
        <v>310.0</v>
      </c>
      <c r="F151" s="27">
        <v>91.0</v>
      </c>
      <c r="G151" s="27">
        <v>0.0</v>
      </c>
      <c r="H151" s="27">
        <v>0.0</v>
      </c>
    </row>
    <row r="152" ht="15.75" customHeight="1">
      <c r="A152" s="22" t="str">
        <f t="shared" si="2"/>
        <v>lunes</v>
      </c>
      <c r="B152" s="24" t="str">
        <f t="shared" si="3"/>
        <v>febrero</v>
      </c>
      <c r="C152" s="37">
        <v>46069.0</v>
      </c>
      <c r="D152" s="26" t="s">
        <v>67</v>
      </c>
      <c r="E152" s="27">
        <v>69.0</v>
      </c>
      <c r="F152" s="27">
        <v>62.0</v>
      </c>
      <c r="G152" s="27">
        <v>8.0</v>
      </c>
      <c r="H152" s="27">
        <v>1.0</v>
      </c>
    </row>
    <row r="153" ht="15.75" customHeight="1">
      <c r="A153" s="22" t="str">
        <f t="shared" si="2"/>
        <v>lunes</v>
      </c>
      <c r="B153" s="24" t="str">
        <f t="shared" si="3"/>
        <v>febrero</v>
      </c>
      <c r="C153" s="37">
        <v>46069.0</v>
      </c>
      <c r="D153" s="22" t="s">
        <v>93</v>
      </c>
      <c r="E153" s="27">
        <v>212.0</v>
      </c>
      <c r="F153" s="27">
        <v>97.0</v>
      </c>
      <c r="G153" s="27">
        <v>0.0</v>
      </c>
      <c r="H153" s="27">
        <v>0.0</v>
      </c>
    </row>
    <row r="154" ht="15.75" customHeight="1">
      <c r="A154" s="22" t="str">
        <f t="shared" si="2"/>
        <v>lunes</v>
      </c>
      <c r="B154" s="24" t="str">
        <f t="shared" si="3"/>
        <v>febrero</v>
      </c>
      <c r="C154" s="37">
        <v>46069.0</v>
      </c>
      <c r="D154" s="26" t="s">
        <v>58</v>
      </c>
      <c r="E154" s="27">
        <v>131.0</v>
      </c>
      <c r="F154" s="27">
        <v>81.0</v>
      </c>
      <c r="G154" s="27">
        <v>6.0</v>
      </c>
      <c r="H154" s="27">
        <v>1.0</v>
      </c>
    </row>
    <row r="155" ht="15.75" customHeight="1">
      <c r="A155" s="22" t="str">
        <f t="shared" si="2"/>
        <v>lunes</v>
      </c>
      <c r="B155" s="24" t="str">
        <f t="shared" si="3"/>
        <v>febrero</v>
      </c>
      <c r="C155" s="37">
        <v>46069.0</v>
      </c>
      <c r="D155" s="26" t="s">
        <v>64</v>
      </c>
      <c r="E155" s="27">
        <v>115.0</v>
      </c>
      <c r="F155" s="27">
        <v>72.0</v>
      </c>
      <c r="G155" s="27">
        <v>12.0</v>
      </c>
      <c r="H155" s="27">
        <v>11.0</v>
      </c>
    </row>
    <row r="156" ht="15.75" customHeight="1">
      <c r="A156" s="22" t="str">
        <f t="shared" si="2"/>
        <v>lunes</v>
      </c>
      <c r="B156" s="24" t="str">
        <f t="shared" si="3"/>
        <v>febrero</v>
      </c>
      <c r="C156" s="37">
        <v>46069.0</v>
      </c>
      <c r="D156" s="26" t="s">
        <v>65</v>
      </c>
      <c r="E156" s="27">
        <v>93.0</v>
      </c>
      <c r="F156" s="27">
        <v>78.0</v>
      </c>
      <c r="G156" s="27">
        <v>2.0</v>
      </c>
      <c r="H156" s="27">
        <v>3.0</v>
      </c>
    </row>
    <row r="157" ht="15.75" customHeight="1">
      <c r="A157" s="22" t="str">
        <f t="shared" si="2"/>
        <v>lunes</v>
      </c>
      <c r="B157" s="24" t="str">
        <f t="shared" si="3"/>
        <v>febrero</v>
      </c>
      <c r="C157" s="37">
        <v>46069.0</v>
      </c>
      <c r="D157" s="26" t="s">
        <v>60</v>
      </c>
      <c r="E157" s="27">
        <v>154.0</v>
      </c>
      <c r="F157" s="27">
        <v>54.0</v>
      </c>
      <c r="G157" s="27">
        <v>3.0</v>
      </c>
      <c r="H157" s="27">
        <v>8.0</v>
      </c>
    </row>
    <row r="158" ht="15.75" customHeight="1">
      <c r="A158" s="22" t="str">
        <f t="shared" si="2"/>
        <v>lunes</v>
      </c>
      <c r="B158" s="24" t="str">
        <f t="shared" si="3"/>
        <v>febrero</v>
      </c>
      <c r="C158" s="37">
        <v>46069.0</v>
      </c>
      <c r="D158" s="26" t="s">
        <v>66</v>
      </c>
      <c r="E158" s="27">
        <v>72.0</v>
      </c>
      <c r="F158" s="27">
        <v>58.0</v>
      </c>
      <c r="G158" s="27">
        <v>1.0</v>
      </c>
      <c r="H158" s="27">
        <v>9.0</v>
      </c>
    </row>
    <row r="159" ht="15.75" customHeight="1">
      <c r="A159" s="22" t="str">
        <f t="shared" si="2"/>
        <v>martes</v>
      </c>
      <c r="B159" s="24" t="str">
        <f t="shared" si="3"/>
        <v>febrero</v>
      </c>
      <c r="C159" s="37">
        <v>46070.0</v>
      </c>
      <c r="D159" s="26" t="s">
        <v>41</v>
      </c>
      <c r="E159" s="27">
        <v>165.0</v>
      </c>
      <c r="F159" s="27">
        <v>121.0</v>
      </c>
      <c r="G159" s="27">
        <v>2.0</v>
      </c>
      <c r="H159" s="27">
        <v>11.0</v>
      </c>
    </row>
    <row r="160" ht="15.75" customHeight="1">
      <c r="A160" s="22" t="str">
        <f t="shared" si="2"/>
        <v>martes</v>
      </c>
      <c r="B160" s="24" t="str">
        <f t="shared" si="3"/>
        <v>febrero</v>
      </c>
      <c r="C160" s="37">
        <v>46070.0</v>
      </c>
      <c r="D160" s="22" t="s">
        <v>90</v>
      </c>
      <c r="E160" s="27">
        <v>347.0</v>
      </c>
      <c r="F160" s="27">
        <v>141.0</v>
      </c>
      <c r="G160" s="27">
        <v>0.0</v>
      </c>
      <c r="H160" s="27">
        <v>0.0</v>
      </c>
    </row>
    <row r="161" ht="15.75" customHeight="1">
      <c r="A161" s="22" t="str">
        <f t="shared" si="2"/>
        <v>martes</v>
      </c>
      <c r="B161" s="24" t="str">
        <f t="shared" si="3"/>
        <v>febrero</v>
      </c>
      <c r="C161" s="37">
        <v>46070.0</v>
      </c>
      <c r="D161" s="26" t="s">
        <v>51</v>
      </c>
      <c r="E161" s="27">
        <v>46.0</v>
      </c>
      <c r="F161" s="27">
        <v>32.0</v>
      </c>
      <c r="G161" s="27">
        <v>1.0</v>
      </c>
      <c r="H161" s="27">
        <v>22.0</v>
      </c>
    </row>
    <row r="162" ht="15.75" customHeight="1">
      <c r="A162" s="22" t="str">
        <f t="shared" si="2"/>
        <v>martes</v>
      </c>
      <c r="B162" s="24" t="str">
        <f t="shared" si="3"/>
        <v>febrero</v>
      </c>
      <c r="C162" s="37">
        <v>46070.0</v>
      </c>
      <c r="D162" s="26" t="s">
        <v>67</v>
      </c>
      <c r="E162" s="27">
        <v>100.0</v>
      </c>
      <c r="F162" s="27">
        <v>37.0</v>
      </c>
      <c r="G162" s="27">
        <v>5.0</v>
      </c>
      <c r="H162" s="27">
        <v>1.0</v>
      </c>
    </row>
    <row r="163" ht="15.75" customHeight="1">
      <c r="A163" s="22" t="str">
        <f t="shared" si="2"/>
        <v>martes</v>
      </c>
      <c r="B163" s="24" t="str">
        <f t="shared" si="3"/>
        <v>febrero</v>
      </c>
      <c r="C163" s="37">
        <v>46070.0</v>
      </c>
      <c r="D163" s="22" t="s">
        <v>93</v>
      </c>
      <c r="E163" s="27">
        <v>289.0</v>
      </c>
      <c r="F163" s="27">
        <v>135.0</v>
      </c>
      <c r="G163" s="27">
        <v>0.0</v>
      </c>
      <c r="H163" s="27">
        <v>0.0</v>
      </c>
    </row>
    <row r="164" ht="15.75" customHeight="1">
      <c r="A164" s="22" t="str">
        <f t="shared" si="2"/>
        <v>martes</v>
      </c>
      <c r="B164" s="24" t="str">
        <f t="shared" si="3"/>
        <v>febrero</v>
      </c>
      <c r="C164" s="37">
        <v>46070.0</v>
      </c>
      <c r="D164" s="26" t="s">
        <v>58</v>
      </c>
      <c r="E164" s="27">
        <v>123.0</v>
      </c>
      <c r="F164" s="27">
        <v>74.0</v>
      </c>
      <c r="G164" s="27">
        <v>3.0</v>
      </c>
      <c r="H164" s="27">
        <v>11.0</v>
      </c>
    </row>
    <row r="165" ht="15.75" customHeight="1">
      <c r="A165" s="22" t="str">
        <f t="shared" si="2"/>
        <v>martes</v>
      </c>
      <c r="B165" s="24" t="str">
        <f t="shared" si="3"/>
        <v>febrero</v>
      </c>
      <c r="C165" s="37">
        <v>46070.0</v>
      </c>
      <c r="D165" s="26" t="s">
        <v>65</v>
      </c>
      <c r="E165" s="27">
        <v>69.0</v>
      </c>
      <c r="F165" s="27">
        <v>54.0</v>
      </c>
      <c r="G165" s="27">
        <v>2.0</v>
      </c>
      <c r="H165" s="27">
        <v>4.0</v>
      </c>
    </row>
    <row r="166" ht="15.75" customHeight="1">
      <c r="A166" s="22" t="str">
        <f t="shared" si="2"/>
        <v>martes</v>
      </c>
      <c r="B166" s="24" t="str">
        <f t="shared" si="3"/>
        <v>febrero</v>
      </c>
      <c r="C166" s="37">
        <v>46070.0</v>
      </c>
      <c r="D166" s="26" t="s">
        <v>66</v>
      </c>
      <c r="E166" s="27">
        <v>81.0</v>
      </c>
      <c r="F166" s="27">
        <v>68.0</v>
      </c>
      <c r="G166" s="27">
        <v>0.0</v>
      </c>
      <c r="H166" s="27">
        <v>4.0</v>
      </c>
    </row>
    <row r="167" ht="15.75" customHeight="1">
      <c r="A167" s="22" t="str">
        <f t="shared" si="2"/>
        <v>miércoles</v>
      </c>
      <c r="B167" s="24" t="str">
        <f t="shared" si="3"/>
        <v>febrero</v>
      </c>
      <c r="C167" s="37">
        <v>46071.0</v>
      </c>
      <c r="D167" s="22" t="s">
        <v>107</v>
      </c>
      <c r="E167" s="27">
        <v>97.0</v>
      </c>
      <c r="F167" s="27">
        <v>34.0</v>
      </c>
      <c r="G167" s="27">
        <v>0.0</v>
      </c>
      <c r="H167" s="27">
        <v>0.0</v>
      </c>
    </row>
    <row r="168" ht="15.75" customHeight="1">
      <c r="A168" s="22" t="str">
        <f t="shared" si="2"/>
        <v>miércoles</v>
      </c>
      <c r="B168" s="24" t="str">
        <f t="shared" si="3"/>
        <v>febrero</v>
      </c>
      <c r="C168" s="37">
        <v>46071.0</v>
      </c>
      <c r="D168" s="26" t="s">
        <v>41</v>
      </c>
      <c r="E168" s="27">
        <v>134.0</v>
      </c>
      <c r="F168" s="27">
        <v>83.0</v>
      </c>
      <c r="G168" s="27">
        <v>2.0</v>
      </c>
      <c r="H168" s="27">
        <v>20.0</v>
      </c>
    </row>
    <row r="169" ht="15.75" customHeight="1">
      <c r="A169" s="22" t="str">
        <f t="shared" si="2"/>
        <v>miércoles</v>
      </c>
      <c r="B169" s="24" t="str">
        <f t="shared" si="3"/>
        <v>febrero</v>
      </c>
      <c r="C169" s="37">
        <v>46071.0</v>
      </c>
      <c r="D169" s="22" t="s">
        <v>108</v>
      </c>
      <c r="E169" s="27">
        <v>39.0</v>
      </c>
      <c r="F169" s="27">
        <v>25.0</v>
      </c>
      <c r="G169" s="27">
        <v>0.0</v>
      </c>
      <c r="H169" s="27">
        <v>0.0</v>
      </c>
    </row>
    <row r="170" ht="15.75" customHeight="1">
      <c r="A170" s="22" t="str">
        <f t="shared" si="2"/>
        <v>miércoles</v>
      </c>
      <c r="B170" s="24" t="str">
        <f t="shared" si="3"/>
        <v>febrero</v>
      </c>
      <c r="C170" s="37">
        <v>46071.0</v>
      </c>
      <c r="D170" s="26" t="s">
        <v>51</v>
      </c>
      <c r="E170" s="27">
        <v>65.0</v>
      </c>
      <c r="F170" s="27">
        <v>54.0</v>
      </c>
      <c r="G170" s="27">
        <v>2.0</v>
      </c>
      <c r="H170" s="27">
        <v>9.0</v>
      </c>
    </row>
    <row r="171" ht="15.75" customHeight="1">
      <c r="A171" s="22" t="str">
        <f t="shared" si="2"/>
        <v>miércoles</v>
      </c>
      <c r="B171" s="24" t="str">
        <f t="shared" si="3"/>
        <v>febrero</v>
      </c>
      <c r="C171" s="37">
        <v>46071.0</v>
      </c>
      <c r="D171" s="22" t="s">
        <v>89</v>
      </c>
      <c r="E171" s="27">
        <v>0.0</v>
      </c>
      <c r="F171" s="27">
        <v>0.0</v>
      </c>
      <c r="G171" s="27">
        <v>0.0</v>
      </c>
      <c r="H171" s="27">
        <v>0.0</v>
      </c>
    </row>
    <row r="172" ht="15.75" customHeight="1">
      <c r="A172" s="22" t="str">
        <f t="shared" si="2"/>
        <v>miércoles</v>
      </c>
      <c r="B172" s="24" t="str">
        <f t="shared" si="3"/>
        <v>febrero</v>
      </c>
      <c r="C172" s="37">
        <v>46071.0</v>
      </c>
      <c r="D172" s="26" t="s">
        <v>67</v>
      </c>
      <c r="E172" s="27">
        <v>99.0</v>
      </c>
      <c r="F172" s="27">
        <v>94.0</v>
      </c>
      <c r="G172" s="27">
        <v>3.0</v>
      </c>
      <c r="H172" s="27">
        <v>0.0</v>
      </c>
    </row>
    <row r="173" ht="15.75" customHeight="1">
      <c r="A173" s="22" t="str">
        <f t="shared" si="2"/>
        <v>miércoles</v>
      </c>
      <c r="B173" s="24" t="str">
        <f t="shared" si="3"/>
        <v>febrero</v>
      </c>
      <c r="C173" s="37">
        <v>46071.0</v>
      </c>
      <c r="D173" s="22" t="s">
        <v>93</v>
      </c>
      <c r="E173" s="27">
        <v>311.0</v>
      </c>
      <c r="F173" s="27">
        <v>104.0</v>
      </c>
      <c r="G173" s="27">
        <v>0.0</v>
      </c>
      <c r="H173" s="27">
        <v>0.0</v>
      </c>
    </row>
    <row r="174" ht="15.75" customHeight="1">
      <c r="A174" s="22" t="str">
        <f t="shared" si="2"/>
        <v>miércoles</v>
      </c>
      <c r="B174" s="24" t="str">
        <f t="shared" si="3"/>
        <v>febrero</v>
      </c>
      <c r="C174" s="37">
        <v>46071.0</v>
      </c>
      <c r="D174" s="26" t="s">
        <v>58</v>
      </c>
      <c r="E174" s="27">
        <v>91.0</v>
      </c>
      <c r="F174" s="27">
        <v>48.0</v>
      </c>
      <c r="G174" s="27">
        <v>4.0</v>
      </c>
      <c r="H174" s="27">
        <v>1.0</v>
      </c>
    </row>
    <row r="175" ht="15.75" customHeight="1">
      <c r="A175" s="22" t="str">
        <f t="shared" si="2"/>
        <v>miércoles</v>
      </c>
      <c r="B175" s="24" t="str">
        <f t="shared" si="3"/>
        <v>febrero</v>
      </c>
      <c r="C175" s="37">
        <v>46071.0</v>
      </c>
      <c r="D175" s="26" t="s">
        <v>64</v>
      </c>
      <c r="E175" s="27">
        <v>107.0</v>
      </c>
      <c r="F175" s="27">
        <v>62.0</v>
      </c>
      <c r="G175" s="27">
        <v>4.0</v>
      </c>
      <c r="H175" s="27">
        <v>1.0</v>
      </c>
    </row>
    <row r="176" ht="15.75" customHeight="1">
      <c r="A176" s="22" t="str">
        <f t="shared" si="2"/>
        <v>miércoles</v>
      </c>
      <c r="B176" s="24" t="str">
        <f t="shared" si="3"/>
        <v>febrero</v>
      </c>
      <c r="C176" s="37">
        <v>46071.0</v>
      </c>
      <c r="D176" s="26" t="s">
        <v>65</v>
      </c>
      <c r="E176" s="27">
        <v>46.0</v>
      </c>
      <c r="F176" s="27">
        <v>39.0</v>
      </c>
      <c r="G176" s="27">
        <v>3.0</v>
      </c>
      <c r="H176" s="27">
        <v>0.0</v>
      </c>
    </row>
    <row r="177" ht="15.75" customHeight="1">
      <c r="A177" s="22" t="str">
        <f t="shared" si="2"/>
        <v>miércoles</v>
      </c>
      <c r="B177" s="24" t="str">
        <f t="shared" si="3"/>
        <v>febrero</v>
      </c>
      <c r="C177" s="37">
        <v>46071.0</v>
      </c>
      <c r="D177" s="26" t="s">
        <v>66</v>
      </c>
      <c r="E177" s="27">
        <v>139.0</v>
      </c>
      <c r="F177" s="27">
        <v>130.0</v>
      </c>
      <c r="G177" s="27">
        <v>0.0</v>
      </c>
      <c r="H177" s="27">
        <v>0.0</v>
      </c>
    </row>
    <row r="178" ht="15.75" customHeight="1">
      <c r="A178" s="22" t="str">
        <f t="shared" si="2"/>
        <v>jueves</v>
      </c>
      <c r="B178" s="24" t="str">
        <f t="shared" si="3"/>
        <v>febrero</v>
      </c>
      <c r="C178" s="37">
        <v>46072.0</v>
      </c>
      <c r="D178" s="22" t="s">
        <v>107</v>
      </c>
      <c r="E178" s="27">
        <v>122.0</v>
      </c>
      <c r="F178" s="27">
        <v>48.0</v>
      </c>
      <c r="G178" s="27">
        <v>0.0</v>
      </c>
      <c r="H178" s="27">
        <v>0.0</v>
      </c>
    </row>
    <row r="179" ht="15.75" customHeight="1">
      <c r="A179" s="22" t="str">
        <f t="shared" si="2"/>
        <v>jueves</v>
      </c>
      <c r="B179" s="24" t="str">
        <f t="shared" si="3"/>
        <v>febrero</v>
      </c>
      <c r="C179" s="37">
        <v>46072.0</v>
      </c>
      <c r="D179" s="26" t="s">
        <v>40</v>
      </c>
      <c r="E179" s="27">
        <v>76.0</v>
      </c>
      <c r="F179" s="27">
        <v>37.0</v>
      </c>
      <c r="G179" s="27">
        <v>4.0</v>
      </c>
      <c r="H179" s="27">
        <v>5.0</v>
      </c>
    </row>
    <row r="180" ht="15.75" customHeight="1">
      <c r="A180" s="22" t="str">
        <f t="shared" si="2"/>
        <v>jueves</v>
      </c>
      <c r="B180" s="24" t="str">
        <f t="shared" si="3"/>
        <v>febrero</v>
      </c>
      <c r="C180" s="37">
        <v>46072.0</v>
      </c>
      <c r="D180" s="26" t="s">
        <v>42</v>
      </c>
      <c r="E180" s="27">
        <v>109.0</v>
      </c>
      <c r="F180" s="27">
        <v>62.0</v>
      </c>
      <c r="G180" s="27">
        <v>4.0</v>
      </c>
      <c r="H180" s="27">
        <v>15.0</v>
      </c>
    </row>
    <row r="181" ht="15.75" customHeight="1">
      <c r="A181" s="22" t="str">
        <f t="shared" si="2"/>
        <v>jueves</v>
      </c>
      <c r="B181" s="24" t="str">
        <f t="shared" si="3"/>
        <v>febrero</v>
      </c>
      <c r="C181" s="37">
        <v>46072.0</v>
      </c>
      <c r="D181" s="22" t="s">
        <v>108</v>
      </c>
      <c r="E181" s="27">
        <v>0.0</v>
      </c>
      <c r="F181" s="27">
        <v>0.0</v>
      </c>
      <c r="G181" s="27">
        <v>1.0</v>
      </c>
      <c r="H181" s="27">
        <v>5.0</v>
      </c>
    </row>
    <row r="182" ht="15.75" customHeight="1">
      <c r="A182" s="22" t="str">
        <f t="shared" si="2"/>
        <v>jueves</v>
      </c>
      <c r="B182" s="24" t="str">
        <f t="shared" si="3"/>
        <v>febrero</v>
      </c>
      <c r="C182" s="37">
        <v>46072.0</v>
      </c>
      <c r="D182" s="22" t="s">
        <v>117</v>
      </c>
      <c r="E182" s="27">
        <v>132.0</v>
      </c>
      <c r="F182" s="27">
        <v>55.0</v>
      </c>
      <c r="G182" s="27">
        <v>0.0</v>
      </c>
      <c r="H182" s="27">
        <v>0.0</v>
      </c>
    </row>
    <row r="183" ht="15.75" customHeight="1">
      <c r="A183" s="22" t="str">
        <f t="shared" si="2"/>
        <v>jueves</v>
      </c>
      <c r="B183" s="24" t="str">
        <f t="shared" si="3"/>
        <v>febrero</v>
      </c>
      <c r="C183" s="37">
        <v>46072.0</v>
      </c>
      <c r="D183" s="26" t="s">
        <v>51</v>
      </c>
      <c r="E183" s="27">
        <v>42.0</v>
      </c>
      <c r="F183" s="27">
        <v>29.0</v>
      </c>
      <c r="G183" s="27">
        <v>3.0</v>
      </c>
      <c r="H183" s="27">
        <v>9.0</v>
      </c>
    </row>
    <row r="184" ht="15.75" customHeight="1">
      <c r="A184" s="22" t="str">
        <f t="shared" si="2"/>
        <v>jueves</v>
      </c>
      <c r="B184" s="24" t="str">
        <f t="shared" si="3"/>
        <v>febrero</v>
      </c>
      <c r="C184" s="37">
        <v>46072.0</v>
      </c>
      <c r="D184" s="22" t="s">
        <v>89</v>
      </c>
      <c r="E184" s="27">
        <v>78.0</v>
      </c>
      <c r="F184" s="27">
        <v>39.0</v>
      </c>
      <c r="G184" s="27">
        <v>0.0</v>
      </c>
      <c r="H184" s="27">
        <v>0.0</v>
      </c>
    </row>
    <row r="185" ht="15.75" customHeight="1">
      <c r="A185" s="22" t="str">
        <f t="shared" si="2"/>
        <v>jueves</v>
      </c>
      <c r="B185" s="24" t="str">
        <f t="shared" si="3"/>
        <v>febrero</v>
      </c>
      <c r="C185" s="37">
        <v>46072.0</v>
      </c>
      <c r="D185" s="26" t="s">
        <v>67</v>
      </c>
      <c r="E185" s="27">
        <v>86.0</v>
      </c>
      <c r="F185" s="27">
        <v>78.0</v>
      </c>
      <c r="G185" s="27">
        <v>0.0</v>
      </c>
      <c r="H185" s="27">
        <v>2.0</v>
      </c>
    </row>
    <row r="186" ht="15.75" customHeight="1">
      <c r="A186" s="22" t="str">
        <f t="shared" si="2"/>
        <v>jueves</v>
      </c>
      <c r="B186" s="24" t="str">
        <f t="shared" si="3"/>
        <v>febrero</v>
      </c>
      <c r="C186" s="37">
        <v>46072.0</v>
      </c>
      <c r="D186" s="26" t="s">
        <v>58</v>
      </c>
      <c r="E186" s="27">
        <v>70.0</v>
      </c>
      <c r="F186" s="27">
        <v>38.0</v>
      </c>
      <c r="G186" s="27">
        <v>5.0</v>
      </c>
      <c r="H186" s="27">
        <v>1.0</v>
      </c>
    </row>
    <row r="187" ht="15.75" customHeight="1">
      <c r="A187" s="22" t="str">
        <f t="shared" si="2"/>
        <v>jueves</v>
      </c>
      <c r="B187" s="24" t="str">
        <f t="shared" si="3"/>
        <v>febrero</v>
      </c>
      <c r="C187" s="37">
        <v>46072.0</v>
      </c>
      <c r="D187" s="26" t="s">
        <v>52</v>
      </c>
      <c r="E187" s="27">
        <v>22.0</v>
      </c>
      <c r="F187" s="27">
        <v>21.0</v>
      </c>
      <c r="G187" s="27">
        <v>2.0</v>
      </c>
      <c r="H187" s="27">
        <v>1.0</v>
      </c>
    </row>
    <row r="188" ht="15.75" customHeight="1">
      <c r="A188" s="22" t="str">
        <f t="shared" si="2"/>
        <v>jueves</v>
      </c>
      <c r="B188" s="24" t="str">
        <f t="shared" si="3"/>
        <v>febrero</v>
      </c>
      <c r="C188" s="37">
        <v>46072.0</v>
      </c>
      <c r="D188" s="26" t="s">
        <v>53</v>
      </c>
      <c r="E188" s="27">
        <v>54.0</v>
      </c>
      <c r="F188" s="27">
        <v>46.0</v>
      </c>
      <c r="G188" s="27">
        <v>1.0</v>
      </c>
      <c r="H188" s="27">
        <v>3.0</v>
      </c>
    </row>
    <row r="189" ht="15.75" customHeight="1">
      <c r="A189" s="22" t="str">
        <f t="shared" si="2"/>
        <v>jueves</v>
      </c>
      <c r="B189" s="24" t="str">
        <f t="shared" si="3"/>
        <v>febrero</v>
      </c>
      <c r="C189" s="37">
        <v>46072.0</v>
      </c>
      <c r="D189" s="26" t="s">
        <v>64</v>
      </c>
      <c r="E189" s="27">
        <v>130.0</v>
      </c>
      <c r="F189" s="27">
        <v>60.0</v>
      </c>
      <c r="G189" s="27">
        <v>9.0</v>
      </c>
      <c r="H189" s="27">
        <v>2.0</v>
      </c>
    </row>
    <row r="190" ht="15.75" customHeight="1">
      <c r="A190" s="22" t="str">
        <f t="shared" si="2"/>
        <v>jueves</v>
      </c>
      <c r="B190" s="24" t="str">
        <f t="shared" si="3"/>
        <v>febrero</v>
      </c>
      <c r="C190" s="37">
        <v>46072.0</v>
      </c>
      <c r="D190" s="26" t="s">
        <v>65</v>
      </c>
      <c r="E190" s="27">
        <v>47.0</v>
      </c>
      <c r="F190" s="27">
        <v>31.0</v>
      </c>
      <c r="G190" s="27">
        <v>2.0</v>
      </c>
      <c r="H190" s="27">
        <v>3.0</v>
      </c>
    </row>
    <row r="191" ht="15.75" customHeight="1">
      <c r="A191" s="22" t="str">
        <f t="shared" si="2"/>
        <v>jueves</v>
      </c>
      <c r="B191" s="24" t="str">
        <f t="shared" si="3"/>
        <v>febrero</v>
      </c>
      <c r="C191" s="37">
        <v>46072.0</v>
      </c>
      <c r="D191" s="26" t="s">
        <v>66</v>
      </c>
      <c r="E191" s="27">
        <v>108.0</v>
      </c>
      <c r="F191" s="27">
        <v>91.0</v>
      </c>
      <c r="G191" s="27">
        <v>1.0</v>
      </c>
      <c r="H191" s="27">
        <v>8.0</v>
      </c>
    </row>
    <row r="192" ht="15.75" customHeight="1">
      <c r="A192" s="22" t="str">
        <f t="shared" si="2"/>
        <v>viernes</v>
      </c>
      <c r="B192" s="24" t="str">
        <f t="shared" si="3"/>
        <v>febrero</v>
      </c>
      <c r="C192" s="37">
        <v>46073.0</v>
      </c>
      <c r="D192" s="26" t="s">
        <v>40</v>
      </c>
      <c r="E192" s="27">
        <v>69.0</v>
      </c>
      <c r="F192" s="27">
        <v>38.0</v>
      </c>
      <c r="G192" s="27">
        <v>4.0</v>
      </c>
      <c r="H192" s="27">
        <v>7.0</v>
      </c>
    </row>
    <row r="193" ht="15.75" customHeight="1">
      <c r="A193" s="22" t="str">
        <f t="shared" si="2"/>
        <v>viernes</v>
      </c>
      <c r="B193" s="24" t="str">
        <f t="shared" si="3"/>
        <v>febrero</v>
      </c>
      <c r="C193" s="37">
        <v>46073.0</v>
      </c>
      <c r="D193" s="22" t="s">
        <v>68</v>
      </c>
      <c r="E193" s="27">
        <v>77.0</v>
      </c>
      <c r="F193" s="27">
        <v>57.0</v>
      </c>
      <c r="G193" s="27">
        <v>2.0</v>
      </c>
      <c r="H193" s="27">
        <v>11.0</v>
      </c>
    </row>
    <row r="194" ht="15.75" customHeight="1">
      <c r="A194" s="22" t="str">
        <f t="shared" si="2"/>
        <v>viernes</v>
      </c>
      <c r="B194" s="24" t="str">
        <f t="shared" si="3"/>
        <v>febrero</v>
      </c>
      <c r="C194" s="37">
        <v>46073.0</v>
      </c>
      <c r="D194" s="26" t="s">
        <v>51</v>
      </c>
      <c r="E194" s="27">
        <v>28.0</v>
      </c>
      <c r="F194" s="27">
        <v>19.0</v>
      </c>
      <c r="G194" s="27">
        <v>2.0</v>
      </c>
      <c r="H194" s="27">
        <v>9.0</v>
      </c>
    </row>
    <row r="195" ht="15.75" customHeight="1">
      <c r="A195" s="22" t="str">
        <f t="shared" si="2"/>
        <v>viernes</v>
      </c>
      <c r="B195" s="24" t="str">
        <f t="shared" si="3"/>
        <v>febrero</v>
      </c>
      <c r="C195" s="37">
        <v>46073.0</v>
      </c>
      <c r="D195" s="26" t="s">
        <v>58</v>
      </c>
      <c r="E195" s="27">
        <v>38.0</v>
      </c>
      <c r="F195" s="27">
        <v>19.0</v>
      </c>
      <c r="G195" s="27">
        <v>5.0</v>
      </c>
      <c r="H195" s="27">
        <v>0.0</v>
      </c>
    </row>
    <row r="196" ht="15.75" customHeight="1">
      <c r="A196" s="22" t="str">
        <f t="shared" si="2"/>
        <v>viernes</v>
      </c>
      <c r="B196" s="24" t="str">
        <f t="shared" si="3"/>
        <v>febrero</v>
      </c>
      <c r="C196" s="37">
        <v>46073.0</v>
      </c>
      <c r="D196" s="26" t="s">
        <v>53</v>
      </c>
      <c r="E196" s="27">
        <v>78.0</v>
      </c>
      <c r="F196" s="27">
        <v>59.0</v>
      </c>
      <c r="G196" s="27">
        <v>2.0</v>
      </c>
      <c r="H196" s="27">
        <v>3.0</v>
      </c>
    </row>
    <row r="197" ht="15.75" customHeight="1">
      <c r="A197" s="22" t="str">
        <f t="shared" si="2"/>
        <v>viernes</v>
      </c>
      <c r="B197" s="24" t="str">
        <f t="shared" si="3"/>
        <v>febrero</v>
      </c>
      <c r="C197" s="37">
        <v>46073.0</v>
      </c>
      <c r="D197" s="26" t="s">
        <v>64</v>
      </c>
      <c r="E197" s="27">
        <v>137.0</v>
      </c>
      <c r="F197" s="27">
        <v>82.0</v>
      </c>
      <c r="G197" s="27">
        <v>8.0</v>
      </c>
      <c r="H197" s="27">
        <v>8.0</v>
      </c>
    </row>
    <row r="198" ht="15.75" customHeight="1">
      <c r="A198" s="22" t="str">
        <f t="shared" si="2"/>
        <v>viernes</v>
      </c>
      <c r="B198" s="24" t="str">
        <f t="shared" si="3"/>
        <v>febrero</v>
      </c>
      <c r="C198" s="37">
        <v>46073.0</v>
      </c>
      <c r="D198" s="26" t="s">
        <v>65</v>
      </c>
      <c r="E198" s="27">
        <v>96.0</v>
      </c>
      <c r="F198" s="27">
        <v>84.0</v>
      </c>
      <c r="G198" s="27">
        <v>4.0</v>
      </c>
      <c r="H198" s="27">
        <v>1.0</v>
      </c>
    </row>
    <row r="199" ht="15.75" customHeight="1">
      <c r="A199" s="22" t="str">
        <f t="shared" si="2"/>
        <v>viernes</v>
      </c>
      <c r="B199" s="24" t="str">
        <f t="shared" si="3"/>
        <v>febrero</v>
      </c>
      <c r="C199" s="37">
        <v>46073.0</v>
      </c>
      <c r="D199" s="26" t="s">
        <v>66</v>
      </c>
      <c r="E199" s="27">
        <v>85.0</v>
      </c>
      <c r="F199" s="27">
        <v>60.0</v>
      </c>
      <c r="G199" s="27">
        <v>0.0</v>
      </c>
      <c r="H199" s="27">
        <v>7.0</v>
      </c>
    </row>
    <row r="200" ht="15.75" customHeight="1">
      <c r="A200" s="22" t="str">
        <f t="shared" si="2"/>
        <v>sábado</v>
      </c>
      <c r="B200" s="24" t="str">
        <f t="shared" si="3"/>
        <v>febrero</v>
      </c>
      <c r="C200" s="37">
        <v>46074.0</v>
      </c>
      <c r="D200" s="26" t="s">
        <v>40</v>
      </c>
      <c r="E200" s="27">
        <v>87.0</v>
      </c>
      <c r="F200" s="27">
        <v>54.0</v>
      </c>
      <c r="G200" s="27">
        <v>4.0</v>
      </c>
      <c r="H200" s="27">
        <v>7.0</v>
      </c>
    </row>
    <row r="201" ht="15.75" customHeight="1">
      <c r="A201" s="22" t="str">
        <f t="shared" si="2"/>
        <v>sábado</v>
      </c>
      <c r="B201" s="24" t="str">
        <f t="shared" si="3"/>
        <v>febrero</v>
      </c>
      <c r="C201" s="37">
        <v>46074.0</v>
      </c>
      <c r="D201" s="22" t="s">
        <v>43</v>
      </c>
      <c r="E201" s="27">
        <v>95.0</v>
      </c>
      <c r="F201" s="27">
        <v>49.0</v>
      </c>
      <c r="G201" s="27">
        <v>6.0</v>
      </c>
      <c r="H201" s="27">
        <v>11.0</v>
      </c>
    </row>
    <row r="202" ht="15.75" customHeight="1">
      <c r="A202" s="22" t="str">
        <f t="shared" si="2"/>
        <v>sábado</v>
      </c>
      <c r="B202" s="24" t="str">
        <f t="shared" si="3"/>
        <v>febrero</v>
      </c>
      <c r="C202" s="37">
        <v>46074.0</v>
      </c>
      <c r="D202" s="26" t="s">
        <v>52</v>
      </c>
      <c r="E202" s="27">
        <v>60.0</v>
      </c>
      <c r="F202" s="27">
        <v>41.0</v>
      </c>
      <c r="G202" s="27">
        <v>6.0</v>
      </c>
      <c r="H202" s="27">
        <v>7.0</v>
      </c>
    </row>
    <row r="203" ht="15.75" customHeight="1">
      <c r="A203" s="22" t="str">
        <f t="shared" si="2"/>
        <v>sábado</v>
      </c>
      <c r="B203" s="24" t="str">
        <f t="shared" si="3"/>
        <v>febrero</v>
      </c>
      <c r="C203" s="37">
        <v>46074.0</v>
      </c>
      <c r="D203" s="26" t="s">
        <v>53</v>
      </c>
      <c r="E203" s="27">
        <v>142.0</v>
      </c>
      <c r="F203" s="27">
        <v>105.0</v>
      </c>
      <c r="G203" s="27">
        <v>3.0</v>
      </c>
      <c r="H203" s="27">
        <v>6.0</v>
      </c>
    </row>
    <row r="204" ht="15.75" customHeight="1">
      <c r="A204" s="22" t="str">
        <f t="shared" si="2"/>
        <v>sábado</v>
      </c>
      <c r="B204" s="24" t="str">
        <f t="shared" si="3"/>
        <v>febrero</v>
      </c>
      <c r="C204" s="37">
        <v>46074.0</v>
      </c>
      <c r="D204" s="26" t="s">
        <v>60</v>
      </c>
      <c r="E204" s="27">
        <v>173.0</v>
      </c>
      <c r="F204" s="27">
        <v>107.0</v>
      </c>
      <c r="G204" s="27">
        <v>6.0</v>
      </c>
      <c r="H204" s="27">
        <v>2.0</v>
      </c>
    </row>
    <row r="205" ht="15.75" customHeight="1">
      <c r="A205" s="22" t="str">
        <f t="shared" si="2"/>
        <v>domingo</v>
      </c>
      <c r="B205" s="24" t="str">
        <f t="shared" si="3"/>
        <v>febrero</v>
      </c>
      <c r="C205" s="37">
        <v>46075.0</v>
      </c>
      <c r="D205" s="26" t="s">
        <v>39</v>
      </c>
      <c r="E205" s="27">
        <v>84.0</v>
      </c>
      <c r="F205" s="27">
        <v>30.0</v>
      </c>
      <c r="G205" s="27">
        <v>5.0</v>
      </c>
      <c r="H205" s="27">
        <v>2.0</v>
      </c>
    </row>
    <row r="206" ht="15.75" customHeight="1">
      <c r="A206" s="22" t="str">
        <f t="shared" si="2"/>
        <v>domingo</v>
      </c>
      <c r="B206" s="24" t="str">
        <f t="shared" si="3"/>
        <v>febrero</v>
      </c>
      <c r="C206" s="37">
        <v>46075.0</v>
      </c>
      <c r="D206" s="26" t="s">
        <v>40</v>
      </c>
      <c r="E206" s="27">
        <v>87.0</v>
      </c>
      <c r="F206" s="27">
        <v>54.0</v>
      </c>
      <c r="G206" s="27">
        <v>6.0</v>
      </c>
      <c r="H206" s="27">
        <v>2.0</v>
      </c>
    </row>
    <row r="207" ht="15.75" customHeight="1">
      <c r="A207" s="22" t="str">
        <f t="shared" si="2"/>
        <v>domingo</v>
      </c>
      <c r="B207" s="24" t="str">
        <f t="shared" si="3"/>
        <v>febrero</v>
      </c>
      <c r="C207" s="37">
        <v>46075.0</v>
      </c>
      <c r="D207" s="22" t="s">
        <v>43</v>
      </c>
      <c r="E207" s="27">
        <v>90.0</v>
      </c>
      <c r="F207" s="27">
        <v>55.0</v>
      </c>
      <c r="G207" s="27">
        <v>5.0</v>
      </c>
      <c r="H207" s="27">
        <v>18.0</v>
      </c>
    </row>
    <row r="208" ht="15.75" customHeight="1">
      <c r="A208" s="22" t="str">
        <f t="shared" si="2"/>
        <v>domingo</v>
      </c>
      <c r="B208" s="24" t="str">
        <f t="shared" si="3"/>
        <v>febrero</v>
      </c>
      <c r="C208" s="37">
        <v>46075.0</v>
      </c>
      <c r="D208" s="26" t="s">
        <v>52</v>
      </c>
      <c r="E208" s="27">
        <v>54.0</v>
      </c>
      <c r="F208" s="27">
        <v>38.0</v>
      </c>
      <c r="G208" s="27">
        <v>7.0</v>
      </c>
      <c r="H208" s="27">
        <v>5.0</v>
      </c>
    </row>
    <row r="209" ht="15.75" customHeight="1">
      <c r="A209" s="22" t="str">
        <f t="shared" si="2"/>
        <v>domingo</v>
      </c>
      <c r="B209" s="24" t="str">
        <f t="shared" si="3"/>
        <v>febrero</v>
      </c>
      <c r="C209" s="37">
        <v>46075.0</v>
      </c>
      <c r="D209" s="26" t="s">
        <v>53</v>
      </c>
      <c r="E209" s="27">
        <v>137.0</v>
      </c>
      <c r="F209" s="27">
        <v>84.0</v>
      </c>
      <c r="G209" s="27">
        <v>1.0</v>
      </c>
      <c r="H209" s="27">
        <v>17.0</v>
      </c>
    </row>
    <row r="210" ht="15.75" customHeight="1">
      <c r="A210" s="22" t="str">
        <f t="shared" si="2"/>
        <v>domingo</v>
      </c>
      <c r="B210" s="24" t="str">
        <f t="shared" si="3"/>
        <v>febrero</v>
      </c>
      <c r="C210" s="37">
        <v>46075.0</v>
      </c>
      <c r="D210" s="26" t="s">
        <v>60</v>
      </c>
      <c r="E210" s="27">
        <v>203.0</v>
      </c>
      <c r="F210" s="27">
        <v>133.0</v>
      </c>
      <c r="G210" s="27">
        <v>3.0</v>
      </c>
      <c r="H210" s="27">
        <v>0.0</v>
      </c>
    </row>
    <row r="211" ht="15.75" customHeight="1">
      <c r="A211" s="22" t="str">
        <f t="shared" si="2"/>
        <v>lunes</v>
      </c>
      <c r="B211" s="24" t="str">
        <f t="shared" si="3"/>
        <v>febrero</v>
      </c>
      <c r="C211" s="37">
        <v>46076.0</v>
      </c>
      <c r="D211" s="26" t="s">
        <v>41</v>
      </c>
      <c r="E211" s="27">
        <v>80.0</v>
      </c>
      <c r="F211" s="27">
        <v>51.0</v>
      </c>
      <c r="G211" s="27">
        <v>1.0</v>
      </c>
      <c r="H211" s="27">
        <v>20.0</v>
      </c>
    </row>
    <row r="212" ht="15.75" customHeight="1">
      <c r="A212" s="22" t="str">
        <f t="shared" si="2"/>
        <v>lunes</v>
      </c>
      <c r="B212" s="24" t="str">
        <f t="shared" si="3"/>
        <v>febrero</v>
      </c>
      <c r="C212" s="37">
        <v>46076.0</v>
      </c>
      <c r="D212" s="26" t="s">
        <v>42</v>
      </c>
      <c r="E212" s="27">
        <v>114.0</v>
      </c>
      <c r="F212" s="27">
        <v>52.0</v>
      </c>
      <c r="G212" s="27">
        <v>3.0</v>
      </c>
      <c r="H212" s="27">
        <v>12.0</v>
      </c>
    </row>
    <row r="213" ht="15.75" customHeight="1">
      <c r="A213" s="22" t="str">
        <f t="shared" si="2"/>
        <v>lunes</v>
      </c>
      <c r="B213" s="24" t="str">
        <f t="shared" si="3"/>
        <v>febrero</v>
      </c>
      <c r="C213" s="37">
        <v>46076.0</v>
      </c>
      <c r="D213" s="26" t="s">
        <v>44</v>
      </c>
      <c r="E213" s="27">
        <v>62.0</v>
      </c>
      <c r="F213" s="27">
        <v>58.0</v>
      </c>
      <c r="G213" s="27">
        <v>0.0</v>
      </c>
      <c r="H213" s="27">
        <v>0.0</v>
      </c>
    </row>
    <row r="214" ht="15.75" customHeight="1">
      <c r="A214" s="22" t="str">
        <f t="shared" si="2"/>
        <v>lunes</v>
      </c>
      <c r="B214" s="24" t="str">
        <f t="shared" si="3"/>
        <v>febrero</v>
      </c>
      <c r="C214" s="37">
        <v>46076.0</v>
      </c>
      <c r="D214" s="22" t="s">
        <v>89</v>
      </c>
      <c r="E214" s="27">
        <v>99.0</v>
      </c>
      <c r="F214" s="27">
        <v>51.0</v>
      </c>
      <c r="G214" s="27">
        <v>0.0</v>
      </c>
      <c r="H214" s="27">
        <v>3.0</v>
      </c>
    </row>
    <row r="215" ht="15.75" customHeight="1">
      <c r="A215" s="22" t="str">
        <f t="shared" si="2"/>
        <v>lunes</v>
      </c>
      <c r="B215" s="24" t="str">
        <f t="shared" si="3"/>
        <v>febrero</v>
      </c>
      <c r="C215" s="37">
        <v>46076.0</v>
      </c>
      <c r="D215" s="22" t="s">
        <v>90</v>
      </c>
      <c r="E215" s="27">
        <v>134.0</v>
      </c>
      <c r="F215" s="27">
        <v>79.0</v>
      </c>
      <c r="G215" s="27">
        <v>0.0</v>
      </c>
      <c r="H215" s="27">
        <v>0.0</v>
      </c>
    </row>
    <row r="216" ht="15.75" customHeight="1">
      <c r="A216" s="22" t="str">
        <f t="shared" si="2"/>
        <v>lunes</v>
      </c>
      <c r="B216" s="24" t="str">
        <f t="shared" si="3"/>
        <v>febrero</v>
      </c>
      <c r="C216" s="37">
        <v>46076.0</v>
      </c>
      <c r="D216" s="26" t="s">
        <v>67</v>
      </c>
      <c r="E216" s="27">
        <v>70.0</v>
      </c>
      <c r="F216" s="27">
        <v>59.0</v>
      </c>
      <c r="G216" s="27">
        <v>2.0</v>
      </c>
      <c r="H216" s="27">
        <v>4.0</v>
      </c>
    </row>
    <row r="217" ht="15.75" customHeight="1">
      <c r="A217" s="22" t="str">
        <f t="shared" si="2"/>
        <v>lunes</v>
      </c>
      <c r="B217" s="24" t="str">
        <f t="shared" si="3"/>
        <v>febrero</v>
      </c>
      <c r="C217" s="37">
        <v>46076.0</v>
      </c>
      <c r="D217" s="22" t="s">
        <v>93</v>
      </c>
      <c r="E217" s="27">
        <v>127.0</v>
      </c>
      <c r="F217" s="27">
        <v>76.0</v>
      </c>
      <c r="G217" s="27">
        <v>0.0</v>
      </c>
      <c r="H217" s="27">
        <v>0.0</v>
      </c>
    </row>
    <row r="218" ht="15.75" customHeight="1">
      <c r="A218" s="22" t="str">
        <f t="shared" si="2"/>
        <v>lunes</v>
      </c>
      <c r="B218" s="24" t="str">
        <f t="shared" si="3"/>
        <v>febrero</v>
      </c>
      <c r="C218" s="37">
        <v>46076.0</v>
      </c>
      <c r="D218" s="26" t="s">
        <v>58</v>
      </c>
      <c r="E218" s="27">
        <v>81.0</v>
      </c>
      <c r="F218" s="27">
        <v>50.0</v>
      </c>
      <c r="G218" s="27">
        <v>1.0</v>
      </c>
      <c r="H218" s="27">
        <v>5.0</v>
      </c>
    </row>
    <row r="219" ht="15.75" customHeight="1">
      <c r="A219" s="22" t="str">
        <f t="shared" si="2"/>
        <v>lunes</v>
      </c>
      <c r="B219" s="24" t="str">
        <f t="shared" si="3"/>
        <v>febrero</v>
      </c>
      <c r="C219" s="37">
        <v>46076.0</v>
      </c>
      <c r="D219" s="26" t="s">
        <v>64</v>
      </c>
      <c r="E219" s="27">
        <v>186.0</v>
      </c>
      <c r="F219" s="27">
        <v>110.0</v>
      </c>
      <c r="G219" s="27">
        <v>4.0</v>
      </c>
      <c r="H219" s="27">
        <v>6.0</v>
      </c>
    </row>
    <row r="220" ht="15.75" customHeight="1">
      <c r="A220" s="22" t="str">
        <f t="shared" si="2"/>
        <v>lunes</v>
      </c>
      <c r="B220" s="24" t="str">
        <f t="shared" si="3"/>
        <v>febrero</v>
      </c>
      <c r="C220" s="37">
        <v>46076.0</v>
      </c>
      <c r="D220" s="26" t="s">
        <v>65</v>
      </c>
      <c r="E220" s="27">
        <v>67.0</v>
      </c>
      <c r="F220" s="27">
        <v>52.0</v>
      </c>
      <c r="G220" s="27">
        <v>2.0</v>
      </c>
      <c r="H220" s="27">
        <v>3.0</v>
      </c>
    </row>
    <row r="221" ht="15.75" customHeight="1">
      <c r="A221" s="22" t="str">
        <f t="shared" si="2"/>
        <v>lunes</v>
      </c>
      <c r="B221" s="24" t="str">
        <f t="shared" si="3"/>
        <v>febrero</v>
      </c>
      <c r="C221" s="37">
        <v>46076.0</v>
      </c>
      <c r="D221" s="26" t="s">
        <v>60</v>
      </c>
      <c r="E221" s="27">
        <v>115.0</v>
      </c>
      <c r="F221" s="27">
        <v>41.0</v>
      </c>
      <c r="G221" s="27">
        <v>1.0</v>
      </c>
      <c r="H221" s="27">
        <v>6.0</v>
      </c>
    </row>
    <row r="222" ht="15.75" customHeight="1">
      <c r="A222" s="22" t="str">
        <f t="shared" si="2"/>
        <v>lunes</v>
      </c>
      <c r="B222" s="24" t="str">
        <f t="shared" si="3"/>
        <v>febrero</v>
      </c>
      <c r="C222" s="37">
        <v>46076.0</v>
      </c>
      <c r="D222" s="26" t="s">
        <v>66</v>
      </c>
      <c r="E222" s="27">
        <v>93.0</v>
      </c>
      <c r="F222" s="27">
        <v>81.0</v>
      </c>
      <c r="G222" s="27">
        <v>0.0</v>
      </c>
      <c r="H222" s="27">
        <v>0.0</v>
      </c>
    </row>
    <row r="223" ht="15.75" customHeight="1">
      <c r="A223" s="22" t="str">
        <f t="shared" si="2"/>
        <v>martes</v>
      </c>
      <c r="B223" s="24" t="str">
        <f t="shared" si="3"/>
        <v>febrero</v>
      </c>
      <c r="C223" s="37">
        <v>46077.0</v>
      </c>
      <c r="D223" s="26" t="s">
        <v>39</v>
      </c>
      <c r="E223" s="27">
        <v>59.0</v>
      </c>
      <c r="F223" s="27">
        <v>31.0</v>
      </c>
      <c r="G223" s="27">
        <v>1.0</v>
      </c>
      <c r="H223" s="27">
        <v>3.0</v>
      </c>
    </row>
    <row r="224" ht="15.75" customHeight="1">
      <c r="A224" s="22" t="str">
        <f t="shared" si="2"/>
        <v>martes</v>
      </c>
      <c r="B224" s="24" t="str">
        <f t="shared" si="3"/>
        <v>febrero</v>
      </c>
      <c r="C224" s="37">
        <v>46077.0</v>
      </c>
      <c r="D224" s="26" t="s">
        <v>41</v>
      </c>
      <c r="E224" s="27">
        <v>95.0</v>
      </c>
      <c r="F224" s="27">
        <v>61.0</v>
      </c>
      <c r="G224" s="27">
        <v>0.0</v>
      </c>
      <c r="H224" s="27">
        <v>9.0</v>
      </c>
    </row>
    <row r="225" ht="15.75" customHeight="1">
      <c r="A225" s="22" t="str">
        <f t="shared" si="2"/>
        <v>martes</v>
      </c>
      <c r="B225" s="24" t="str">
        <f t="shared" si="3"/>
        <v>febrero</v>
      </c>
      <c r="C225" s="37">
        <v>46077.0</v>
      </c>
      <c r="D225" s="26" t="s">
        <v>42</v>
      </c>
      <c r="E225" s="27">
        <v>100.0</v>
      </c>
      <c r="F225" s="27">
        <v>59.0</v>
      </c>
      <c r="G225" s="27">
        <v>0.0</v>
      </c>
      <c r="H225" s="27">
        <v>19.0</v>
      </c>
    </row>
    <row r="226" ht="15.75" customHeight="1">
      <c r="A226" s="22" t="str">
        <f t="shared" si="2"/>
        <v>martes</v>
      </c>
      <c r="B226" s="24" t="str">
        <f t="shared" si="3"/>
        <v>febrero</v>
      </c>
      <c r="C226" s="37">
        <v>46077.0</v>
      </c>
      <c r="D226" s="22" t="s">
        <v>89</v>
      </c>
      <c r="E226" s="27">
        <v>124.0</v>
      </c>
      <c r="F226" s="27">
        <v>57.0</v>
      </c>
      <c r="G226" s="27">
        <v>0.0</v>
      </c>
      <c r="H226" s="27">
        <v>0.0</v>
      </c>
    </row>
    <row r="227" ht="15.75" customHeight="1">
      <c r="A227" s="22" t="str">
        <f t="shared" si="2"/>
        <v>martes</v>
      </c>
      <c r="B227" s="24" t="str">
        <f t="shared" si="3"/>
        <v>febrero</v>
      </c>
      <c r="C227" s="37">
        <v>46077.0</v>
      </c>
      <c r="D227" s="22" t="s">
        <v>90</v>
      </c>
      <c r="E227" s="27">
        <v>233.0</v>
      </c>
      <c r="F227" s="27">
        <v>126.0</v>
      </c>
      <c r="G227" s="27">
        <v>0.0</v>
      </c>
      <c r="H227" s="27">
        <v>0.0</v>
      </c>
    </row>
    <row r="228" ht="15.75" customHeight="1">
      <c r="A228" s="22" t="str">
        <f t="shared" si="2"/>
        <v>martes</v>
      </c>
      <c r="B228" s="24" t="str">
        <f t="shared" si="3"/>
        <v>febrero</v>
      </c>
      <c r="C228" s="37">
        <v>46077.0</v>
      </c>
      <c r="D228" s="26" t="s">
        <v>59</v>
      </c>
      <c r="E228" s="27">
        <v>81.0</v>
      </c>
      <c r="F228" s="27">
        <v>58.0</v>
      </c>
      <c r="G228" s="27">
        <v>1.0</v>
      </c>
      <c r="H228" s="27">
        <v>3.0</v>
      </c>
    </row>
    <row r="229" ht="15.75" customHeight="1">
      <c r="A229" s="22" t="str">
        <f t="shared" si="2"/>
        <v>martes</v>
      </c>
      <c r="B229" s="24" t="str">
        <f t="shared" si="3"/>
        <v>febrero</v>
      </c>
      <c r="C229" s="37">
        <v>46077.0</v>
      </c>
      <c r="D229" s="26" t="s">
        <v>67</v>
      </c>
      <c r="E229" s="27">
        <v>71.0</v>
      </c>
      <c r="F229" s="27">
        <v>61.0</v>
      </c>
      <c r="G229" s="27">
        <v>0.0</v>
      </c>
      <c r="H229" s="27">
        <v>3.0</v>
      </c>
    </row>
    <row r="230" ht="15.75" customHeight="1">
      <c r="A230" s="22" t="str">
        <f t="shared" si="2"/>
        <v>martes</v>
      </c>
      <c r="B230" s="24" t="str">
        <f t="shared" si="3"/>
        <v>febrero</v>
      </c>
      <c r="C230" s="37">
        <v>46077.0</v>
      </c>
      <c r="D230" s="22" t="s">
        <v>93</v>
      </c>
      <c r="E230" s="27">
        <v>117.0</v>
      </c>
      <c r="F230" s="27">
        <v>81.0</v>
      </c>
      <c r="G230" s="27">
        <v>0.0</v>
      </c>
      <c r="H230" s="27">
        <v>0.0</v>
      </c>
    </row>
    <row r="231" ht="15.75" customHeight="1">
      <c r="A231" s="22" t="str">
        <f t="shared" si="2"/>
        <v>martes</v>
      </c>
      <c r="B231" s="24" t="str">
        <f t="shared" si="3"/>
        <v>febrero</v>
      </c>
      <c r="C231" s="37">
        <v>46077.0</v>
      </c>
      <c r="D231" s="26" t="s">
        <v>58</v>
      </c>
      <c r="E231" s="27">
        <v>74.0</v>
      </c>
      <c r="F231" s="27">
        <v>52.0</v>
      </c>
      <c r="G231" s="27">
        <v>0.0</v>
      </c>
      <c r="H231" s="27">
        <v>1.0</v>
      </c>
    </row>
    <row r="232" ht="15.75" customHeight="1">
      <c r="A232" s="22" t="str">
        <f t="shared" si="2"/>
        <v>martes</v>
      </c>
      <c r="B232" s="24" t="str">
        <f t="shared" si="3"/>
        <v>febrero</v>
      </c>
      <c r="C232" s="37">
        <v>46077.0</v>
      </c>
      <c r="D232" s="26" t="s">
        <v>64</v>
      </c>
      <c r="E232" s="27">
        <v>131.0</v>
      </c>
      <c r="F232" s="27">
        <v>87.0</v>
      </c>
      <c r="G232" s="27">
        <v>0.0</v>
      </c>
      <c r="H232" s="27">
        <v>2.0</v>
      </c>
    </row>
    <row r="233" ht="15.75" customHeight="1">
      <c r="A233" s="22" t="str">
        <f t="shared" si="2"/>
        <v>martes</v>
      </c>
      <c r="B233" s="24" t="str">
        <f t="shared" si="3"/>
        <v>febrero</v>
      </c>
      <c r="C233" s="37">
        <v>46077.0</v>
      </c>
      <c r="D233" s="26" t="s">
        <v>65</v>
      </c>
      <c r="E233" s="27">
        <v>78.0</v>
      </c>
      <c r="F233" s="27">
        <v>59.0</v>
      </c>
      <c r="G233" s="27">
        <v>0.0</v>
      </c>
      <c r="H233" s="27">
        <v>0.0</v>
      </c>
    </row>
    <row r="234" ht="15.75" customHeight="1">
      <c r="A234" s="22" t="str">
        <f t="shared" si="2"/>
        <v>martes</v>
      </c>
      <c r="B234" s="24" t="str">
        <f t="shared" si="3"/>
        <v>febrero</v>
      </c>
      <c r="C234" s="37">
        <v>46077.0</v>
      </c>
      <c r="D234" s="26" t="s">
        <v>66</v>
      </c>
      <c r="E234" s="27">
        <v>87.0</v>
      </c>
      <c r="F234" s="27">
        <v>81.0</v>
      </c>
      <c r="G234" s="27">
        <v>0.0</v>
      </c>
      <c r="H234" s="27">
        <v>1.0</v>
      </c>
    </row>
    <row r="235" ht="15.75" customHeight="1">
      <c r="A235" s="22" t="str">
        <f t="shared" si="2"/>
        <v>miércoles</v>
      </c>
      <c r="B235" s="24" t="str">
        <f t="shared" si="3"/>
        <v>febrero</v>
      </c>
      <c r="C235" s="37">
        <v>46078.0</v>
      </c>
      <c r="D235" s="26" t="s">
        <v>39</v>
      </c>
      <c r="E235" s="27">
        <v>64.0</v>
      </c>
      <c r="F235" s="27">
        <v>39.0</v>
      </c>
      <c r="G235" s="27">
        <v>1.0</v>
      </c>
      <c r="H235" s="27">
        <v>5.0</v>
      </c>
    </row>
    <row r="236" ht="15.75" customHeight="1">
      <c r="A236" s="22" t="str">
        <f t="shared" si="2"/>
        <v>miércoles</v>
      </c>
      <c r="B236" s="24" t="str">
        <f t="shared" si="3"/>
        <v>febrero</v>
      </c>
      <c r="C236" s="37">
        <v>46078.0</v>
      </c>
      <c r="D236" s="22" t="s">
        <v>107</v>
      </c>
      <c r="E236" s="27">
        <v>73.0</v>
      </c>
      <c r="F236" s="27">
        <v>49.0</v>
      </c>
      <c r="G236" s="27">
        <v>0.0</v>
      </c>
      <c r="H236" s="27">
        <v>0.0</v>
      </c>
    </row>
    <row r="237" ht="15.75" customHeight="1">
      <c r="A237" s="22" t="str">
        <f t="shared" si="2"/>
        <v>miércoles</v>
      </c>
      <c r="B237" s="24" t="str">
        <f t="shared" si="3"/>
        <v>febrero</v>
      </c>
      <c r="C237" s="37">
        <v>46078.0</v>
      </c>
      <c r="D237" s="26" t="s">
        <v>41</v>
      </c>
      <c r="E237" s="27">
        <v>81.0</v>
      </c>
      <c r="F237" s="27">
        <v>62.0</v>
      </c>
      <c r="G237" s="27">
        <v>1.0</v>
      </c>
      <c r="H237" s="27">
        <v>2.0</v>
      </c>
    </row>
    <row r="238" ht="15.75" customHeight="1">
      <c r="A238" s="22" t="str">
        <f t="shared" si="2"/>
        <v>miércoles</v>
      </c>
      <c r="B238" s="24" t="str">
        <f t="shared" si="3"/>
        <v>febrero</v>
      </c>
      <c r="C238" s="37">
        <v>46078.0</v>
      </c>
      <c r="D238" s="26" t="s">
        <v>42</v>
      </c>
      <c r="E238" s="27">
        <v>124.0</v>
      </c>
      <c r="F238" s="27">
        <v>79.0</v>
      </c>
      <c r="G238" s="27">
        <v>1.0</v>
      </c>
      <c r="H238" s="27">
        <v>16.0</v>
      </c>
    </row>
    <row r="239" ht="15.75" customHeight="1">
      <c r="A239" s="22" t="str">
        <f t="shared" si="2"/>
        <v>miércoles</v>
      </c>
      <c r="B239" s="24" t="str">
        <f t="shared" si="3"/>
        <v>febrero</v>
      </c>
      <c r="C239" s="37">
        <v>46078.0</v>
      </c>
      <c r="D239" s="22" t="s">
        <v>108</v>
      </c>
      <c r="E239" s="27">
        <v>69.0</v>
      </c>
      <c r="F239" s="27">
        <v>49.0</v>
      </c>
      <c r="G239" s="27">
        <v>0.0</v>
      </c>
      <c r="H239" s="27">
        <v>0.0</v>
      </c>
    </row>
    <row r="240" ht="15.75" customHeight="1">
      <c r="A240" s="22" t="str">
        <f t="shared" si="2"/>
        <v>miércoles</v>
      </c>
      <c r="B240" s="24" t="str">
        <f t="shared" si="3"/>
        <v>febrero</v>
      </c>
      <c r="C240" s="37">
        <v>46078.0</v>
      </c>
      <c r="D240" s="26" t="s">
        <v>51</v>
      </c>
      <c r="E240" s="27">
        <v>91.0</v>
      </c>
      <c r="F240" s="27">
        <v>72.0</v>
      </c>
      <c r="G240" s="27">
        <v>2.0</v>
      </c>
      <c r="H240" s="27">
        <v>26.0</v>
      </c>
    </row>
    <row r="241" ht="15.75" customHeight="1">
      <c r="A241" s="22" t="str">
        <f t="shared" si="2"/>
        <v>miércoles</v>
      </c>
      <c r="B241" s="24" t="str">
        <f t="shared" si="3"/>
        <v>febrero</v>
      </c>
      <c r="C241" s="37">
        <v>46078.0</v>
      </c>
      <c r="D241" s="22" t="s">
        <v>89</v>
      </c>
      <c r="E241" s="27">
        <v>111.0</v>
      </c>
      <c r="F241" s="27">
        <v>84.0</v>
      </c>
      <c r="G241" s="27">
        <v>0.0</v>
      </c>
      <c r="H241" s="27">
        <v>0.0</v>
      </c>
    </row>
    <row r="242" ht="15.75" customHeight="1">
      <c r="A242" s="22" t="str">
        <f t="shared" si="2"/>
        <v>miércoles</v>
      </c>
      <c r="B242" s="24" t="str">
        <f t="shared" si="3"/>
        <v>febrero</v>
      </c>
      <c r="C242" s="37">
        <v>46078.0</v>
      </c>
      <c r="D242" s="26" t="s">
        <v>67</v>
      </c>
      <c r="E242" s="27">
        <v>83.0</v>
      </c>
      <c r="F242" s="27">
        <v>73.0</v>
      </c>
      <c r="G242" s="27">
        <v>3.0</v>
      </c>
      <c r="H242" s="27">
        <v>4.0</v>
      </c>
    </row>
    <row r="243" ht="15.75" customHeight="1">
      <c r="A243" s="22" t="str">
        <f t="shared" si="2"/>
        <v>miércoles</v>
      </c>
      <c r="B243" s="24" t="str">
        <f t="shared" si="3"/>
        <v>febrero</v>
      </c>
      <c r="C243" s="37">
        <v>46078.0</v>
      </c>
      <c r="D243" s="22" t="s">
        <v>93</v>
      </c>
      <c r="E243" s="27">
        <v>139.0</v>
      </c>
      <c r="F243" s="27">
        <v>118.0</v>
      </c>
      <c r="G243" s="27">
        <v>0.0</v>
      </c>
      <c r="H243" s="27">
        <v>0.0</v>
      </c>
    </row>
    <row r="244" ht="15.75" customHeight="1">
      <c r="A244" s="22" t="str">
        <f t="shared" si="2"/>
        <v>miércoles</v>
      </c>
      <c r="B244" s="24" t="str">
        <f t="shared" si="3"/>
        <v>febrero</v>
      </c>
      <c r="C244" s="37">
        <v>46078.0</v>
      </c>
      <c r="D244" s="26" t="s">
        <v>64</v>
      </c>
      <c r="E244" s="27">
        <v>159.0</v>
      </c>
      <c r="F244" s="27">
        <v>102.0</v>
      </c>
      <c r="G244" s="27">
        <v>6.0</v>
      </c>
      <c r="H244" s="27">
        <v>15.0</v>
      </c>
    </row>
    <row r="245" ht="15.75" customHeight="1">
      <c r="A245" s="22" t="str">
        <f t="shared" si="2"/>
        <v>miércoles</v>
      </c>
      <c r="B245" s="24" t="str">
        <f t="shared" si="3"/>
        <v>febrero</v>
      </c>
      <c r="C245" s="37">
        <v>46078.0</v>
      </c>
      <c r="D245" s="26" t="s">
        <v>65</v>
      </c>
      <c r="E245" s="27">
        <v>61.0</v>
      </c>
      <c r="F245" s="27">
        <v>44.0</v>
      </c>
      <c r="G245" s="27">
        <v>3.0</v>
      </c>
      <c r="H245" s="27">
        <v>2.0</v>
      </c>
    </row>
    <row r="246" ht="15.75" customHeight="1">
      <c r="A246" s="22" t="str">
        <f t="shared" si="2"/>
        <v>miércoles</v>
      </c>
      <c r="B246" s="24" t="str">
        <f t="shared" si="3"/>
        <v>febrero</v>
      </c>
      <c r="C246" s="37">
        <v>46078.0</v>
      </c>
      <c r="D246" s="26" t="s">
        <v>66</v>
      </c>
      <c r="E246" s="27">
        <v>139.0</v>
      </c>
      <c r="F246" s="27">
        <v>129.0</v>
      </c>
      <c r="G246" s="27">
        <v>1.0</v>
      </c>
      <c r="H246" s="27">
        <v>4.0</v>
      </c>
    </row>
    <row r="247" ht="15.75" customHeight="1">
      <c r="A247" s="22" t="str">
        <f t="shared" si="2"/>
        <v>jueves</v>
      </c>
      <c r="B247" s="24" t="str">
        <f t="shared" si="3"/>
        <v>febrero</v>
      </c>
      <c r="C247" s="37">
        <v>46079.0</v>
      </c>
      <c r="D247" s="22" t="s">
        <v>107</v>
      </c>
      <c r="E247" s="27">
        <v>111.0</v>
      </c>
      <c r="F247" s="27">
        <v>49.0</v>
      </c>
      <c r="G247" s="27">
        <v>0.0</v>
      </c>
      <c r="H247" s="27">
        <v>0.0</v>
      </c>
    </row>
    <row r="248" ht="15.75" customHeight="1">
      <c r="A248" s="22" t="str">
        <f t="shared" si="2"/>
        <v>jueves</v>
      </c>
      <c r="B248" s="24" t="str">
        <f t="shared" si="3"/>
        <v>febrero</v>
      </c>
      <c r="C248" s="37">
        <v>46079.0</v>
      </c>
      <c r="D248" s="26" t="s">
        <v>40</v>
      </c>
      <c r="E248" s="27">
        <v>66.0</v>
      </c>
      <c r="F248" s="27">
        <v>28.0</v>
      </c>
      <c r="G248" s="27">
        <v>3.0</v>
      </c>
      <c r="H248" s="27">
        <v>12.0</v>
      </c>
    </row>
    <row r="249" ht="15.75" customHeight="1">
      <c r="A249" s="22" t="str">
        <f t="shared" si="2"/>
        <v>jueves</v>
      </c>
      <c r="B249" s="24" t="str">
        <f t="shared" si="3"/>
        <v>febrero</v>
      </c>
      <c r="C249" s="37">
        <v>46079.0</v>
      </c>
      <c r="D249" s="26" t="s">
        <v>41</v>
      </c>
      <c r="E249" s="27">
        <v>98.0</v>
      </c>
      <c r="F249" s="27">
        <v>75.0</v>
      </c>
      <c r="G249" s="27">
        <v>2.0</v>
      </c>
      <c r="H249" s="27">
        <v>9.0</v>
      </c>
    </row>
    <row r="250" ht="15.75" customHeight="1">
      <c r="A250" s="22" t="str">
        <f t="shared" si="2"/>
        <v>jueves</v>
      </c>
      <c r="B250" s="24" t="str">
        <f t="shared" si="3"/>
        <v>febrero</v>
      </c>
      <c r="C250" s="37">
        <v>46079.0</v>
      </c>
      <c r="D250" s="26" t="s">
        <v>42</v>
      </c>
      <c r="E250" s="27">
        <v>87.0</v>
      </c>
      <c r="F250" s="27">
        <v>61.0</v>
      </c>
      <c r="G250" s="27">
        <v>4.0</v>
      </c>
      <c r="H250" s="27">
        <v>17.0</v>
      </c>
    </row>
    <row r="251" ht="15.75" customHeight="1">
      <c r="A251" s="22" t="str">
        <f t="shared" si="2"/>
        <v>jueves</v>
      </c>
      <c r="B251" s="24" t="str">
        <f t="shared" si="3"/>
        <v>febrero</v>
      </c>
      <c r="C251" s="37">
        <v>46079.0</v>
      </c>
      <c r="D251" s="22" t="s">
        <v>117</v>
      </c>
      <c r="E251" s="27">
        <v>90.0</v>
      </c>
      <c r="F251" s="27">
        <v>42.0</v>
      </c>
      <c r="G251" s="27">
        <v>0.0</v>
      </c>
      <c r="H251" s="27">
        <v>0.0</v>
      </c>
    </row>
    <row r="252" ht="15.75" customHeight="1">
      <c r="A252" s="22" t="str">
        <f t="shared" si="2"/>
        <v>jueves</v>
      </c>
      <c r="B252" s="24" t="str">
        <f t="shared" si="3"/>
        <v>febrero</v>
      </c>
      <c r="C252" s="37">
        <v>46079.0</v>
      </c>
      <c r="D252" s="26" t="s">
        <v>51</v>
      </c>
      <c r="E252" s="27">
        <v>77.0</v>
      </c>
      <c r="F252" s="27">
        <v>64.0</v>
      </c>
      <c r="G252" s="27">
        <v>2.0</v>
      </c>
      <c r="H252" s="27">
        <v>20.0</v>
      </c>
    </row>
    <row r="253" ht="15.75" customHeight="1">
      <c r="A253" s="22" t="str">
        <f t="shared" si="2"/>
        <v>jueves</v>
      </c>
      <c r="B253" s="24" t="str">
        <f t="shared" si="3"/>
        <v>febrero</v>
      </c>
      <c r="C253" s="37">
        <v>46079.0</v>
      </c>
      <c r="D253" s="22" t="s">
        <v>89</v>
      </c>
      <c r="E253" s="27">
        <v>67.0</v>
      </c>
      <c r="F253" s="27">
        <v>35.0</v>
      </c>
      <c r="G253" s="27">
        <v>0.0</v>
      </c>
      <c r="H253" s="27">
        <v>0.0</v>
      </c>
    </row>
    <row r="254" ht="15.75" customHeight="1">
      <c r="A254" s="22" t="str">
        <f t="shared" si="2"/>
        <v>jueves</v>
      </c>
      <c r="B254" s="24" t="str">
        <f t="shared" si="3"/>
        <v>febrero</v>
      </c>
      <c r="C254" s="37">
        <v>46079.0</v>
      </c>
      <c r="D254" s="26" t="s">
        <v>58</v>
      </c>
      <c r="E254" s="27">
        <v>90.0</v>
      </c>
      <c r="F254" s="27">
        <v>43.0</v>
      </c>
      <c r="G254" s="27">
        <v>5.0</v>
      </c>
      <c r="H254" s="27">
        <v>4.0</v>
      </c>
    </row>
    <row r="255" ht="15.75" customHeight="1">
      <c r="A255" s="22" t="str">
        <f t="shared" si="2"/>
        <v>jueves</v>
      </c>
      <c r="B255" s="24" t="str">
        <f t="shared" si="3"/>
        <v>febrero</v>
      </c>
      <c r="C255" s="37">
        <v>46079.0</v>
      </c>
      <c r="D255" s="26" t="s">
        <v>52</v>
      </c>
      <c r="E255" s="27">
        <v>33.0</v>
      </c>
      <c r="F255" s="27">
        <v>30.0</v>
      </c>
      <c r="G255" s="27">
        <v>4.0</v>
      </c>
      <c r="H255" s="27">
        <v>3.0</v>
      </c>
    </row>
    <row r="256" ht="15.75" customHeight="1">
      <c r="A256" s="22" t="str">
        <f t="shared" si="2"/>
        <v>jueves</v>
      </c>
      <c r="B256" s="24" t="str">
        <f t="shared" si="3"/>
        <v>febrero</v>
      </c>
      <c r="C256" s="37">
        <v>46079.0</v>
      </c>
      <c r="D256" s="26" t="s">
        <v>53</v>
      </c>
      <c r="E256" s="27">
        <v>58.0</v>
      </c>
      <c r="F256" s="27">
        <v>41.0</v>
      </c>
      <c r="G256" s="27">
        <v>1.0</v>
      </c>
      <c r="H256" s="27">
        <v>5.0</v>
      </c>
    </row>
    <row r="257" ht="15.75" customHeight="1">
      <c r="A257" s="22" t="str">
        <f t="shared" si="2"/>
        <v>jueves</v>
      </c>
      <c r="B257" s="24" t="str">
        <f t="shared" si="3"/>
        <v>febrero</v>
      </c>
      <c r="C257" s="37">
        <v>46079.0</v>
      </c>
      <c r="D257" s="26" t="s">
        <v>64</v>
      </c>
      <c r="E257" s="27">
        <v>117.0</v>
      </c>
      <c r="F257" s="27">
        <v>71.0</v>
      </c>
      <c r="G257" s="27">
        <v>6.0</v>
      </c>
      <c r="H257" s="27">
        <v>7.0</v>
      </c>
    </row>
    <row r="258" ht="15.75" customHeight="1">
      <c r="A258" s="22" t="str">
        <f t="shared" si="2"/>
        <v>jueves</v>
      </c>
      <c r="B258" s="24" t="str">
        <f t="shared" si="3"/>
        <v>febrero</v>
      </c>
      <c r="C258" s="37">
        <v>46079.0</v>
      </c>
      <c r="D258" s="26" t="s">
        <v>65</v>
      </c>
      <c r="E258" s="27">
        <v>63.0</v>
      </c>
      <c r="F258" s="27">
        <v>48.0</v>
      </c>
      <c r="G258" s="27">
        <v>5.0</v>
      </c>
      <c r="H258" s="27">
        <v>2.0</v>
      </c>
    </row>
    <row r="259" ht="15.75" customHeight="1">
      <c r="A259" s="22" t="str">
        <f t="shared" si="2"/>
        <v>jueves</v>
      </c>
      <c r="B259" s="24" t="str">
        <f t="shared" si="3"/>
        <v>febrero</v>
      </c>
      <c r="C259" s="37">
        <v>46079.0</v>
      </c>
      <c r="D259" s="26" t="s">
        <v>66</v>
      </c>
      <c r="E259" s="27">
        <v>123.0</v>
      </c>
      <c r="F259" s="27">
        <v>121.0</v>
      </c>
      <c r="G259" s="27">
        <v>1.0</v>
      </c>
      <c r="H259" s="27">
        <v>0.0</v>
      </c>
    </row>
    <row r="260" ht="15.75" customHeight="1">
      <c r="A260" s="22" t="str">
        <f t="shared" si="2"/>
        <v>viernes</v>
      </c>
      <c r="B260" s="24" t="str">
        <f t="shared" si="3"/>
        <v>febrero</v>
      </c>
      <c r="C260" s="37">
        <v>46080.0</v>
      </c>
      <c r="D260" s="26" t="s">
        <v>40</v>
      </c>
      <c r="E260" s="27">
        <v>57.0</v>
      </c>
      <c r="F260" s="27">
        <v>37.0</v>
      </c>
      <c r="G260" s="27">
        <v>6.0</v>
      </c>
      <c r="H260" s="27">
        <v>7.0</v>
      </c>
    </row>
    <row r="261" ht="15.75" customHeight="1">
      <c r="A261" s="22" t="str">
        <f t="shared" si="2"/>
        <v>viernes</v>
      </c>
      <c r="B261" s="24" t="str">
        <f t="shared" si="3"/>
        <v>febrero</v>
      </c>
      <c r="C261" s="37">
        <v>46080.0</v>
      </c>
      <c r="D261" s="26" t="s">
        <v>51</v>
      </c>
      <c r="E261" s="27">
        <v>33.0</v>
      </c>
      <c r="F261" s="27">
        <v>24.0</v>
      </c>
      <c r="G261" s="27">
        <v>4.0</v>
      </c>
      <c r="H261" s="27">
        <v>12.0</v>
      </c>
    </row>
    <row r="262" ht="15.75" customHeight="1">
      <c r="A262" s="22" t="str">
        <f t="shared" si="2"/>
        <v>viernes</v>
      </c>
      <c r="B262" s="24" t="str">
        <f t="shared" si="3"/>
        <v>febrero</v>
      </c>
      <c r="C262" s="37">
        <v>46080.0</v>
      </c>
      <c r="D262" s="26" t="s">
        <v>44</v>
      </c>
      <c r="E262" s="27">
        <v>48.0</v>
      </c>
      <c r="F262" s="27">
        <v>48.0</v>
      </c>
      <c r="G262" s="27">
        <v>0.0</v>
      </c>
      <c r="H262" s="27">
        <v>0.0</v>
      </c>
    </row>
    <row r="263" ht="15.75" customHeight="1">
      <c r="A263" s="22" t="str">
        <f t="shared" si="2"/>
        <v>viernes</v>
      </c>
      <c r="B263" s="24" t="str">
        <f t="shared" si="3"/>
        <v>febrero</v>
      </c>
      <c r="C263" s="37">
        <v>46080.0</v>
      </c>
      <c r="D263" s="26" t="s">
        <v>58</v>
      </c>
      <c r="E263" s="27">
        <v>37.0</v>
      </c>
      <c r="F263" s="27">
        <v>23.0</v>
      </c>
      <c r="G263" s="27">
        <v>3.0</v>
      </c>
      <c r="H263" s="27">
        <v>0.0</v>
      </c>
    </row>
    <row r="264" ht="15.75" customHeight="1">
      <c r="A264" s="22" t="str">
        <f t="shared" si="2"/>
        <v>viernes</v>
      </c>
      <c r="B264" s="24" t="str">
        <f t="shared" si="3"/>
        <v>febrero</v>
      </c>
      <c r="C264" s="37">
        <v>46080.0</v>
      </c>
      <c r="D264" s="26" t="s">
        <v>52</v>
      </c>
      <c r="E264" s="27">
        <v>51.0</v>
      </c>
      <c r="F264" s="27">
        <v>41.0</v>
      </c>
      <c r="G264" s="27">
        <v>4.0</v>
      </c>
      <c r="H264" s="27">
        <v>8.0</v>
      </c>
    </row>
    <row r="265" ht="15.75" customHeight="1">
      <c r="A265" s="22" t="str">
        <f t="shared" si="2"/>
        <v>viernes</v>
      </c>
      <c r="B265" s="24" t="str">
        <f t="shared" si="3"/>
        <v>febrero</v>
      </c>
      <c r="C265" s="37">
        <v>46080.0</v>
      </c>
      <c r="D265" s="26" t="s">
        <v>53</v>
      </c>
      <c r="E265" s="27">
        <v>93.0</v>
      </c>
      <c r="F265" s="27">
        <v>52.0</v>
      </c>
      <c r="G265" s="27">
        <v>0.0</v>
      </c>
      <c r="H265" s="27">
        <v>6.0</v>
      </c>
    </row>
    <row r="266" ht="15.75" customHeight="1">
      <c r="A266" s="22" t="str">
        <f t="shared" si="2"/>
        <v>viernes</v>
      </c>
      <c r="B266" s="24" t="str">
        <f t="shared" si="3"/>
        <v>febrero</v>
      </c>
      <c r="C266" s="37">
        <v>46080.0</v>
      </c>
      <c r="D266" s="26" t="s">
        <v>64</v>
      </c>
      <c r="E266" s="27">
        <v>106.0</v>
      </c>
      <c r="F266" s="27">
        <v>60.0</v>
      </c>
      <c r="G266" s="27">
        <v>7.0</v>
      </c>
      <c r="H266" s="27">
        <v>8.0</v>
      </c>
    </row>
    <row r="267" ht="15.75" customHeight="1">
      <c r="A267" s="22" t="str">
        <f t="shared" si="2"/>
        <v>viernes</v>
      </c>
      <c r="B267" s="24" t="str">
        <f t="shared" si="3"/>
        <v>febrero</v>
      </c>
      <c r="C267" s="37">
        <v>46080.0</v>
      </c>
      <c r="D267" s="26" t="s">
        <v>65</v>
      </c>
      <c r="E267" s="27">
        <v>72.0</v>
      </c>
      <c r="F267" s="27">
        <v>55.0</v>
      </c>
      <c r="G267" s="27">
        <v>4.0</v>
      </c>
      <c r="H267" s="27">
        <v>4.0</v>
      </c>
    </row>
    <row r="268" ht="15.75" customHeight="1">
      <c r="A268" s="22" t="str">
        <f t="shared" si="2"/>
        <v>viernes</v>
      </c>
      <c r="B268" s="24" t="str">
        <f t="shared" si="3"/>
        <v>febrero</v>
      </c>
      <c r="C268" s="37">
        <v>46080.0</v>
      </c>
      <c r="D268" s="26" t="s">
        <v>66</v>
      </c>
      <c r="E268" s="27">
        <v>156.0</v>
      </c>
      <c r="F268" s="27">
        <v>134.0</v>
      </c>
      <c r="G268" s="27">
        <v>0.0</v>
      </c>
      <c r="H268" s="27">
        <v>9.0</v>
      </c>
    </row>
    <row r="269" ht="15.75" customHeight="1">
      <c r="A269" s="22" t="str">
        <f t="shared" si="2"/>
        <v>sábado</v>
      </c>
      <c r="B269" s="24" t="str">
        <f t="shared" si="3"/>
        <v>febrero</v>
      </c>
      <c r="C269" s="37">
        <v>46081.0</v>
      </c>
      <c r="D269" s="28" t="s">
        <v>40</v>
      </c>
      <c r="E269" s="5">
        <v>86.0</v>
      </c>
      <c r="F269" s="5">
        <v>53.0</v>
      </c>
      <c r="G269" s="5">
        <v>3.0</v>
      </c>
      <c r="H269" s="5">
        <v>9.0</v>
      </c>
    </row>
    <row r="270" ht="15.75" customHeight="1">
      <c r="A270" s="22" t="str">
        <f t="shared" si="2"/>
        <v>sábado</v>
      </c>
      <c r="B270" s="24" t="str">
        <f t="shared" si="3"/>
        <v>febrero</v>
      </c>
      <c r="C270" s="37">
        <v>46081.0</v>
      </c>
      <c r="D270" s="5" t="s">
        <v>43</v>
      </c>
      <c r="E270" s="5">
        <v>84.0</v>
      </c>
      <c r="F270" s="5">
        <v>58.0</v>
      </c>
      <c r="G270" s="5">
        <v>4.0</v>
      </c>
      <c r="H270" s="5">
        <v>10.0</v>
      </c>
    </row>
    <row r="271" ht="15.75" customHeight="1">
      <c r="A271" s="22" t="str">
        <f t="shared" si="2"/>
        <v>sábado</v>
      </c>
      <c r="B271" s="24" t="str">
        <f t="shared" si="3"/>
        <v>febrero</v>
      </c>
      <c r="C271" s="37">
        <v>46081.0</v>
      </c>
      <c r="D271" s="28" t="s">
        <v>44</v>
      </c>
      <c r="E271" s="5">
        <v>77.0</v>
      </c>
      <c r="F271" s="5">
        <v>75.0</v>
      </c>
      <c r="G271" s="5">
        <v>0.0</v>
      </c>
      <c r="H271" s="5">
        <v>0.0</v>
      </c>
    </row>
    <row r="272" ht="15.75" customHeight="1">
      <c r="A272" s="22" t="str">
        <f t="shared" si="2"/>
        <v>sábado</v>
      </c>
      <c r="B272" s="24" t="str">
        <f t="shared" si="3"/>
        <v>febrero</v>
      </c>
      <c r="C272" s="37">
        <v>46081.0</v>
      </c>
      <c r="D272" s="28" t="s">
        <v>51</v>
      </c>
      <c r="E272" s="5">
        <v>98.0</v>
      </c>
      <c r="F272" s="5">
        <v>84.0</v>
      </c>
      <c r="G272" s="5">
        <v>1.0</v>
      </c>
      <c r="H272" s="5">
        <v>9.0</v>
      </c>
    </row>
    <row r="273" ht="15.75" customHeight="1">
      <c r="A273" s="22" t="str">
        <f t="shared" si="2"/>
        <v>sábado</v>
      </c>
      <c r="B273" s="24" t="str">
        <f t="shared" si="3"/>
        <v>febrero</v>
      </c>
      <c r="C273" s="37">
        <v>46081.0</v>
      </c>
      <c r="D273" s="28" t="s">
        <v>59</v>
      </c>
      <c r="E273" s="5">
        <v>185.0</v>
      </c>
      <c r="F273" s="5">
        <v>170.0</v>
      </c>
      <c r="G273" s="5">
        <v>0.0</v>
      </c>
      <c r="H273" s="5">
        <v>0.0</v>
      </c>
    </row>
    <row r="274" ht="15.75" customHeight="1">
      <c r="A274" s="22" t="str">
        <f t="shared" si="2"/>
        <v>sábado</v>
      </c>
      <c r="B274" s="24" t="str">
        <f t="shared" si="3"/>
        <v>febrero</v>
      </c>
      <c r="C274" s="37">
        <v>46081.0</v>
      </c>
      <c r="D274" s="28" t="s">
        <v>52</v>
      </c>
      <c r="E274" s="5">
        <v>0.0</v>
      </c>
      <c r="F274" s="5">
        <v>0.0</v>
      </c>
      <c r="G274" s="5">
        <v>0.0</v>
      </c>
      <c r="H274" s="5">
        <v>0.0</v>
      </c>
    </row>
    <row r="275" ht="15.75" customHeight="1">
      <c r="A275" s="22" t="str">
        <f t="shared" si="2"/>
        <v>sábado</v>
      </c>
      <c r="B275" s="24" t="str">
        <f t="shared" si="3"/>
        <v>febrero</v>
      </c>
      <c r="C275" s="37">
        <v>46081.0</v>
      </c>
      <c r="D275" s="28" t="s">
        <v>53</v>
      </c>
      <c r="E275" s="5">
        <v>124.0</v>
      </c>
      <c r="F275" s="5">
        <v>70.0</v>
      </c>
      <c r="G275" s="5">
        <v>1.0</v>
      </c>
      <c r="H275" s="5">
        <v>2.0</v>
      </c>
    </row>
    <row r="276" ht="15.75" customHeight="1">
      <c r="A276" s="22" t="str">
        <f t="shared" si="2"/>
        <v>sábado</v>
      </c>
      <c r="B276" s="24" t="str">
        <f t="shared" si="3"/>
        <v>febrero</v>
      </c>
      <c r="C276" s="37">
        <v>46081.0</v>
      </c>
      <c r="D276" s="28" t="s">
        <v>60</v>
      </c>
      <c r="E276" s="5">
        <v>94.0</v>
      </c>
      <c r="F276" s="5">
        <v>54.0</v>
      </c>
      <c r="G276" s="5">
        <v>4.0</v>
      </c>
      <c r="H276" s="5">
        <v>7.0</v>
      </c>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0:$R$65"/>
  <mergeCells count="13">
    <mergeCell ref="K23:N23"/>
    <mergeCell ref="O23:P23"/>
    <mergeCell ref="Q23:R23"/>
    <mergeCell ref="J49:N49"/>
    <mergeCell ref="O49:P49"/>
    <mergeCell ref="Q49:R49"/>
    <mergeCell ref="J1:K1"/>
    <mergeCell ref="J2:N2"/>
    <mergeCell ref="O2:P2"/>
    <mergeCell ref="Q2:R2"/>
    <mergeCell ref="S2:S3"/>
    <mergeCell ref="Z2:AA2"/>
    <mergeCell ref="J22:R22"/>
  </mergeCells>
  <conditionalFormatting sqref="M4:M18">
    <cfRule type="colorScale" priority="1">
      <colorScale>
        <cfvo type="min"/>
        <cfvo type="percentile" val="50"/>
        <cfvo type="max"/>
        <color rgb="FFEA9999"/>
        <color rgb="FFFFD666"/>
        <color rgb="FF6AA84F"/>
      </colorScale>
    </cfRule>
  </conditionalFormatting>
  <conditionalFormatting sqref="P4:P18">
    <cfRule type="colorScale" priority="2">
      <colorScale>
        <cfvo type="min"/>
        <cfvo type="percentile" val="50"/>
        <cfvo type="max"/>
        <color rgb="FFEA9999"/>
        <color rgb="FFFFD666"/>
        <color rgb="FF6AA84F"/>
      </colorScale>
    </cfRule>
  </conditionalFormatting>
  <conditionalFormatting sqref="N4:N18">
    <cfRule type="colorScale" priority="3">
      <colorScale>
        <cfvo type="min"/>
        <cfvo type="percentile" val="50"/>
        <cfvo type="max"/>
        <color rgb="FFEA9999"/>
        <color rgb="FFFFD666"/>
        <color rgb="FF6AA84F"/>
      </colorScale>
    </cfRule>
  </conditionalFormatting>
  <conditionalFormatting sqref="O4:O18">
    <cfRule type="colorScale" priority="4">
      <colorScale>
        <cfvo type="min"/>
        <cfvo type="percentile" val="50"/>
        <cfvo type="max"/>
        <color rgb="FFEA9999"/>
        <color rgb="FFFFD666"/>
        <color rgb="FF6AA84F"/>
      </colorScale>
    </cfRule>
  </conditionalFormatting>
  <conditionalFormatting sqref="R4:R18">
    <cfRule type="colorScale" priority="5">
      <colorScale>
        <cfvo type="min"/>
        <cfvo type="percentile" val="50"/>
        <cfvo type="max"/>
        <color rgb="FFEA9999"/>
        <color rgb="FFFFD666"/>
        <color rgb="FF6AA84F"/>
      </colorScale>
    </cfRule>
  </conditionalFormatting>
  <conditionalFormatting sqref="Q4:Q18">
    <cfRule type="colorScale" priority="6">
      <colorScale>
        <cfvo type="min"/>
        <cfvo type="percentile" val="50"/>
        <cfvo type="max"/>
        <color rgb="FFEA9999"/>
        <color rgb="FFFFD666"/>
        <color rgb="FF6AA84F"/>
      </colorScale>
    </cfRule>
  </conditionalFormatting>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9" max="9" width="24.63"/>
    <col customWidth="1" min="12" max="12" width="15.38"/>
    <col customWidth="1" min="13" max="13" width="14.13"/>
  </cols>
  <sheetData>
    <row r="1" ht="15.75" customHeight="1">
      <c r="C1" s="5" t="s">
        <v>112</v>
      </c>
      <c r="D1" s="6" t="s">
        <v>113</v>
      </c>
      <c r="J1" s="9">
        <v>46023.0</v>
      </c>
      <c r="Z1" s="10" t="s">
        <v>9</v>
      </c>
    </row>
    <row r="2" ht="15.75" customHeight="1">
      <c r="D2" s="6" t="s">
        <v>114</v>
      </c>
      <c r="J2" s="12" t="s">
        <v>115</v>
      </c>
      <c r="O2" s="13" t="s">
        <v>18</v>
      </c>
      <c r="Q2" s="13" t="s">
        <v>19</v>
      </c>
      <c r="S2" s="14" t="s">
        <v>20</v>
      </c>
      <c r="Z2" s="20" t="s">
        <v>25</v>
      </c>
      <c r="AA2" s="20" t="s">
        <v>37</v>
      </c>
    </row>
    <row r="3" ht="15.75" customHeight="1">
      <c r="A3" s="15" t="s">
        <v>21</v>
      </c>
      <c r="B3" s="15" t="s">
        <v>22</v>
      </c>
      <c r="C3" s="16" t="s">
        <v>23</v>
      </c>
      <c r="D3" s="15" t="s">
        <v>24</v>
      </c>
      <c r="E3" s="15" t="s">
        <v>25</v>
      </c>
      <c r="F3" s="15" t="s">
        <v>26</v>
      </c>
      <c r="G3" s="15" t="s">
        <v>27</v>
      </c>
      <c r="H3" s="15" t="s">
        <v>28</v>
      </c>
      <c r="J3" s="17" t="s">
        <v>29</v>
      </c>
      <c r="K3" s="17" t="s">
        <v>25</v>
      </c>
      <c r="L3" s="17" t="s">
        <v>26</v>
      </c>
      <c r="M3" s="17" t="s">
        <v>30</v>
      </c>
      <c r="N3" s="17" t="s">
        <v>31</v>
      </c>
      <c r="O3" s="18" t="s">
        <v>25</v>
      </c>
      <c r="P3" s="18" t="s">
        <v>26</v>
      </c>
      <c r="Q3" s="17" t="s">
        <v>25</v>
      </c>
      <c r="R3" s="17" t="s">
        <v>26</v>
      </c>
      <c r="T3" s="5" t="s">
        <v>32</v>
      </c>
      <c r="Z3" s="23">
        <f t="shared" ref="Z3:AA3" si="1">V3/4</f>
        <v>0</v>
      </c>
      <c r="AA3" s="23">
        <f t="shared" si="1"/>
        <v>0</v>
      </c>
    </row>
    <row r="4" ht="15.75" customHeight="1">
      <c r="A4" s="22" t="str">
        <f t="shared" ref="A4:A294" si="3">TEXT(C4,"dddd")</f>
        <v>jueves</v>
      </c>
      <c r="B4" s="24" t="str">
        <f t="shared" ref="B4:B294" si="4">TEXT(C4,"mmmm")</f>
        <v>enero</v>
      </c>
      <c r="C4" s="37">
        <v>46023.0</v>
      </c>
      <c r="D4" s="22" t="s">
        <v>77</v>
      </c>
      <c r="E4" s="22" t="s">
        <v>77</v>
      </c>
      <c r="F4" s="22" t="s">
        <v>77</v>
      </c>
      <c r="G4" s="22" t="s">
        <v>77</v>
      </c>
      <c r="H4" s="22" t="s">
        <v>77</v>
      </c>
      <c r="J4" s="28" t="s">
        <v>39</v>
      </c>
      <c r="K4" s="23">
        <f t="shared" ref="K4:K18" si="5">AVERAGEIF($D$4:$D$350,J4,$E$4:$E$350)</f>
        <v>93.93333333</v>
      </c>
      <c r="L4" s="23">
        <f t="shared" ref="L4:L18" si="6">AVERAGEIF($D$4:$D$350,J4,$F$4:$F$350)</f>
        <v>51.26666667</v>
      </c>
      <c r="M4" s="23">
        <f t="shared" ref="M4:M18" si="7">AVERAGEIF($D$4:$D$350,J4,$G$4:$G$350)</f>
        <v>1.133333333</v>
      </c>
      <c r="N4" s="23">
        <f t="shared" ref="N4:N18" si="8">AVERAGEIF($D$4:$D$350,J4,$H$4:$H$350)</f>
        <v>9.8</v>
      </c>
      <c r="O4" s="23">
        <f t="shared" ref="O4:O18" si="9">K4/S4</f>
        <v>11.74166667</v>
      </c>
      <c r="P4" s="23">
        <f t="shared" ref="P4:P18" si="10">L4/S4</f>
        <v>6.408333333</v>
      </c>
      <c r="Q4" s="23">
        <f t="shared" ref="Q4:Q18" si="11">K4*T4</f>
        <v>469.6666667</v>
      </c>
      <c r="R4" s="23">
        <f t="shared" ref="R4:R18" si="12">L4*T4</f>
        <v>256.3333333</v>
      </c>
      <c r="S4" s="30">
        <v>8.0</v>
      </c>
      <c r="T4" s="30">
        <v>5.0</v>
      </c>
      <c r="Z4" s="23">
        <f t="shared" ref="Z4:AA4" si="2">V4/4</f>
        <v>0</v>
      </c>
      <c r="AA4" s="23">
        <f t="shared" si="2"/>
        <v>0</v>
      </c>
    </row>
    <row r="5" ht="15.75" customHeight="1">
      <c r="A5" s="22" t="str">
        <f t="shared" si="3"/>
        <v>viernes</v>
      </c>
      <c r="B5" s="24" t="str">
        <f t="shared" si="4"/>
        <v>enero</v>
      </c>
      <c r="C5" s="37">
        <v>46024.0</v>
      </c>
      <c r="D5" s="22" t="s">
        <v>77</v>
      </c>
      <c r="E5" s="22" t="s">
        <v>77</v>
      </c>
      <c r="F5" s="22" t="s">
        <v>77</v>
      </c>
      <c r="G5" s="22" t="s">
        <v>77</v>
      </c>
      <c r="H5" s="22" t="s">
        <v>77</v>
      </c>
      <c r="I5" s="60" t="s">
        <v>118</v>
      </c>
      <c r="J5" s="28" t="s">
        <v>40</v>
      </c>
      <c r="K5" s="23">
        <f t="shared" si="5"/>
        <v>63.6</v>
      </c>
      <c r="L5" s="23">
        <f t="shared" si="6"/>
        <v>38</v>
      </c>
      <c r="M5" s="23">
        <f t="shared" si="7"/>
        <v>3.8</v>
      </c>
      <c r="N5" s="23">
        <f t="shared" si="8"/>
        <v>5.733333333</v>
      </c>
      <c r="O5" s="23">
        <f t="shared" si="9"/>
        <v>6.36</v>
      </c>
      <c r="P5" s="23">
        <f t="shared" si="10"/>
        <v>3.8</v>
      </c>
      <c r="Q5" s="23">
        <f t="shared" si="11"/>
        <v>254.4</v>
      </c>
      <c r="R5" s="23">
        <f t="shared" si="12"/>
        <v>152</v>
      </c>
      <c r="S5" s="30">
        <v>10.0</v>
      </c>
      <c r="T5" s="30">
        <v>4.0</v>
      </c>
      <c r="Z5" s="23">
        <f t="shared" ref="Z5:AA5" si="13">V5/4</f>
        <v>0</v>
      </c>
      <c r="AA5" s="23">
        <f t="shared" si="13"/>
        <v>0</v>
      </c>
    </row>
    <row r="6" ht="15.75" customHeight="1">
      <c r="A6" s="22" t="str">
        <f t="shared" si="3"/>
        <v>sábado</v>
      </c>
      <c r="B6" s="24" t="str">
        <f t="shared" si="4"/>
        <v>enero</v>
      </c>
      <c r="C6" s="37">
        <v>46025.0</v>
      </c>
      <c r="D6" s="22" t="s">
        <v>77</v>
      </c>
      <c r="E6" s="22" t="s">
        <v>77</v>
      </c>
      <c r="F6" s="22" t="s">
        <v>77</v>
      </c>
      <c r="G6" s="22" t="s">
        <v>77</v>
      </c>
      <c r="H6" s="22" t="s">
        <v>77</v>
      </c>
      <c r="I6" s="61" t="s">
        <v>120</v>
      </c>
      <c r="J6" s="28" t="s">
        <v>44</v>
      </c>
      <c r="K6" s="23">
        <f t="shared" si="5"/>
        <v>49</v>
      </c>
      <c r="L6" s="23">
        <f t="shared" si="6"/>
        <v>46</v>
      </c>
      <c r="M6" s="23">
        <f t="shared" si="7"/>
        <v>0.25</v>
      </c>
      <c r="N6" s="23">
        <f t="shared" si="8"/>
        <v>0</v>
      </c>
      <c r="O6" s="23">
        <f t="shared" si="9"/>
        <v>4.454545455</v>
      </c>
      <c r="P6" s="23">
        <f t="shared" si="10"/>
        <v>4.181818182</v>
      </c>
      <c r="Q6" s="23">
        <f t="shared" si="11"/>
        <v>196</v>
      </c>
      <c r="R6" s="23">
        <f t="shared" si="12"/>
        <v>184</v>
      </c>
      <c r="S6" s="30">
        <v>11.0</v>
      </c>
      <c r="T6" s="30">
        <v>4.0</v>
      </c>
      <c r="Z6" s="23">
        <f t="shared" ref="Z6:AA6" si="14">V6/4</f>
        <v>0</v>
      </c>
      <c r="AA6" s="23">
        <f t="shared" si="14"/>
        <v>0</v>
      </c>
    </row>
    <row r="7" ht="15.75" customHeight="1">
      <c r="A7" s="22" t="str">
        <f t="shared" si="3"/>
        <v>domingo</v>
      </c>
      <c r="B7" s="24" t="str">
        <f t="shared" si="4"/>
        <v>enero</v>
      </c>
      <c r="C7" s="37">
        <v>46026.0</v>
      </c>
      <c r="D7" s="22" t="s">
        <v>77</v>
      </c>
      <c r="E7" s="22" t="s">
        <v>77</v>
      </c>
      <c r="F7" s="22" t="s">
        <v>77</v>
      </c>
      <c r="G7" s="22" t="s">
        <v>77</v>
      </c>
      <c r="H7" s="22" t="s">
        <v>77</v>
      </c>
      <c r="J7" s="28" t="s">
        <v>59</v>
      </c>
      <c r="K7" s="23">
        <f t="shared" si="5"/>
        <v>97.75</v>
      </c>
      <c r="L7" s="23">
        <f t="shared" si="6"/>
        <v>81.58333333</v>
      </c>
      <c r="M7" s="23">
        <f t="shared" si="7"/>
        <v>2.25</v>
      </c>
      <c r="N7" s="23">
        <f t="shared" si="8"/>
        <v>2.583333333</v>
      </c>
      <c r="O7" s="23">
        <f t="shared" si="9"/>
        <v>8.886363636</v>
      </c>
      <c r="P7" s="23">
        <f t="shared" si="10"/>
        <v>7.416666667</v>
      </c>
      <c r="Q7" s="23">
        <f t="shared" si="11"/>
        <v>391</v>
      </c>
      <c r="R7" s="23">
        <f t="shared" si="12"/>
        <v>326.3333333</v>
      </c>
      <c r="S7" s="30">
        <v>11.0</v>
      </c>
      <c r="T7" s="30">
        <v>4.0</v>
      </c>
      <c r="Z7" s="23">
        <f t="shared" ref="Z7:AA7" si="15">V7/4</f>
        <v>0</v>
      </c>
      <c r="AA7" s="23">
        <f t="shared" si="15"/>
        <v>0</v>
      </c>
    </row>
    <row r="8" ht="15.75" customHeight="1">
      <c r="A8" s="22" t="str">
        <f t="shared" si="3"/>
        <v>lunes</v>
      </c>
      <c r="B8" s="24" t="str">
        <f t="shared" si="4"/>
        <v>enero</v>
      </c>
      <c r="C8" s="37">
        <v>46027.0</v>
      </c>
      <c r="D8" s="26" t="s">
        <v>39</v>
      </c>
      <c r="E8" s="27">
        <v>71.0</v>
      </c>
      <c r="F8" s="27">
        <v>38.0</v>
      </c>
      <c r="G8" s="27">
        <v>1.0</v>
      </c>
      <c r="H8" s="27">
        <v>7.0</v>
      </c>
      <c r="J8" s="28" t="s">
        <v>52</v>
      </c>
      <c r="K8" s="23">
        <f t="shared" si="5"/>
        <v>53.53333333</v>
      </c>
      <c r="L8" s="23">
        <f t="shared" si="6"/>
        <v>38.93333333</v>
      </c>
      <c r="M8" s="23">
        <f t="shared" si="7"/>
        <v>4.066666667</v>
      </c>
      <c r="N8" s="23">
        <f t="shared" si="8"/>
        <v>5.533333333</v>
      </c>
      <c r="O8" s="23">
        <f t="shared" si="9"/>
        <v>5.353333333</v>
      </c>
      <c r="P8" s="23">
        <f t="shared" si="10"/>
        <v>3.893333333</v>
      </c>
      <c r="Q8" s="23">
        <f t="shared" si="11"/>
        <v>214.1333333</v>
      </c>
      <c r="R8" s="23">
        <f t="shared" si="12"/>
        <v>155.7333333</v>
      </c>
      <c r="S8" s="30">
        <v>10.0</v>
      </c>
      <c r="T8" s="30">
        <v>4.0</v>
      </c>
      <c r="Z8" s="23">
        <f t="shared" ref="Z8:AA8" si="16">V8/4</f>
        <v>0</v>
      </c>
      <c r="AA8" s="23">
        <f t="shared" si="16"/>
        <v>0</v>
      </c>
    </row>
    <row r="9" ht="15.75" customHeight="1">
      <c r="A9" s="22" t="str">
        <f t="shared" si="3"/>
        <v>lunes</v>
      </c>
      <c r="B9" s="24" t="str">
        <f t="shared" si="4"/>
        <v>enero</v>
      </c>
      <c r="C9" s="37">
        <v>46027.0</v>
      </c>
      <c r="D9" s="26" t="s">
        <v>41</v>
      </c>
      <c r="E9" s="27">
        <v>84.0</v>
      </c>
      <c r="F9" s="27">
        <v>58.0</v>
      </c>
      <c r="G9" s="27">
        <v>3.0</v>
      </c>
      <c r="H9" s="27">
        <v>2.0</v>
      </c>
      <c r="J9" s="28" t="s">
        <v>53</v>
      </c>
      <c r="K9" s="23">
        <f t="shared" si="5"/>
        <v>91.4</v>
      </c>
      <c r="L9" s="23">
        <f t="shared" si="6"/>
        <v>66.13333333</v>
      </c>
      <c r="M9" s="23">
        <f t="shared" si="7"/>
        <v>1.266666667</v>
      </c>
      <c r="N9" s="23">
        <f t="shared" si="8"/>
        <v>7.133333333</v>
      </c>
      <c r="O9" s="23">
        <f t="shared" si="9"/>
        <v>9.14</v>
      </c>
      <c r="P9" s="23">
        <f t="shared" si="10"/>
        <v>6.613333333</v>
      </c>
      <c r="Q9" s="23">
        <f t="shared" si="11"/>
        <v>365.6</v>
      </c>
      <c r="R9" s="23">
        <f t="shared" si="12"/>
        <v>264.5333333</v>
      </c>
      <c r="S9" s="30">
        <v>10.0</v>
      </c>
      <c r="T9" s="30">
        <v>4.0</v>
      </c>
      <c r="Z9" s="23">
        <f t="shared" ref="Z9:AA9" si="17">V9/4</f>
        <v>0</v>
      </c>
      <c r="AA9" s="23">
        <f t="shared" si="17"/>
        <v>0</v>
      </c>
    </row>
    <row r="10" ht="15.75" customHeight="1">
      <c r="A10" s="22" t="str">
        <f t="shared" si="3"/>
        <v>lunes</v>
      </c>
      <c r="B10" s="24" t="str">
        <f t="shared" si="4"/>
        <v>enero</v>
      </c>
      <c r="C10" s="37">
        <v>46027.0</v>
      </c>
      <c r="D10" s="26" t="s">
        <v>42</v>
      </c>
      <c r="E10" s="27">
        <v>117.0</v>
      </c>
      <c r="F10" s="27">
        <v>89.0</v>
      </c>
      <c r="G10" s="27">
        <v>8.0</v>
      </c>
      <c r="H10" s="27">
        <v>10.0</v>
      </c>
      <c r="J10" s="28" t="s">
        <v>60</v>
      </c>
      <c r="K10" s="23">
        <f t="shared" si="5"/>
        <v>105.9090909</v>
      </c>
      <c r="L10" s="23">
        <f t="shared" si="6"/>
        <v>58.09090909</v>
      </c>
      <c r="M10" s="23">
        <f t="shared" si="7"/>
        <v>3.181818182</v>
      </c>
      <c r="N10" s="23">
        <f t="shared" si="8"/>
        <v>7.363636364</v>
      </c>
      <c r="O10" s="23">
        <f t="shared" si="9"/>
        <v>10.59090909</v>
      </c>
      <c r="P10" s="23">
        <f t="shared" si="10"/>
        <v>5.809090909</v>
      </c>
      <c r="Q10" s="23">
        <f t="shared" si="11"/>
        <v>423.6363636</v>
      </c>
      <c r="R10" s="23">
        <f t="shared" si="12"/>
        <v>232.3636364</v>
      </c>
      <c r="S10" s="30">
        <v>10.0</v>
      </c>
      <c r="T10" s="30">
        <v>4.0</v>
      </c>
      <c r="Z10" s="23">
        <f t="shared" ref="Z10:AA10" si="18">V10/4</f>
        <v>0</v>
      </c>
      <c r="AA10" s="23">
        <f t="shared" si="18"/>
        <v>0</v>
      </c>
    </row>
    <row r="11" ht="15.75" customHeight="1">
      <c r="A11" s="22" t="str">
        <f t="shared" si="3"/>
        <v>lunes</v>
      </c>
      <c r="B11" s="24" t="str">
        <f t="shared" si="4"/>
        <v>enero</v>
      </c>
      <c r="C11" s="37">
        <v>46027.0</v>
      </c>
      <c r="D11" s="26" t="s">
        <v>44</v>
      </c>
      <c r="E11" s="27">
        <v>69.0</v>
      </c>
      <c r="F11" s="27">
        <v>62.0</v>
      </c>
      <c r="G11" s="27">
        <v>0.0</v>
      </c>
      <c r="H11" s="27">
        <v>0.0</v>
      </c>
      <c r="J11" s="28" t="s">
        <v>41</v>
      </c>
      <c r="K11" s="23">
        <f t="shared" si="5"/>
        <v>84.84615385</v>
      </c>
      <c r="L11" s="23">
        <f t="shared" si="6"/>
        <v>62.84615385</v>
      </c>
      <c r="M11" s="23">
        <f t="shared" si="7"/>
        <v>1.923076923</v>
      </c>
      <c r="N11" s="23">
        <f t="shared" si="8"/>
        <v>4.461538462</v>
      </c>
      <c r="O11" s="23">
        <f t="shared" si="9"/>
        <v>7.713286713</v>
      </c>
      <c r="P11" s="23">
        <f t="shared" si="10"/>
        <v>5.713286713</v>
      </c>
      <c r="Q11" s="23">
        <f t="shared" si="11"/>
        <v>339.3846154</v>
      </c>
      <c r="R11" s="23">
        <f t="shared" si="12"/>
        <v>251.3846154</v>
      </c>
      <c r="S11" s="30">
        <v>11.0</v>
      </c>
      <c r="T11" s="30">
        <v>4.0</v>
      </c>
      <c r="Z11" s="23">
        <f t="shared" ref="Z11:AA11" si="19">V11/4</f>
        <v>0</v>
      </c>
      <c r="AA11" s="23">
        <f t="shared" si="19"/>
        <v>0</v>
      </c>
    </row>
    <row r="12" ht="15.75" customHeight="1">
      <c r="A12" s="22" t="str">
        <f t="shared" si="3"/>
        <v>lunes</v>
      </c>
      <c r="B12" s="24" t="str">
        <f t="shared" si="4"/>
        <v>enero</v>
      </c>
      <c r="C12" s="37">
        <v>46027.0</v>
      </c>
      <c r="D12" s="22" t="s">
        <v>89</v>
      </c>
      <c r="E12" s="27">
        <v>101.0</v>
      </c>
      <c r="F12" s="27">
        <v>59.0</v>
      </c>
      <c r="G12" s="27">
        <v>0.0</v>
      </c>
      <c r="H12" s="27">
        <v>0.0</v>
      </c>
      <c r="J12" s="28" t="s">
        <v>42</v>
      </c>
      <c r="K12" s="23">
        <f t="shared" si="5"/>
        <v>94.9375</v>
      </c>
      <c r="L12" s="23">
        <f t="shared" si="6"/>
        <v>64.0625</v>
      </c>
      <c r="M12" s="23">
        <f t="shared" si="7"/>
        <v>4.4375</v>
      </c>
      <c r="N12" s="23">
        <f t="shared" si="8"/>
        <v>12.6875</v>
      </c>
      <c r="O12" s="23">
        <f t="shared" si="9"/>
        <v>9.49375</v>
      </c>
      <c r="P12" s="23">
        <f t="shared" si="10"/>
        <v>6.40625</v>
      </c>
      <c r="Q12" s="23">
        <f t="shared" si="11"/>
        <v>379.75</v>
      </c>
      <c r="R12" s="23">
        <f t="shared" si="12"/>
        <v>256.25</v>
      </c>
      <c r="S12" s="30">
        <v>10.0</v>
      </c>
      <c r="T12" s="30">
        <v>4.0</v>
      </c>
      <c r="Z12" s="23">
        <f t="shared" ref="Z12:AA12" si="20">V12/4</f>
        <v>0</v>
      </c>
      <c r="AA12" s="23">
        <f t="shared" si="20"/>
        <v>0</v>
      </c>
    </row>
    <row r="13" ht="15.75" customHeight="1">
      <c r="A13" s="22" t="str">
        <f t="shared" si="3"/>
        <v>lunes</v>
      </c>
      <c r="B13" s="24" t="str">
        <f t="shared" si="4"/>
        <v>enero</v>
      </c>
      <c r="C13" s="37">
        <v>46027.0</v>
      </c>
      <c r="D13" s="22" t="s">
        <v>90</v>
      </c>
      <c r="E13" s="27">
        <v>133.0</v>
      </c>
      <c r="F13" s="27">
        <v>79.0</v>
      </c>
      <c r="G13" s="27">
        <v>0.0</v>
      </c>
      <c r="H13" s="27">
        <v>0.0</v>
      </c>
      <c r="J13" s="28" t="s">
        <v>67</v>
      </c>
      <c r="K13" s="23">
        <f t="shared" si="5"/>
        <v>82.875</v>
      </c>
      <c r="L13" s="23">
        <f t="shared" si="6"/>
        <v>68.75</v>
      </c>
      <c r="M13" s="23">
        <f t="shared" si="7"/>
        <v>4.875</v>
      </c>
      <c r="N13" s="23">
        <f t="shared" si="8"/>
        <v>3.5625</v>
      </c>
      <c r="O13" s="23">
        <f t="shared" si="9"/>
        <v>8.2875</v>
      </c>
      <c r="P13" s="23">
        <f t="shared" si="10"/>
        <v>6.875</v>
      </c>
      <c r="Q13" s="23">
        <f t="shared" si="11"/>
        <v>331.5</v>
      </c>
      <c r="R13" s="23">
        <f t="shared" si="12"/>
        <v>275</v>
      </c>
      <c r="S13" s="30">
        <v>10.0</v>
      </c>
      <c r="T13" s="30">
        <v>4.0</v>
      </c>
      <c r="Z13" s="23">
        <f t="shared" ref="Z13:AA13" si="21">V13/4</f>
        <v>0</v>
      </c>
      <c r="AA13" s="23">
        <f t="shared" si="21"/>
        <v>0</v>
      </c>
    </row>
    <row r="14" ht="15.75" customHeight="1">
      <c r="A14" s="22" t="str">
        <f t="shared" si="3"/>
        <v>lunes</v>
      </c>
      <c r="B14" s="24" t="str">
        <f t="shared" si="4"/>
        <v>enero</v>
      </c>
      <c r="C14" s="37">
        <v>46027.0</v>
      </c>
      <c r="D14" s="26" t="s">
        <v>67</v>
      </c>
      <c r="E14" s="27">
        <v>77.0</v>
      </c>
      <c r="F14" s="27">
        <v>63.0</v>
      </c>
      <c r="G14" s="27">
        <v>4.0</v>
      </c>
      <c r="H14" s="27">
        <v>1.0</v>
      </c>
      <c r="J14" s="28" t="s">
        <v>58</v>
      </c>
      <c r="K14" s="23">
        <f t="shared" si="5"/>
        <v>76.05263158</v>
      </c>
      <c r="L14" s="23">
        <f t="shared" si="6"/>
        <v>50.78947368</v>
      </c>
      <c r="M14" s="23">
        <f t="shared" si="7"/>
        <v>6.157894737</v>
      </c>
      <c r="N14" s="23">
        <f t="shared" si="8"/>
        <v>4.368421053</v>
      </c>
      <c r="O14" s="23">
        <f t="shared" si="9"/>
        <v>9.506578947</v>
      </c>
      <c r="P14" s="23">
        <f t="shared" si="10"/>
        <v>6.348684211</v>
      </c>
      <c r="Q14" s="23">
        <f t="shared" si="11"/>
        <v>380.2631579</v>
      </c>
      <c r="R14" s="23">
        <f t="shared" si="12"/>
        <v>253.9473684</v>
      </c>
      <c r="S14" s="30">
        <v>8.0</v>
      </c>
      <c r="T14" s="30">
        <v>5.0</v>
      </c>
      <c r="Z14" s="23">
        <f t="shared" ref="Z14:AA14" si="22">V14/4</f>
        <v>0</v>
      </c>
      <c r="AA14" s="23">
        <f t="shared" si="22"/>
        <v>0</v>
      </c>
    </row>
    <row r="15" ht="15.75" customHeight="1">
      <c r="A15" s="22" t="str">
        <f t="shared" si="3"/>
        <v>lunes</v>
      </c>
      <c r="B15" s="24" t="str">
        <f t="shared" si="4"/>
        <v>enero</v>
      </c>
      <c r="C15" s="37">
        <v>46027.0</v>
      </c>
      <c r="D15" s="22" t="s">
        <v>93</v>
      </c>
      <c r="E15" s="27">
        <v>195.0</v>
      </c>
      <c r="F15" s="27">
        <v>135.0</v>
      </c>
      <c r="G15" s="27">
        <v>0.0</v>
      </c>
      <c r="H15" s="27">
        <v>0.0</v>
      </c>
      <c r="J15" s="28" t="s">
        <v>64</v>
      </c>
      <c r="K15" s="23">
        <f t="shared" si="5"/>
        <v>141.4615385</v>
      </c>
      <c r="L15" s="23">
        <f t="shared" si="6"/>
        <v>88.38461538</v>
      </c>
      <c r="M15" s="23">
        <f t="shared" si="7"/>
        <v>4.846153846</v>
      </c>
      <c r="N15" s="23">
        <f t="shared" si="8"/>
        <v>11.30769231</v>
      </c>
      <c r="O15" s="23">
        <f t="shared" si="9"/>
        <v>17.68269231</v>
      </c>
      <c r="P15" s="23">
        <f t="shared" si="10"/>
        <v>11.04807692</v>
      </c>
      <c r="Q15" s="23">
        <f t="shared" si="11"/>
        <v>707.3076923</v>
      </c>
      <c r="R15" s="23">
        <f t="shared" si="12"/>
        <v>441.9230769</v>
      </c>
      <c r="S15" s="30">
        <v>8.0</v>
      </c>
      <c r="T15" s="30">
        <v>5.0</v>
      </c>
      <c r="Z15" s="23">
        <f t="shared" ref="Z15:AA15" si="23">V15/4</f>
        <v>0</v>
      </c>
      <c r="AA15" s="23">
        <f t="shared" si="23"/>
        <v>0</v>
      </c>
    </row>
    <row r="16" ht="15.75" customHeight="1">
      <c r="A16" s="22" t="str">
        <f t="shared" si="3"/>
        <v>lunes</v>
      </c>
      <c r="B16" s="24" t="str">
        <f t="shared" si="4"/>
        <v>enero</v>
      </c>
      <c r="C16" s="37">
        <v>46027.0</v>
      </c>
      <c r="D16" s="26" t="s">
        <v>58</v>
      </c>
      <c r="E16" s="27">
        <v>49.0</v>
      </c>
      <c r="F16" s="27">
        <v>27.0</v>
      </c>
      <c r="G16" s="27">
        <v>9.0</v>
      </c>
      <c r="H16" s="27">
        <v>2.0</v>
      </c>
      <c r="J16" s="28" t="s">
        <v>65</v>
      </c>
      <c r="K16" s="23">
        <f t="shared" si="5"/>
        <v>69.22222222</v>
      </c>
      <c r="L16" s="23">
        <f t="shared" si="6"/>
        <v>56.5</v>
      </c>
      <c r="M16" s="23">
        <f t="shared" si="7"/>
        <v>5.055555556</v>
      </c>
      <c r="N16" s="23">
        <f t="shared" si="8"/>
        <v>3.222222222</v>
      </c>
      <c r="O16" s="23">
        <f t="shared" si="9"/>
        <v>8.652777778</v>
      </c>
      <c r="P16" s="23">
        <f t="shared" si="10"/>
        <v>7.0625</v>
      </c>
      <c r="Q16" s="23">
        <f t="shared" si="11"/>
        <v>346.1111111</v>
      </c>
      <c r="R16" s="23">
        <f t="shared" si="12"/>
        <v>282.5</v>
      </c>
      <c r="S16" s="30">
        <v>8.0</v>
      </c>
      <c r="T16" s="30">
        <v>5.0</v>
      </c>
      <c r="Z16" s="23">
        <f t="shared" ref="Z16:AA16" si="24">V16/4</f>
        <v>0</v>
      </c>
      <c r="AA16" s="23">
        <f t="shared" si="24"/>
        <v>0</v>
      </c>
    </row>
    <row r="17" ht="15.75" customHeight="1">
      <c r="A17" s="22" t="str">
        <f t="shared" si="3"/>
        <v>lunes</v>
      </c>
      <c r="B17" s="24" t="str">
        <f t="shared" si="4"/>
        <v>enero</v>
      </c>
      <c r="C17" s="37">
        <v>46027.0</v>
      </c>
      <c r="D17" s="26" t="s">
        <v>65</v>
      </c>
      <c r="E17" s="27">
        <v>70.0</v>
      </c>
      <c r="F17" s="27">
        <v>61.0</v>
      </c>
      <c r="G17" s="27">
        <v>3.0</v>
      </c>
      <c r="H17" s="27">
        <v>0.0</v>
      </c>
      <c r="J17" s="28" t="s">
        <v>51</v>
      </c>
      <c r="K17" s="23">
        <f t="shared" si="5"/>
        <v>58</v>
      </c>
      <c r="L17" s="23">
        <f t="shared" si="6"/>
        <v>46.6875</v>
      </c>
      <c r="M17" s="23">
        <f t="shared" si="7"/>
        <v>3.625</v>
      </c>
      <c r="N17" s="23">
        <f t="shared" si="8"/>
        <v>13.125</v>
      </c>
      <c r="O17" s="23">
        <f t="shared" si="9"/>
        <v>5.272727273</v>
      </c>
      <c r="P17" s="23">
        <f t="shared" si="10"/>
        <v>4.244318182</v>
      </c>
      <c r="Q17" s="23">
        <f t="shared" si="11"/>
        <v>232</v>
      </c>
      <c r="R17" s="23">
        <f t="shared" si="12"/>
        <v>186.75</v>
      </c>
      <c r="S17" s="30">
        <v>11.0</v>
      </c>
      <c r="T17" s="30">
        <v>4.0</v>
      </c>
      <c r="Z17" s="23">
        <f t="shared" ref="Z17:AA17" si="25">V17/4</f>
        <v>0</v>
      </c>
      <c r="AA17" s="23">
        <f t="shared" si="25"/>
        <v>0</v>
      </c>
    </row>
    <row r="18" ht="15.75" customHeight="1">
      <c r="A18" s="22" t="str">
        <f t="shared" si="3"/>
        <v>lunes</v>
      </c>
      <c r="B18" s="24" t="str">
        <f t="shared" si="4"/>
        <v>enero</v>
      </c>
      <c r="C18" s="37">
        <v>46027.0</v>
      </c>
      <c r="D18" s="26" t="s">
        <v>60</v>
      </c>
      <c r="E18" s="27">
        <v>80.0</v>
      </c>
      <c r="F18" s="27">
        <v>32.0</v>
      </c>
      <c r="G18" s="27">
        <v>3.0</v>
      </c>
      <c r="H18" s="27">
        <v>11.0</v>
      </c>
      <c r="J18" s="28" t="s">
        <v>66</v>
      </c>
      <c r="K18" s="23">
        <f t="shared" si="5"/>
        <v>104.6315789</v>
      </c>
      <c r="L18" s="23">
        <f t="shared" si="6"/>
        <v>94.78947368</v>
      </c>
      <c r="M18" s="23">
        <f t="shared" si="7"/>
        <v>0.2631578947</v>
      </c>
      <c r="N18" s="23">
        <f t="shared" si="8"/>
        <v>3.789473684</v>
      </c>
      <c r="O18" s="23">
        <f t="shared" si="9"/>
        <v>13.07894737</v>
      </c>
      <c r="P18" s="23">
        <f t="shared" si="10"/>
        <v>11.84868421</v>
      </c>
      <c r="Q18" s="23">
        <f t="shared" si="11"/>
        <v>523.1578947</v>
      </c>
      <c r="R18" s="23">
        <f t="shared" si="12"/>
        <v>473.9473684</v>
      </c>
      <c r="S18" s="30">
        <v>8.0</v>
      </c>
      <c r="T18" s="30">
        <v>5.0</v>
      </c>
    </row>
    <row r="19" ht="15.75" customHeight="1">
      <c r="A19" s="22" t="str">
        <f t="shared" si="3"/>
        <v>lunes</v>
      </c>
      <c r="B19" s="24" t="str">
        <f t="shared" si="4"/>
        <v>enero</v>
      </c>
      <c r="C19" s="37">
        <v>46027.0</v>
      </c>
      <c r="D19" s="26" t="s">
        <v>66</v>
      </c>
      <c r="E19" s="27">
        <v>125.0</v>
      </c>
      <c r="F19" s="27">
        <v>117.0</v>
      </c>
      <c r="G19" s="27">
        <v>0.0</v>
      </c>
      <c r="H19" s="27">
        <v>3.0</v>
      </c>
    </row>
    <row r="20" ht="15.75" customHeight="1">
      <c r="A20" s="22" t="str">
        <f t="shared" si="3"/>
        <v>martes</v>
      </c>
      <c r="B20" s="24" t="str">
        <f t="shared" si="4"/>
        <v>enero</v>
      </c>
      <c r="C20" s="37">
        <v>46028.0</v>
      </c>
      <c r="D20" s="26" t="s">
        <v>39</v>
      </c>
      <c r="E20" s="27">
        <v>129.0</v>
      </c>
      <c r="F20" s="27">
        <v>78.0</v>
      </c>
      <c r="G20" s="27">
        <v>0.0</v>
      </c>
      <c r="H20" s="27">
        <v>11.0</v>
      </c>
      <c r="J20" s="39" t="s">
        <v>69</v>
      </c>
      <c r="K20" s="40">
        <f t="shared" ref="K20:R20" si="26">AVERAGE(K4:K18)</f>
        <v>84.47682551</v>
      </c>
      <c r="L20" s="40">
        <f t="shared" si="26"/>
        <v>60.85448616</v>
      </c>
      <c r="M20" s="40">
        <f t="shared" si="26"/>
        <v>3.142121587</v>
      </c>
      <c r="N20" s="40">
        <f t="shared" si="26"/>
        <v>6.311421162</v>
      </c>
      <c r="O20" s="39">
        <f t="shared" si="26"/>
        <v>9.081005238</v>
      </c>
      <c r="P20" s="39">
        <f t="shared" si="26"/>
        <v>6.511291733</v>
      </c>
      <c r="Q20" s="39">
        <f t="shared" si="26"/>
        <v>370.2607223</v>
      </c>
      <c r="R20" s="39">
        <f t="shared" si="26"/>
        <v>266.1999599</v>
      </c>
    </row>
    <row r="21" ht="15.75" customHeight="1">
      <c r="A21" s="22" t="str">
        <f t="shared" si="3"/>
        <v>martes</v>
      </c>
      <c r="B21" s="24" t="str">
        <f t="shared" si="4"/>
        <v>enero</v>
      </c>
      <c r="C21" s="37">
        <v>46028.0</v>
      </c>
      <c r="D21" s="26" t="s">
        <v>41</v>
      </c>
      <c r="E21" s="27">
        <v>71.0</v>
      </c>
      <c r="F21" s="27">
        <v>51.0</v>
      </c>
      <c r="G21" s="27">
        <v>2.0</v>
      </c>
      <c r="H21" s="27">
        <v>9.0</v>
      </c>
      <c r="J21" s="5" t="s">
        <v>124</v>
      </c>
    </row>
    <row r="22" ht="15.75" customHeight="1">
      <c r="A22" s="22" t="str">
        <f t="shared" si="3"/>
        <v>martes</v>
      </c>
      <c r="B22" s="24" t="str">
        <f t="shared" si="4"/>
        <v>enero</v>
      </c>
      <c r="C22" s="37">
        <v>46028.0</v>
      </c>
      <c r="D22" s="26" t="s">
        <v>42</v>
      </c>
      <c r="E22" s="27">
        <v>87.0</v>
      </c>
      <c r="F22" s="27">
        <v>51.0</v>
      </c>
      <c r="G22" s="27">
        <v>2.0</v>
      </c>
      <c r="H22" s="27">
        <v>4.0</v>
      </c>
      <c r="J22" s="42" t="s">
        <v>73</v>
      </c>
    </row>
    <row r="23" ht="15.75" customHeight="1">
      <c r="A23" s="22" t="str">
        <f t="shared" si="3"/>
        <v>martes</v>
      </c>
      <c r="B23" s="24" t="str">
        <f t="shared" si="4"/>
        <v>enero</v>
      </c>
      <c r="C23" s="37">
        <v>46028.0</v>
      </c>
      <c r="D23" s="22" t="s">
        <v>89</v>
      </c>
      <c r="E23" s="27">
        <v>131.0</v>
      </c>
      <c r="F23" s="27">
        <v>70.0</v>
      </c>
      <c r="G23" s="27">
        <v>0.0</v>
      </c>
      <c r="H23" s="27">
        <v>2.0</v>
      </c>
      <c r="K23" s="44" t="s">
        <v>74</v>
      </c>
      <c r="O23" s="45" t="s">
        <v>75</v>
      </c>
      <c r="Q23" s="45" t="s">
        <v>76</v>
      </c>
    </row>
    <row r="24" ht="15.75" customHeight="1">
      <c r="A24" s="22" t="str">
        <f t="shared" si="3"/>
        <v>martes</v>
      </c>
      <c r="B24" s="24" t="str">
        <f t="shared" si="4"/>
        <v>enero</v>
      </c>
      <c r="C24" s="37">
        <v>46028.0</v>
      </c>
      <c r="D24" s="22" t="s">
        <v>90</v>
      </c>
      <c r="E24" s="27">
        <v>94.0</v>
      </c>
      <c r="F24" s="27">
        <v>55.0</v>
      </c>
      <c r="G24" s="27">
        <v>0.0</v>
      </c>
      <c r="H24" s="27">
        <v>0.0</v>
      </c>
      <c r="K24" s="47" t="s">
        <v>25</v>
      </c>
      <c r="L24" s="47" t="s">
        <v>26</v>
      </c>
      <c r="M24" s="48" t="s">
        <v>79</v>
      </c>
      <c r="N24" s="47" t="s">
        <v>31</v>
      </c>
      <c r="O24" s="47" t="s">
        <v>25</v>
      </c>
      <c r="P24" s="47" t="s">
        <v>26</v>
      </c>
      <c r="Q24" s="47" t="s">
        <v>25</v>
      </c>
      <c r="R24" s="47" t="s">
        <v>26</v>
      </c>
    </row>
    <row r="25" ht="15.75" customHeight="1">
      <c r="A25" s="22" t="str">
        <f t="shared" si="3"/>
        <v>martes</v>
      </c>
      <c r="B25" s="24" t="str">
        <f t="shared" si="4"/>
        <v>enero</v>
      </c>
      <c r="C25" s="37">
        <v>46028.0</v>
      </c>
      <c r="D25" s="26" t="s">
        <v>59</v>
      </c>
      <c r="E25" s="27">
        <v>45.0</v>
      </c>
      <c r="F25" s="27">
        <v>30.0</v>
      </c>
      <c r="G25" s="27">
        <v>1.0</v>
      </c>
      <c r="H25" s="27">
        <v>3.0</v>
      </c>
      <c r="J25" s="16"/>
      <c r="K25" s="49" t="s">
        <v>64</v>
      </c>
      <c r="L25" s="49" t="s">
        <v>66</v>
      </c>
      <c r="M25" s="49" t="s">
        <v>58</v>
      </c>
      <c r="N25" s="49" t="s">
        <v>51</v>
      </c>
      <c r="O25" s="49" t="s">
        <v>64</v>
      </c>
      <c r="P25" s="49" t="s">
        <v>66</v>
      </c>
      <c r="Q25" s="49" t="s">
        <v>64</v>
      </c>
      <c r="R25" s="50" t="s">
        <v>66</v>
      </c>
    </row>
    <row r="26" ht="15.75" customHeight="1">
      <c r="A26" s="22" t="str">
        <f t="shared" si="3"/>
        <v>martes</v>
      </c>
      <c r="B26" s="24" t="str">
        <f t="shared" si="4"/>
        <v>enero</v>
      </c>
      <c r="C26" s="37">
        <v>46028.0</v>
      </c>
      <c r="D26" s="26" t="s">
        <v>67</v>
      </c>
      <c r="E26" s="27">
        <v>59.0</v>
      </c>
      <c r="F26" s="27">
        <v>44.0</v>
      </c>
      <c r="G26" s="27">
        <v>2.0</v>
      </c>
      <c r="H26" s="27">
        <v>1.0</v>
      </c>
      <c r="J26" s="16"/>
      <c r="K26" s="49" t="s">
        <v>60</v>
      </c>
      <c r="L26" s="49" t="s">
        <v>64</v>
      </c>
      <c r="M26" s="49" t="s">
        <v>65</v>
      </c>
      <c r="N26" s="49" t="s">
        <v>42</v>
      </c>
      <c r="O26" s="49" t="s">
        <v>66</v>
      </c>
      <c r="P26" s="49" t="s">
        <v>64</v>
      </c>
      <c r="Q26" s="49" t="s">
        <v>66</v>
      </c>
      <c r="R26" s="50" t="s">
        <v>64</v>
      </c>
    </row>
    <row r="27" ht="15.75" customHeight="1">
      <c r="A27" s="22" t="str">
        <f t="shared" si="3"/>
        <v>martes</v>
      </c>
      <c r="B27" s="24" t="str">
        <f t="shared" si="4"/>
        <v>enero</v>
      </c>
      <c r="C27" s="37">
        <v>46028.0</v>
      </c>
      <c r="D27" s="22" t="s">
        <v>93</v>
      </c>
      <c r="E27" s="27">
        <v>0.0</v>
      </c>
      <c r="F27" s="27">
        <v>0.0</v>
      </c>
      <c r="G27" s="27">
        <v>0.0</v>
      </c>
      <c r="H27" s="27">
        <v>0.0</v>
      </c>
      <c r="J27" s="16"/>
      <c r="K27" s="49" t="s">
        <v>66</v>
      </c>
      <c r="L27" s="49" t="s">
        <v>59</v>
      </c>
      <c r="M27" s="49" t="s">
        <v>67</v>
      </c>
      <c r="N27" s="49" t="s">
        <v>64</v>
      </c>
      <c r="O27" s="49" t="s">
        <v>39</v>
      </c>
      <c r="P27" s="49" t="s">
        <v>59</v>
      </c>
      <c r="Q27" s="49" t="s">
        <v>39</v>
      </c>
      <c r="R27" s="50" t="s">
        <v>59</v>
      </c>
    </row>
    <row r="28" ht="15.75" customHeight="1">
      <c r="A28" s="22" t="str">
        <f t="shared" si="3"/>
        <v>martes</v>
      </c>
      <c r="B28" s="24" t="str">
        <f t="shared" si="4"/>
        <v>enero</v>
      </c>
      <c r="C28" s="37">
        <v>46028.0</v>
      </c>
      <c r="D28" s="26" t="s">
        <v>58</v>
      </c>
      <c r="E28" s="27">
        <v>68.0</v>
      </c>
      <c r="F28" s="27">
        <v>48.0</v>
      </c>
      <c r="G28" s="27">
        <v>5.0</v>
      </c>
      <c r="H28" s="27">
        <v>0.0</v>
      </c>
      <c r="J28" s="53"/>
      <c r="K28" s="49" t="s">
        <v>59</v>
      </c>
      <c r="L28" s="49" t="s">
        <v>67</v>
      </c>
      <c r="M28" s="49" t="s">
        <v>64</v>
      </c>
      <c r="N28" s="49" t="s">
        <v>39</v>
      </c>
      <c r="O28" s="49" t="s">
        <v>60</v>
      </c>
      <c r="P28" s="49" t="s">
        <v>65</v>
      </c>
      <c r="Q28" s="49" t="s">
        <v>60</v>
      </c>
      <c r="R28" s="50" t="s">
        <v>65</v>
      </c>
    </row>
    <row r="29" ht="15.75" customHeight="1">
      <c r="A29" s="22" t="str">
        <f t="shared" si="3"/>
        <v>martes</v>
      </c>
      <c r="B29" s="24" t="str">
        <f t="shared" si="4"/>
        <v>enero</v>
      </c>
      <c r="C29" s="37">
        <v>46028.0</v>
      </c>
      <c r="D29" s="26" t="s">
        <v>64</v>
      </c>
      <c r="E29" s="27">
        <v>118.0</v>
      </c>
      <c r="F29" s="27">
        <v>66.0</v>
      </c>
      <c r="G29" s="27">
        <v>3.0</v>
      </c>
      <c r="H29" s="27">
        <v>13.0</v>
      </c>
      <c r="J29" s="53"/>
      <c r="K29" s="49" t="s">
        <v>42</v>
      </c>
      <c r="L29" s="49" t="s">
        <v>53</v>
      </c>
      <c r="M29" s="49" t="s">
        <v>42</v>
      </c>
      <c r="N29" s="49" t="s">
        <v>60</v>
      </c>
      <c r="O29" s="49" t="s">
        <v>58</v>
      </c>
      <c r="P29" s="49" t="s">
        <v>67</v>
      </c>
      <c r="Q29" s="49" t="s">
        <v>59</v>
      </c>
      <c r="R29" s="50" t="s">
        <v>67</v>
      </c>
    </row>
    <row r="30" ht="15.75" customHeight="1">
      <c r="A30" s="22" t="str">
        <f t="shared" si="3"/>
        <v>martes</v>
      </c>
      <c r="B30" s="24" t="str">
        <f t="shared" si="4"/>
        <v>enero</v>
      </c>
      <c r="C30" s="37">
        <v>46028.0</v>
      </c>
      <c r="D30" s="26" t="s">
        <v>65</v>
      </c>
      <c r="E30" s="27">
        <v>73.0</v>
      </c>
      <c r="F30" s="27">
        <v>62.0</v>
      </c>
      <c r="G30" s="27">
        <v>4.0</v>
      </c>
      <c r="H30" s="27">
        <v>3.0</v>
      </c>
      <c r="J30" s="53"/>
      <c r="K30" s="52" t="s">
        <v>39</v>
      </c>
      <c r="L30" s="52" t="s">
        <v>42</v>
      </c>
      <c r="M30" s="52" t="s">
        <v>52</v>
      </c>
      <c r="N30" s="52" t="s">
        <v>53</v>
      </c>
      <c r="O30" s="52" t="s">
        <v>42</v>
      </c>
      <c r="P30" s="52" t="s">
        <v>53</v>
      </c>
      <c r="Q30" s="52" t="s">
        <v>58</v>
      </c>
      <c r="R30" s="52" t="s">
        <v>53</v>
      </c>
    </row>
    <row r="31" ht="15.75" customHeight="1">
      <c r="A31" s="22" t="str">
        <f t="shared" si="3"/>
        <v>martes</v>
      </c>
      <c r="B31" s="24" t="str">
        <f t="shared" si="4"/>
        <v>enero</v>
      </c>
      <c r="C31" s="37">
        <v>46028.0</v>
      </c>
      <c r="D31" s="26" t="s">
        <v>66</v>
      </c>
      <c r="E31" s="27">
        <v>91.0</v>
      </c>
      <c r="F31" s="27">
        <v>87.0</v>
      </c>
      <c r="G31" s="27">
        <v>0.0</v>
      </c>
      <c r="H31" s="27">
        <v>2.0</v>
      </c>
      <c r="J31" s="53"/>
      <c r="K31" s="52" t="s">
        <v>53</v>
      </c>
      <c r="L31" s="52" t="s">
        <v>41</v>
      </c>
      <c r="M31" s="52" t="s">
        <v>40</v>
      </c>
      <c r="N31" s="52" t="s">
        <v>40</v>
      </c>
      <c r="O31" s="52" t="s">
        <v>53</v>
      </c>
      <c r="P31" s="52" t="s">
        <v>39</v>
      </c>
      <c r="Q31" s="52" t="s">
        <v>42</v>
      </c>
      <c r="R31" s="52" t="s">
        <v>39</v>
      </c>
    </row>
    <row r="32" ht="15.75" customHeight="1">
      <c r="A32" s="22" t="str">
        <f t="shared" si="3"/>
        <v>miércoles</v>
      </c>
      <c r="B32" s="24" t="str">
        <f t="shared" si="4"/>
        <v>enero</v>
      </c>
      <c r="C32" s="37">
        <v>46029.0</v>
      </c>
      <c r="D32" s="26" t="s">
        <v>39</v>
      </c>
      <c r="E32" s="27">
        <v>143.0</v>
      </c>
      <c r="F32" s="27">
        <v>98.0</v>
      </c>
      <c r="G32" s="27">
        <v>2.0</v>
      </c>
      <c r="H32" s="27">
        <v>9.0</v>
      </c>
      <c r="J32" s="53"/>
      <c r="K32" s="52" t="s">
        <v>41</v>
      </c>
      <c r="L32" s="52" t="s">
        <v>60</v>
      </c>
      <c r="M32" s="52" t="s">
        <v>51</v>
      </c>
      <c r="N32" s="52" t="s">
        <v>52</v>
      </c>
      <c r="O32" s="52" t="s">
        <v>59</v>
      </c>
      <c r="P32" s="52" t="s">
        <v>42</v>
      </c>
      <c r="Q32" s="52" t="s">
        <v>53</v>
      </c>
      <c r="R32" s="52" t="s">
        <v>42</v>
      </c>
    </row>
    <row r="33" ht="15.75" customHeight="1">
      <c r="A33" s="22" t="str">
        <f t="shared" si="3"/>
        <v>miércoles</v>
      </c>
      <c r="B33" s="24" t="str">
        <f t="shared" si="4"/>
        <v>enero</v>
      </c>
      <c r="C33" s="37">
        <v>46029.0</v>
      </c>
      <c r="D33" s="22" t="s">
        <v>107</v>
      </c>
      <c r="E33" s="27">
        <v>41.0</v>
      </c>
      <c r="F33" s="27">
        <v>24.0</v>
      </c>
      <c r="G33" s="27">
        <v>0.0</v>
      </c>
      <c r="H33" s="27">
        <v>0.0</v>
      </c>
      <c r="J33" s="53"/>
      <c r="K33" s="52" t="s">
        <v>67</v>
      </c>
      <c r="L33" s="52" t="s">
        <v>65</v>
      </c>
      <c r="M33" s="52" t="s">
        <v>60</v>
      </c>
      <c r="N33" s="52" t="s">
        <v>41</v>
      </c>
      <c r="O33" s="52" t="s">
        <v>65</v>
      </c>
      <c r="P33" s="52" t="s">
        <v>58</v>
      </c>
      <c r="Q33" s="52" t="s">
        <v>65</v>
      </c>
      <c r="R33" s="52" t="s">
        <v>58</v>
      </c>
    </row>
    <row r="34" ht="15.75" customHeight="1">
      <c r="A34" s="22" t="str">
        <f t="shared" si="3"/>
        <v>miércoles</v>
      </c>
      <c r="B34" s="24" t="str">
        <f t="shared" si="4"/>
        <v>enero</v>
      </c>
      <c r="C34" s="37">
        <v>46029.0</v>
      </c>
      <c r="D34" s="26" t="s">
        <v>41</v>
      </c>
      <c r="E34" s="27">
        <v>96.0</v>
      </c>
      <c r="F34" s="27">
        <v>76.0</v>
      </c>
      <c r="G34" s="27">
        <v>4.0</v>
      </c>
      <c r="H34" s="27">
        <v>3.0</v>
      </c>
      <c r="K34" s="52" t="s">
        <v>58</v>
      </c>
      <c r="L34" s="52" t="s">
        <v>39</v>
      </c>
      <c r="M34" s="52" t="s">
        <v>59</v>
      </c>
      <c r="N34" s="52" t="s">
        <v>58</v>
      </c>
      <c r="O34" s="52" t="s">
        <v>67</v>
      </c>
      <c r="P34" s="52" t="s">
        <v>60</v>
      </c>
      <c r="Q34" s="52" t="s">
        <v>41</v>
      </c>
      <c r="R34" s="52" t="s">
        <v>41</v>
      </c>
    </row>
    <row r="35" ht="15.75" customHeight="1">
      <c r="A35" s="22" t="str">
        <f t="shared" si="3"/>
        <v>miércoles</v>
      </c>
      <c r="B35" s="24" t="str">
        <f t="shared" si="4"/>
        <v>enero</v>
      </c>
      <c r="C35" s="37">
        <v>46029.0</v>
      </c>
      <c r="D35" s="26" t="s">
        <v>42</v>
      </c>
      <c r="E35" s="27">
        <v>100.0</v>
      </c>
      <c r="F35" s="27">
        <v>74.0</v>
      </c>
      <c r="G35" s="27">
        <v>7.0</v>
      </c>
      <c r="H35" s="27">
        <v>6.0</v>
      </c>
      <c r="K35" s="54" t="s">
        <v>65</v>
      </c>
      <c r="L35" s="54" t="s">
        <v>58</v>
      </c>
      <c r="M35" s="54" t="s">
        <v>41</v>
      </c>
      <c r="N35" s="54" t="s">
        <v>66</v>
      </c>
      <c r="O35" s="54" t="s">
        <v>41</v>
      </c>
      <c r="P35" s="54" t="s">
        <v>41</v>
      </c>
      <c r="Q35" s="54" t="s">
        <v>67</v>
      </c>
      <c r="R35" s="54" t="s">
        <v>60</v>
      </c>
    </row>
    <row r="36" ht="15.75" customHeight="1">
      <c r="A36" s="22" t="str">
        <f t="shared" si="3"/>
        <v>miércoles</v>
      </c>
      <c r="B36" s="24" t="str">
        <f t="shared" si="4"/>
        <v>enero</v>
      </c>
      <c r="C36" s="37">
        <v>46029.0</v>
      </c>
      <c r="D36" s="22" t="s">
        <v>108</v>
      </c>
      <c r="E36" s="27">
        <v>56.0</v>
      </c>
      <c r="F36" s="27">
        <v>31.0</v>
      </c>
      <c r="G36" s="27">
        <v>1.0</v>
      </c>
      <c r="H36" s="27">
        <v>0.0</v>
      </c>
      <c r="K36" s="54" t="s">
        <v>40</v>
      </c>
      <c r="L36" s="54" t="s">
        <v>51</v>
      </c>
      <c r="M36" s="54" t="s">
        <v>53</v>
      </c>
      <c r="N36" s="54" t="s">
        <v>67</v>
      </c>
      <c r="O36" s="54" t="s">
        <v>40</v>
      </c>
      <c r="P36" s="54" t="s">
        <v>51</v>
      </c>
      <c r="Q36" s="54" t="s">
        <v>40</v>
      </c>
      <c r="R36" s="54" t="s">
        <v>51</v>
      </c>
    </row>
    <row r="37" ht="15.75" customHeight="1">
      <c r="A37" s="22" t="str">
        <f t="shared" si="3"/>
        <v>miércoles</v>
      </c>
      <c r="B37" s="24" t="str">
        <f t="shared" si="4"/>
        <v>enero</v>
      </c>
      <c r="C37" s="37">
        <v>46029.0</v>
      </c>
      <c r="D37" s="26" t="s">
        <v>51</v>
      </c>
      <c r="E37" s="27">
        <v>95.0</v>
      </c>
      <c r="F37" s="27">
        <v>76.0</v>
      </c>
      <c r="G37" s="27">
        <v>1.0</v>
      </c>
      <c r="H37" s="27">
        <v>20.0</v>
      </c>
      <c r="I37" s="22"/>
      <c r="K37" s="54" t="s">
        <v>51</v>
      </c>
      <c r="L37" s="54" t="s">
        <v>44</v>
      </c>
      <c r="M37" s="54" t="s">
        <v>39</v>
      </c>
      <c r="N37" s="54" t="s">
        <v>65</v>
      </c>
      <c r="O37" s="54" t="s">
        <v>52</v>
      </c>
      <c r="P37" s="54" t="s">
        <v>44</v>
      </c>
      <c r="Q37" s="54" t="s">
        <v>51</v>
      </c>
      <c r="R37" s="54" t="s">
        <v>44</v>
      </c>
    </row>
    <row r="38" ht="15.75" customHeight="1">
      <c r="A38" s="22" t="str">
        <f t="shared" si="3"/>
        <v>miércoles</v>
      </c>
      <c r="B38" s="24" t="str">
        <f t="shared" si="4"/>
        <v>enero</v>
      </c>
      <c r="C38" s="37">
        <v>46029.0</v>
      </c>
      <c r="D38" s="22" t="s">
        <v>89</v>
      </c>
      <c r="E38" s="27">
        <v>70.0</v>
      </c>
      <c r="F38" s="27">
        <v>36.0</v>
      </c>
      <c r="G38" s="27">
        <v>0.0</v>
      </c>
      <c r="H38" s="27">
        <v>0.0</v>
      </c>
      <c r="I38" s="22"/>
      <c r="K38" s="54" t="s">
        <v>52</v>
      </c>
      <c r="L38" s="54" t="s">
        <v>52</v>
      </c>
      <c r="M38" s="54" t="s">
        <v>66</v>
      </c>
      <c r="N38" s="54" t="s">
        <v>59</v>
      </c>
      <c r="O38" s="54" t="s">
        <v>51</v>
      </c>
      <c r="P38" s="54" t="s">
        <v>52</v>
      </c>
      <c r="Q38" s="54" t="s">
        <v>52</v>
      </c>
      <c r="R38" s="54" t="s">
        <v>52</v>
      </c>
    </row>
    <row r="39" ht="15.75" customHeight="1">
      <c r="A39" s="22" t="str">
        <f t="shared" si="3"/>
        <v>miércoles</v>
      </c>
      <c r="B39" s="24" t="str">
        <f t="shared" si="4"/>
        <v>enero</v>
      </c>
      <c r="C39" s="37">
        <v>46029.0</v>
      </c>
      <c r="D39" s="26" t="s">
        <v>67</v>
      </c>
      <c r="E39" s="27">
        <v>64.0</v>
      </c>
      <c r="F39" s="27">
        <v>54.0</v>
      </c>
      <c r="G39" s="27">
        <v>0.0</v>
      </c>
      <c r="H39" s="27">
        <v>2.0</v>
      </c>
      <c r="I39" s="22"/>
      <c r="K39" s="54" t="s">
        <v>44</v>
      </c>
      <c r="L39" s="54" t="s">
        <v>40</v>
      </c>
      <c r="M39" s="54" t="s">
        <v>44</v>
      </c>
      <c r="N39" s="54" t="s">
        <v>44</v>
      </c>
      <c r="O39" s="54" t="s">
        <v>44</v>
      </c>
      <c r="P39" s="54" t="s">
        <v>40</v>
      </c>
      <c r="Q39" s="54" t="s">
        <v>44</v>
      </c>
      <c r="R39" s="54" t="s">
        <v>40</v>
      </c>
    </row>
    <row r="40" ht="15.75" customHeight="1">
      <c r="A40" s="22" t="str">
        <f t="shared" si="3"/>
        <v>miércoles</v>
      </c>
      <c r="B40" s="24" t="str">
        <f t="shared" si="4"/>
        <v>enero</v>
      </c>
      <c r="C40" s="37">
        <v>46029.0</v>
      </c>
      <c r="D40" s="22" t="s">
        <v>93</v>
      </c>
      <c r="E40" s="27">
        <v>40.0</v>
      </c>
      <c r="F40" s="27">
        <v>21.0</v>
      </c>
      <c r="G40" s="27">
        <v>0.0</v>
      </c>
      <c r="H40" s="27">
        <v>0.0</v>
      </c>
      <c r="I40" s="22"/>
    </row>
    <row r="41" ht="15.75" customHeight="1">
      <c r="A41" s="22" t="str">
        <f t="shared" si="3"/>
        <v>miércoles</v>
      </c>
      <c r="B41" s="24" t="str">
        <f t="shared" si="4"/>
        <v>enero</v>
      </c>
      <c r="C41" s="37">
        <v>46029.0</v>
      </c>
      <c r="D41" s="26" t="s">
        <v>58</v>
      </c>
      <c r="E41" s="27">
        <v>73.0</v>
      </c>
      <c r="F41" s="27">
        <v>60.0</v>
      </c>
      <c r="G41" s="27">
        <v>4.0</v>
      </c>
      <c r="H41" s="27">
        <v>8.0</v>
      </c>
      <c r="I41" s="22"/>
      <c r="J41" s="40" t="s">
        <v>69</v>
      </c>
      <c r="K41" s="40">
        <f t="shared" ref="K41:R41" si="27">AVERAGE(K4:K18)</f>
        <v>84.47682551</v>
      </c>
      <c r="L41" s="40">
        <f t="shared" si="27"/>
        <v>60.85448616</v>
      </c>
      <c r="M41" s="40">
        <f t="shared" si="27"/>
        <v>3.142121587</v>
      </c>
      <c r="N41" s="40">
        <f t="shared" si="27"/>
        <v>6.311421162</v>
      </c>
      <c r="O41" s="40">
        <f t="shared" si="27"/>
        <v>9.081005238</v>
      </c>
      <c r="P41" s="40">
        <f t="shared" si="27"/>
        <v>6.511291733</v>
      </c>
      <c r="Q41" s="40">
        <f t="shared" si="27"/>
        <v>370.2607223</v>
      </c>
      <c r="R41" s="40">
        <f t="shared" si="27"/>
        <v>266.1999599</v>
      </c>
    </row>
    <row r="42" ht="15.75" customHeight="1">
      <c r="A42" s="22" t="str">
        <f t="shared" si="3"/>
        <v>miércoles</v>
      </c>
      <c r="B42" s="24" t="str">
        <f t="shared" si="4"/>
        <v>enero</v>
      </c>
      <c r="C42" s="37">
        <v>46029.0</v>
      </c>
      <c r="D42" s="22" t="s">
        <v>127</v>
      </c>
      <c r="E42" s="27">
        <v>0.0</v>
      </c>
      <c r="F42" s="27">
        <v>0.0</v>
      </c>
      <c r="G42" s="27">
        <v>0.0</v>
      </c>
      <c r="H42" s="27">
        <v>0.0</v>
      </c>
      <c r="I42" s="22"/>
    </row>
    <row r="43" ht="15.75" customHeight="1">
      <c r="A43" s="22" t="str">
        <f t="shared" si="3"/>
        <v>miércoles</v>
      </c>
      <c r="B43" s="24" t="str">
        <f t="shared" si="4"/>
        <v>enero</v>
      </c>
      <c r="C43" s="37">
        <v>46029.0</v>
      </c>
      <c r="D43" s="26" t="s">
        <v>64</v>
      </c>
      <c r="E43" s="27">
        <v>155.0</v>
      </c>
      <c r="F43" s="27">
        <v>111.0</v>
      </c>
      <c r="G43" s="27">
        <v>4.0</v>
      </c>
      <c r="H43" s="27">
        <v>12.0</v>
      </c>
      <c r="I43" s="22"/>
    </row>
    <row r="44" ht="15.75" customHeight="1">
      <c r="A44" s="22" t="str">
        <f t="shared" si="3"/>
        <v>miércoles</v>
      </c>
      <c r="B44" s="24" t="str">
        <f t="shared" si="4"/>
        <v>enero</v>
      </c>
      <c r="C44" s="37">
        <v>46029.0</v>
      </c>
      <c r="D44" s="26" t="s">
        <v>65</v>
      </c>
      <c r="E44" s="27">
        <v>70.0</v>
      </c>
      <c r="F44" s="27">
        <v>60.0</v>
      </c>
      <c r="G44" s="27">
        <v>6.0</v>
      </c>
      <c r="H44" s="27">
        <v>3.0</v>
      </c>
      <c r="I44" s="22"/>
    </row>
    <row r="45" ht="15.75" customHeight="1">
      <c r="A45" s="22" t="str">
        <f t="shared" si="3"/>
        <v>miércoles</v>
      </c>
      <c r="B45" s="24" t="str">
        <f t="shared" si="4"/>
        <v>enero</v>
      </c>
      <c r="C45" s="37">
        <v>46029.0</v>
      </c>
      <c r="D45" s="26" t="s">
        <v>66</v>
      </c>
      <c r="E45" s="27">
        <v>109.0</v>
      </c>
      <c r="F45" s="27">
        <v>98.0</v>
      </c>
      <c r="G45" s="27">
        <v>0.0</v>
      </c>
      <c r="H45" s="27">
        <v>6.0</v>
      </c>
      <c r="I45" s="22"/>
    </row>
    <row r="46" ht="15.75" customHeight="1">
      <c r="A46" s="22" t="str">
        <f t="shared" si="3"/>
        <v>jueves</v>
      </c>
      <c r="B46" s="24" t="str">
        <f t="shared" si="4"/>
        <v>enero</v>
      </c>
      <c r="C46" s="37">
        <v>46030.0</v>
      </c>
      <c r="D46" s="22" t="s">
        <v>107</v>
      </c>
      <c r="E46" s="27">
        <v>73.0</v>
      </c>
      <c r="F46" s="27">
        <v>30.0</v>
      </c>
      <c r="G46" s="27">
        <v>1.0</v>
      </c>
      <c r="H46" s="27">
        <v>0.0</v>
      </c>
      <c r="I46" s="22"/>
    </row>
    <row r="47" ht="15.75" customHeight="1">
      <c r="A47" s="22" t="str">
        <f t="shared" si="3"/>
        <v>jueves</v>
      </c>
      <c r="B47" s="24" t="str">
        <f t="shared" si="4"/>
        <v>enero</v>
      </c>
      <c r="C47" s="37">
        <v>46030.0</v>
      </c>
      <c r="D47" s="26" t="s">
        <v>40</v>
      </c>
      <c r="E47" s="27">
        <v>60.0</v>
      </c>
      <c r="F47" s="27">
        <v>35.0</v>
      </c>
      <c r="G47" s="27">
        <v>0.0</v>
      </c>
      <c r="H47" s="27">
        <v>0.0</v>
      </c>
    </row>
    <row r="48" ht="15.75" customHeight="1">
      <c r="A48" s="22" t="str">
        <f t="shared" si="3"/>
        <v>jueves</v>
      </c>
      <c r="B48" s="24" t="str">
        <f t="shared" si="4"/>
        <v>enero</v>
      </c>
      <c r="C48" s="37">
        <v>46030.0</v>
      </c>
      <c r="D48" s="26" t="s">
        <v>41</v>
      </c>
      <c r="E48" s="27">
        <v>109.0</v>
      </c>
      <c r="F48" s="27">
        <v>90.0</v>
      </c>
      <c r="G48" s="27">
        <v>1.0</v>
      </c>
      <c r="H48" s="27">
        <v>5.0</v>
      </c>
    </row>
    <row r="49" ht="15.75" customHeight="1">
      <c r="A49" s="22" t="str">
        <f t="shared" si="3"/>
        <v>jueves</v>
      </c>
      <c r="B49" s="24" t="str">
        <f t="shared" si="4"/>
        <v>enero</v>
      </c>
      <c r="C49" s="37">
        <v>46030.0</v>
      </c>
      <c r="D49" s="26" t="s">
        <v>42</v>
      </c>
      <c r="E49" s="27">
        <v>83.0</v>
      </c>
      <c r="F49" s="27">
        <v>54.0</v>
      </c>
      <c r="G49" s="27">
        <v>6.0</v>
      </c>
      <c r="H49" s="27">
        <v>9.0</v>
      </c>
      <c r="J49" s="12" t="s">
        <v>130</v>
      </c>
      <c r="O49" s="13" t="s">
        <v>18</v>
      </c>
      <c r="Q49" s="13" t="s">
        <v>19</v>
      </c>
    </row>
    <row r="50" ht="15.75" customHeight="1">
      <c r="A50" s="22" t="str">
        <f t="shared" si="3"/>
        <v>jueves</v>
      </c>
      <c r="B50" s="24" t="str">
        <f t="shared" si="4"/>
        <v>enero</v>
      </c>
      <c r="C50" s="37">
        <v>46030.0</v>
      </c>
      <c r="D50" s="22" t="s">
        <v>117</v>
      </c>
      <c r="E50" s="27">
        <v>72.0</v>
      </c>
      <c r="F50" s="27">
        <v>30.0</v>
      </c>
      <c r="G50" s="27">
        <v>0.0</v>
      </c>
      <c r="H50" s="27">
        <v>0.0</v>
      </c>
      <c r="J50" s="17" t="s">
        <v>29</v>
      </c>
      <c r="K50" s="17" t="s">
        <v>25</v>
      </c>
      <c r="L50" s="17" t="s">
        <v>26</v>
      </c>
      <c r="M50" s="17" t="s">
        <v>30</v>
      </c>
      <c r="N50" s="17" t="s">
        <v>31</v>
      </c>
      <c r="O50" s="18" t="s">
        <v>25</v>
      </c>
      <c r="P50" s="18" t="s">
        <v>26</v>
      </c>
      <c r="Q50" s="17" t="s">
        <v>25</v>
      </c>
      <c r="R50" s="17" t="s">
        <v>26</v>
      </c>
    </row>
    <row r="51" ht="15.75" customHeight="1">
      <c r="A51" s="22" t="str">
        <f t="shared" si="3"/>
        <v>jueves</v>
      </c>
      <c r="B51" s="24" t="str">
        <f t="shared" si="4"/>
        <v>enero</v>
      </c>
      <c r="C51" s="37">
        <v>46030.0</v>
      </c>
      <c r="D51" s="26" t="s">
        <v>51</v>
      </c>
      <c r="E51" s="27">
        <v>53.0</v>
      </c>
      <c r="F51" s="27">
        <v>45.0</v>
      </c>
      <c r="G51" s="27">
        <v>6.0</v>
      </c>
      <c r="H51" s="27">
        <v>17.0</v>
      </c>
      <c r="J51" s="28" t="s">
        <v>39</v>
      </c>
      <c r="K51" s="23">
        <v>93.93333333333334</v>
      </c>
      <c r="L51" s="23">
        <v>51.266666666666666</v>
      </c>
      <c r="M51" s="23">
        <v>1.1333333333333333</v>
      </c>
      <c r="N51" s="23">
        <v>9.8</v>
      </c>
      <c r="O51" s="23">
        <v>11.741666666666667</v>
      </c>
      <c r="P51" s="23">
        <v>6.408333333333333</v>
      </c>
      <c r="Q51" s="23">
        <v>469.6666666666667</v>
      </c>
      <c r="R51" s="23">
        <v>256.3333333333333</v>
      </c>
    </row>
    <row r="52" ht="15.75" customHeight="1">
      <c r="A52" s="22" t="str">
        <f t="shared" si="3"/>
        <v>jueves</v>
      </c>
      <c r="B52" s="24" t="str">
        <f t="shared" si="4"/>
        <v>enero</v>
      </c>
      <c r="C52" s="37">
        <v>46030.0</v>
      </c>
      <c r="D52" s="22" t="s">
        <v>89</v>
      </c>
      <c r="E52" s="27">
        <v>32.0</v>
      </c>
      <c r="F52" s="27">
        <v>15.0</v>
      </c>
      <c r="G52" s="27">
        <v>0.0</v>
      </c>
      <c r="H52" s="27">
        <v>0.0</v>
      </c>
      <c r="J52" s="28" t="s">
        <v>40</v>
      </c>
      <c r="K52" s="23">
        <v>63.6</v>
      </c>
      <c r="L52" s="23">
        <v>38.0</v>
      </c>
      <c r="M52" s="23">
        <v>3.8</v>
      </c>
      <c r="N52" s="23">
        <v>5.733333333333333</v>
      </c>
      <c r="O52" s="23">
        <v>6.36</v>
      </c>
      <c r="P52" s="23">
        <v>3.8</v>
      </c>
      <c r="Q52" s="23">
        <v>254.4</v>
      </c>
      <c r="R52" s="23">
        <v>152.0</v>
      </c>
    </row>
    <row r="53" ht="15.75" customHeight="1">
      <c r="A53" s="22" t="str">
        <f t="shared" si="3"/>
        <v>jueves</v>
      </c>
      <c r="B53" s="24" t="str">
        <f t="shared" si="4"/>
        <v>enero</v>
      </c>
      <c r="C53" s="37">
        <v>46030.0</v>
      </c>
      <c r="D53" s="26" t="s">
        <v>67</v>
      </c>
      <c r="E53" s="27">
        <v>49.0</v>
      </c>
      <c r="F53" s="27">
        <v>47.0</v>
      </c>
      <c r="G53" s="27">
        <v>1.0</v>
      </c>
      <c r="H53" s="27">
        <v>0.0</v>
      </c>
      <c r="J53" s="28" t="s">
        <v>44</v>
      </c>
      <c r="K53" s="23">
        <v>49.0</v>
      </c>
      <c r="L53" s="23">
        <v>46.0</v>
      </c>
      <c r="M53" s="23">
        <v>0.25</v>
      </c>
      <c r="N53" s="23">
        <v>0.0</v>
      </c>
      <c r="O53" s="23">
        <v>4.454545454545454</v>
      </c>
      <c r="P53" s="23">
        <v>4.181818181818182</v>
      </c>
      <c r="Q53" s="23">
        <v>196.0</v>
      </c>
      <c r="R53" s="23">
        <v>184.0</v>
      </c>
    </row>
    <row r="54" ht="15.75" customHeight="1">
      <c r="A54" s="22" t="str">
        <f t="shared" si="3"/>
        <v>jueves</v>
      </c>
      <c r="B54" s="24" t="str">
        <f t="shared" si="4"/>
        <v>enero</v>
      </c>
      <c r="C54" s="37">
        <v>46030.0</v>
      </c>
      <c r="D54" s="26" t="s">
        <v>58</v>
      </c>
      <c r="E54" s="27">
        <v>73.0</v>
      </c>
      <c r="F54" s="27">
        <v>46.0</v>
      </c>
      <c r="G54" s="27">
        <v>7.0</v>
      </c>
      <c r="H54" s="27">
        <v>4.0</v>
      </c>
      <c r="J54" s="28" t="s">
        <v>59</v>
      </c>
      <c r="K54" s="23">
        <v>97.75</v>
      </c>
      <c r="L54" s="23">
        <v>81.58333333333333</v>
      </c>
      <c r="M54" s="23">
        <v>2.25</v>
      </c>
      <c r="N54" s="23">
        <v>2.5833333333333335</v>
      </c>
      <c r="O54" s="23">
        <v>8.886363636363637</v>
      </c>
      <c r="P54" s="23">
        <v>7.416666666666666</v>
      </c>
      <c r="Q54" s="23">
        <v>391.0</v>
      </c>
      <c r="R54" s="23">
        <v>326.3333333333333</v>
      </c>
    </row>
    <row r="55" ht="15.75" customHeight="1">
      <c r="A55" s="22" t="str">
        <f t="shared" si="3"/>
        <v>jueves</v>
      </c>
      <c r="B55" s="24" t="str">
        <f t="shared" si="4"/>
        <v>enero</v>
      </c>
      <c r="C55" s="37">
        <v>46030.0</v>
      </c>
      <c r="D55" s="22" t="s">
        <v>127</v>
      </c>
      <c r="E55" s="27">
        <v>0.0</v>
      </c>
      <c r="F55" s="27">
        <v>0.0</v>
      </c>
      <c r="G55" s="27">
        <v>0.0</v>
      </c>
      <c r="H55" s="27">
        <v>0.0</v>
      </c>
      <c r="J55" s="28" t="s">
        <v>52</v>
      </c>
      <c r="K55" s="23">
        <v>53.53333333333333</v>
      </c>
      <c r="L55" s="23">
        <v>38.93333333333333</v>
      </c>
      <c r="M55" s="23">
        <v>4.066666666666666</v>
      </c>
      <c r="N55" s="23">
        <v>5.533333333333333</v>
      </c>
      <c r="O55" s="23">
        <v>5.3533333333333335</v>
      </c>
      <c r="P55" s="23">
        <v>3.893333333333333</v>
      </c>
      <c r="Q55" s="23">
        <v>214.13333333333333</v>
      </c>
      <c r="R55" s="23">
        <v>155.73333333333332</v>
      </c>
    </row>
    <row r="56" ht="15.75" customHeight="1">
      <c r="A56" s="22" t="str">
        <f t="shared" si="3"/>
        <v>jueves</v>
      </c>
      <c r="B56" s="24" t="str">
        <f t="shared" si="4"/>
        <v>enero</v>
      </c>
      <c r="C56" s="37">
        <v>46030.0</v>
      </c>
      <c r="D56" s="26" t="s">
        <v>52</v>
      </c>
      <c r="E56" s="27">
        <v>42.0</v>
      </c>
      <c r="F56" s="27">
        <v>38.0</v>
      </c>
      <c r="G56" s="27">
        <v>1.0</v>
      </c>
      <c r="H56" s="27">
        <v>2.0</v>
      </c>
      <c r="J56" s="28" t="s">
        <v>53</v>
      </c>
      <c r="K56" s="23">
        <v>91.4</v>
      </c>
      <c r="L56" s="23">
        <v>66.13333333333334</v>
      </c>
      <c r="M56" s="23">
        <v>1.2666666666666666</v>
      </c>
      <c r="N56" s="23">
        <v>7.133333333333334</v>
      </c>
      <c r="O56" s="23">
        <v>9.14</v>
      </c>
      <c r="P56" s="23">
        <v>6.613333333333334</v>
      </c>
      <c r="Q56" s="23">
        <v>365.6</v>
      </c>
      <c r="R56" s="23">
        <v>264.53333333333336</v>
      </c>
    </row>
    <row r="57" ht="15.75" customHeight="1">
      <c r="A57" s="22" t="str">
        <f t="shared" si="3"/>
        <v>jueves</v>
      </c>
      <c r="B57" s="24" t="str">
        <f t="shared" si="4"/>
        <v>enero</v>
      </c>
      <c r="C57" s="37">
        <v>46030.0</v>
      </c>
      <c r="D57" s="26" t="s">
        <v>53</v>
      </c>
      <c r="E57" s="27">
        <v>66.0</v>
      </c>
      <c r="F57" s="27">
        <v>38.0</v>
      </c>
      <c r="G57" s="27">
        <v>1.0</v>
      </c>
      <c r="H57" s="27">
        <v>2.0</v>
      </c>
      <c r="J57" s="28" t="s">
        <v>60</v>
      </c>
      <c r="K57" s="23">
        <v>105.9090909090909</v>
      </c>
      <c r="L57" s="23">
        <v>58.09090909090909</v>
      </c>
      <c r="M57" s="23">
        <v>3.1818181818181817</v>
      </c>
      <c r="N57" s="23">
        <v>7.363636363636363</v>
      </c>
      <c r="O57" s="23">
        <v>10.59090909090909</v>
      </c>
      <c r="P57" s="23">
        <v>5.8090909090909095</v>
      </c>
      <c r="Q57" s="23">
        <v>423.6363636363636</v>
      </c>
      <c r="R57" s="23">
        <v>232.36363636363637</v>
      </c>
    </row>
    <row r="58" ht="15.75" customHeight="1">
      <c r="A58" s="22" t="str">
        <f t="shared" si="3"/>
        <v>jueves</v>
      </c>
      <c r="B58" s="24" t="str">
        <f t="shared" si="4"/>
        <v>enero</v>
      </c>
      <c r="C58" s="37">
        <v>46030.0</v>
      </c>
      <c r="D58" s="26" t="s">
        <v>64</v>
      </c>
      <c r="E58" s="27">
        <v>191.0</v>
      </c>
      <c r="F58" s="27">
        <v>135.0</v>
      </c>
      <c r="G58" s="27">
        <v>7.0</v>
      </c>
      <c r="H58" s="27">
        <v>13.0</v>
      </c>
      <c r="J58" s="28" t="s">
        <v>41</v>
      </c>
      <c r="K58" s="23">
        <v>84.84615384615384</v>
      </c>
      <c r="L58" s="23">
        <v>62.84615384615385</v>
      </c>
      <c r="M58" s="23">
        <v>1.9230769230769231</v>
      </c>
      <c r="N58" s="23">
        <v>4.461538461538462</v>
      </c>
      <c r="O58" s="23">
        <v>7.7132867132867124</v>
      </c>
      <c r="P58" s="23">
        <v>5.713286713286713</v>
      </c>
      <c r="Q58" s="23">
        <v>339.38461538461536</v>
      </c>
      <c r="R58" s="23">
        <v>251.3846153846154</v>
      </c>
    </row>
    <row r="59" ht="15.75" customHeight="1">
      <c r="A59" s="22" t="str">
        <f t="shared" si="3"/>
        <v>jueves</v>
      </c>
      <c r="B59" s="24" t="str">
        <f t="shared" si="4"/>
        <v>enero</v>
      </c>
      <c r="C59" s="37">
        <v>46030.0</v>
      </c>
      <c r="D59" s="26" t="s">
        <v>65</v>
      </c>
      <c r="E59" s="27">
        <v>64.0</v>
      </c>
      <c r="F59" s="27">
        <v>55.0</v>
      </c>
      <c r="G59" s="27">
        <v>4.0</v>
      </c>
      <c r="H59" s="27">
        <v>1.0</v>
      </c>
      <c r="J59" s="28" t="s">
        <v>42</v>
      </c>
      <c r="K59" s="23">
        <v>94.9375</v>
      </c>
      <c r="L59" s="23">
        <v>64.0625</v>
      </c>
      <c r="M59" s="23">
        <v>4.4375</v>
      </c>
      <c r="N59" s="23">
        <v>12.6875</v>
      </c>
      <c r="O59" s="23">
        <v>9.49375</v>
      </c>
      <c r="P59" s="23">
        <v>6.40625</v>
      </c>
      <c r="Q59" s="23">
        <v>379.75</v>
      </c>
      <c r="R59" s="23">
        <v>256.25</v>
      </c>
    </row>
    <row r="60" ht="15.75" customHeight="1">
      <c r="A60" s="22" t="str">
        <f t="shared" si="3"/>
        <v>jueves</v>
      </c>
      <c r="B60" s="24" t="str">
        <f t="shared" si="4"/>
        <v>enero</v>
      </c>
      <c r="C60" s="37">
        <v>46030.0</v>
      </c>
      <c r="D60" s="26" t="s">
        <v>66</v>
      </c>
      <c r="E60" s="27">
        <v>136.0</v>
      </c>
      <c r="F60" s="27">
        <v>119.0</v>
      </c>
      <c r="G60" s="27">
        <v>1.0</v>
      </c>
      <c r="H60" s="27">
        <v>3.0</v>
      </c>
      <c r="J60" s="28" t="s">
        <v>67</v>
      </c>
      <c r="K60" s="23">
        <v>82.875</v>
      </c>
      <c r="L60" s="23">
        <v>68.75</v>
      </c>
      <c r="M60" s="23">
        <v>4.875</v>
      </c>
      <c r="N60" s="23">
        <v>3.5625</v>
      </c>
      <c r="O60" s="23">
        <v>8.2875</v>
      </c>
      <c r="P60" s="23">
        <v>6.875</v>
      </c>
      <c r="Q60" s="23">
        <v>331.5</v>
      </c>
      <c r="R60" s="23">
        <v>275.0</v>
      </c>
    </row>
    <row r="61" ht="15.75" customHeight="1">
      <c r="A61" s="22" t="str">
        <f t="shared" si="3"/>
        <v>viernes</v>
      </c>
      <c r="B61" s="24" t="str">
        <f t="shared" si="4"/>
        <v>enero</v>
      </c>
      <c r="C61" s="37">
        <v>46031.0</v>
      </c>
      <c r="D61" s="22" t="s">
        <v>116</v>
      </c>
      <c r="E61" s="27">
        <v>59.0</v>
      </c>
      <c r="F61" s="27">
        <v>49.0</v>
      </c>
      <c r="G61" s="27">
        <v>14.0</v>
      </c>
      <c r="H61" s="27">
        <v>12.0</v>
      </c>
      <c r="J61" s="28" t="s">
        <v>58</v>
      </c>
      <c r="K61" s="23">
        <v>76.05263157894737</v>
      </c>
      <c r="L61" s="23">
        <v>50.78947368421053</v>
      </c>
      <c r="M61" s="23">
        <v>6.157894736842105</v>
      </c>
      <c r="N61" s="23">
        <v>4.368421052631579</v>
      </c>
      <c r="O61" s="23">
        <v>9.506578947368421</v>
      </c>
      <c r="P61" s="23">
        <v>6.348684210526316</v>
      </c>
      <c r="Q61" s="23">
        <v>380.2631578947369</v>
      </c>
      <c r="R61" s="23">
        <v>253.94736842105263</v>
      </c>
    </row>
    <row r="62" ht="15.75" customHeight="1">
      <c r="A62" s="22" t="str">
        <f t="shared" si="3"/>
        <v>viernes</v>
      </c>
      <c r="B62" s="24" t="str">
        <f t="shared" si="4"/>
        <v>enero</v>
      </c>
      <c r="C62" s="37">
        <v>46031.0</v>
      </c>
      <c r="D62" s="26" t="s">
        <v>40</v>
      </c>
      <c r="E62" s="27">
        <v>82.0</v>
      </c>
      <c r="F62" s="27">
        <v>60.0</v>
      </c>
      <c r="G62" s="27">
        <v>0.0</v>
      </c>
      <c r="H62" s="27">
        <v>0.0</v>
      </c>
      <c r="J62" s="28" t="s">
        <v>64</v>
      </c>
      <c r="K62" s="23">
        <v>141.46153846153845</v>
      </c>
      <c r="L62" s="23">
        <v>88.38461538461539</v>
      </c>
      <c r="M62" s="23">
        <v>4.846153846153846</v>
      </c>
      <c r="N62" s="23">
        <v>11.307692307692308</v>
      </c>
      <c r="O62" s="23">
        <v>17.682692307692307</v>
      </c>
      <c r="P62" s="23">
        <v>11.048076923076923</v>
      </c>
      <c r="Q62" s="23">
        <v>707.3076923076923</v>
      </c>
      <c r="R62" s="23">
        <v>441.9230769230769</v>
      </c>
    </row>
    <row r="63" ht="15.75" customHeight="1">
      <c r="A63" s="22" t="str">
        <f t="shared" si="3"/>
        <v>viernes</v>
      </c>
      <c r="B63" s="24" t="str">
        <f t="shared" si="4"/>
        <v>enero</v>
      </c>
      <c r="C63" s="37">
        <v>46031.0</v>
      </c>
      <c r="D63" s="26" t="s">
        <v>51</v>
      </c>
      <c r="E63" s="27">
        <v>69.0</v>
      </c>
      <c r="F63" s="27">
        <v>58.0</v>
      </c>
      <c r="G63" s="27">
        <v>4.0</v>
      </c>
      <c r="H63" s="27">
        <v>13.0</v>
      </c>
      <c r="J63" s="28" t="s">
        <v>65</v>
      </c>
      <c r="K63" s="23">
        <v>69.22222222222223</v>
      </c>
      <c r="L63" s="23">
        <v>56.5</v>
      </c>
      <c r="M63" s="23">
        <v>5.055555555555555</v>
      </c>
      <c r="N63" s="23">
        <v>3.2222222222222223</v>
      </c>
      <c r="O63" s="23">
        <v>8.652777777777779</v>
      </c>
      <c r="P63" s="23">
        <v>7.0625</v>
      </c>
      <c r="Q63" s="23">
        <v>346.11111111111114</v>
      </c>
      <c r="R63" s="23">
        <v>282.5</v>
      </c>
    </row>
    <row r="64" ht="15.75" customHeight="1">
      <c r="A64" s="22" t="str">
        <f t="shared" si="3"/>
        <v>viernes</v>
      </c>
      <c r="B64" s="24" t="str">
        <f t="shared" si="4"/>
        <v>enero</v>
      </c>
      <c r="C64" s="37">
        <v>46031.0</v>
      </c>
      <c r="D64" s="26" t="s">
        <v>52</v>
      </c>
      <c r="E64" s="27">
        <v>52.0</v>
      </c>
      <c r="F64" s="27">
        <v>41.0</v>
      </c>
      <c r="G64" s="27">
        <v>6.0</v>
      </c>
      <c r="H64" s="27">
        <v>6.0</v>
      </c>
      <c r="J64" s="28" t="s">
        <v>51</v>
      </c>
      <c r="K64" s="23">
        <v>58.0</v>
      </c>
      <c r="L64" s="23">
        <v>46.6875</v>
      </c>
      <c r="M64" s="23">
        <v>3.625</v>
      </c>
      <c r="N64" s="23">
        <v>13.125</v>
      </c>
      <c r="O64" s="23">
        <v>5.2727272727272725</v>
      </c>
      <c r="P64" s="23">
        <v>4.244318181818182</v>
      </c>
      <c r="Q64" s="23">
        <v>232.0</v>
      </c>
      <c r="R64" s="23">
        <v>186.75</v>
      </c>
    </row>
    <row r="65" ht="15.75" customHeight="1">
      <c r="A65" s="22" t="str">
        <f t="shared" si="3"/>
        <v>viernes</v>
      </c>
      <c r="B65" s="24" t="str">
        <f t="shared" si="4"/>
        <v>enero</v>
      </c>
      <c r="C65" s="37">
        <v>46031.0</v>
      </c>
      <c r="D65" s="26" t="s">
        <v>53</v>
      </c>
      <c r="E65" s="27">
        <v>91.0</v>
      </c>
      <c r="F65" s="27">
        <v>60.0</v>
      </c>
      <c r="G65" s="27">
        <v>2.0</v>
      </c>
      <c r="H65" s="27">
        <v>10.0</v>
      </c>
      <c r="J65" s="28" t="s">
        <v>66</v>
      </c>
      <c r="K65" s="23">
        <v>104.63157894736842</v>
      </c>
      <c r="L65" s="23">
        <v>94.78947368421052</v>
      </c>
      <c r="M65" s="23">
        <v>0.2631578947368421</v>
      </c>
      <c r="N65" s="23">
        <v>3.789473684210526</v>
      </c>
      <c r="O65" s="23">
        <v>13.078947368421053</v>
      </c>
      <c r="P65" s="23">
        <v>11.848684210526315</v>
      </c>
      <c r="Q65" s="23">
        <v>523.1578947368421</v>
      </c>
      <c r="R65" s="23">
        <v>473.9473684210526</v>
      </c>
    </row>
    <row r="66" ht="15.75" customHeight="1">
      <c r="A66" s="22" t="str">
        <f t="shared" si="3"/>
        <v>viernes</v>
      </c>
      <c r="B66" s="24" t="str">
        <f t="shared" si="4"/>
        <v>enero</v>
      </c>
      <c r="C66" s="37">
        <v>46031.0</v>
      </c>
      <c r="D66" s="26" t="s">
        <v>64</v>
      </c>
      <c r="E66" s="27">
        <v>130.0</v>
      </c>
      <c r="F66" s="27">
        <v>87.0</v>
      </c>
      <c r="G66" s="27">
        <v>9.0</v>
      </c>
      <c r="H66" s="27">
        <v>14.0</v>
      </c>
    </row>
    <row r="67" ht="15.75" customHeight="1">
      <c r="A67" s="22" t="str">
        <f t="shared" si="3"/>
        <v>viernes</v>
      </c>
      <c r="B67" s="24" t="str">
        <f t="shared" si="4"/>
        <v>enero</v>
      </c>
      <c r="C67" s="37">
        <v>46031.0</v>
      </c>
      <c r="D67" s="26" t="s">
        <v>66</v>
      </c>
      <c r="E67" s="27">
        <v>134.0</v>
      </c>
      <c r="F67" s="27">
        <v>114.0</v>
      </c>
      <c r="G67" s="27">
        <v>0.0</v>
      </c>
      <c r="H67" s="27">
        <v>8.0</v>
      </c>
      <c r="J67" s="5" t="s">
        <v>132</v>
      </c>
    </row>
    <row r="68" ht="15.75" customHeight="1">
      <c r="A68" s="22" t="str">
        <f t="shared" si="3"/>
        <v>sábado</v>
      </c>
      <c r="B68" s="24" t="str">
        <f t="shared" si="4"/>
        <v>enero</v>
      </c>
      <c r="C68" s="37">
        <v>46032.0</v>
      </c>
      <c r="D68" s="26" t="s">
        <v>40</v>
      </c>
      <c r="E68" s="27">
        <v>98.0</v>
      </c>
      <c r="F68" s="27">
        <v>66.0</v>
      </c>
      <c r="G68" s="27">
        <v>5.0</v>
      </c>
      <c r="H68" s="27">
        <v>2.0</v>
      </c>
    </row>
    <row r="69" ht="15.75" customHeight="1">
      <c r="A69" s="22" t="str">
        <f t="shared" si="3"/>
        <v>sábado</v>
      </c>
      <c r="B69" s="24" t="str">
        <f t="shared" si="4"/>
        <v>enero</v>
      </c>
      <c r="C69" s="37">
        <v>46032.0</v>
      </c>
      <c r="D69" s="22" t="s">
        <v>43</v>
      </c>
      <c r="E69" s="27">
        <v>81.0</v>
      </c>
      <c r="F69" s="27">
        <v>47.0</v>
      </c>
      <c r="G69" s="27">
        <v>4.0</v>
      </c>
      <c r="H69" s="27">
        <v>12.0</v>
      </c>
    </row>
    <row r="70" ht="15.75" customHeight="1">
      <c r="A70" s="22" t="str">
        <f t="shared" si="3"/>
        <v>sábado</v>
      </c>
      <c r="B70" s="24" t="str">
        <f t="shared" si="4"/>
        <v>enero</v>
      </c>
      <c r="C70" s="37">
        <v>46032.0</v>
      </c>
      <c r="D70" s="26" t="s">
        <v>51</v>
      </c>
      <c r="E70" s="27">
        <v>76.0</v>
      </c>
      <c r="F70" s="27">
        <v>66.0</v>
      </c>
      <c r="G70" s="27">
        <v>2.0</v>
      </c>
      <c r="H70" s="27">
        <v>9.0</v>
      </c>
    </row>
    <row r="71" ht="15.75" customHeight="1">
      <c r="A71" s="22" t="str">
        <f t="shared" si="3"/>
        <v>sábado</v>
      </c>
      <c r="B71" s="24" t="str">
        <f t="shared" si="4"/>
        <v>enero</v>
      </c>
      <c r="C71" s="37">
        <v>46032.0</v>
      </c>
      <c r="D71" s="26" t="s">
        <v>59</v>
      </c>
      <c r="E71" s="27">
        <v>210.0</v>
      </c>
      <c r="F71" s="27">
        <v>201.0</v>
      </c>
      <c r="G71" s="27">
        <v>3.0</v>
      </c>
      <c r="H71" s="27">
        <v>3.0</v>
      </c>
    </row>
    <row r="72" ht="15.75" customHeight="1">
      <c r="A72" s="22" t="str">
        <f t="shared" si="3"/>
        <v>sábado</v>
      </c>
      <c r="B72" s="24" t="str">
        <f t="shared" si="4"/>
        <v>enero</v>
      </c>
      <c r="C72" s="37">
        <v>46032.0</v>
      </c>
      <c r="D72" s="26" t="s">
        <v>52</v>
      </c>
      <c r="E72" s="27">
        <v>69.0</v>
      </c>
      <c r="F72" s="27">
        <v>38.0</v>
      </c>
      <c r="G72" s="27">
        <v>5.0</v>
      </c>
      <c r="H72" s="27">
        <v>9.0</v>
      </c>
    </row>
    <row r="73" ht="15.75" customHeight="1">
      <c r="A73" s="22" t="str">
        <f t="shared" si="3"/>
        <v>sábado</v>
      </c>
      <c r="B73" s="24" t="str">
        <f t="shared" si="4"/>
        <v>enero</v>
      </c>
      <c r="C73" s="37">
        <v>46032.0</v>
      </c>
      <c r="D73" s="26" t="s">
        <v>53</v>
      </c>
      <c r="E73" s="27">
        <v>106.0</v>
      </c>
      <c r="F73" s="27">
        <v>90.0</v>
      </c>
      <c r="G73" s="27">
        <v>2.0</v>
      </c>
      <c r="H73" s="27">
        <v>9.0</v>
      </c>
    </row>
    <row r="74" ht="15.75" customHeight="1">
      <c r="A74" s="22" t="str">
        <f t="shared" si="3"/>
        <v>sábado</v>
      </c>
      <c r="B74" s="24" t="str">
        <f t="shared" si="4"/>
        <v>enero</v>
      </c>
      <c r="C74" s="37">
        <v>46032.0</v>
      </c>
      <c r="D74" s="26" t="s">
        <v>60</v>
      </c>
      <c r="E74" s="27">
        <v>99.0</v>
      </c>
      <c r="F74" s="27">
        <v>51.0</v>
      </c>
      <c r="G74" s="27">
        <v>5.0</v>
      </c>
      <c r="H74" s="27">
        <v>10.0</v>
      </c>
    </row>
    <row r="75" ht="15.75" customHeight="1">
      <c r="A75" s="22" t="str">
        <f t="shared" si="3"/>
        <v>domingo</v>
      </c>
      <c r="B75" s="24" t="str">
        <f t="shared" si="4"/>
        <v>enero</v>
      </c>
      <c r="C75" s="37">
        <v>46033.0</v>
      </c>
      <c r="D75" s="26" t="s">
        <v>39</v>
      </c>
      <c r="E75" s="27">
        <v>83.0</v>
      </c>
      <c r="F75" s="27">
        <v>36.0</v>
      </c>
      <c r="G75" s="27">
        <v>1.0</v>
      </c>
      <c r="H75" s="27">
        <v>3.0</v>
      </c>
    </row>
    <row r="76" ht="15.75" customHeight="1">
      <c r="A76" s="22" t="str">
        <f t="shared" si="3"/>
        <v>domingo</v>
      </c>
      <c r="B76" s="24" t="str">
        <f t="shared" si="4"/>
        <v>enero</v>
      </c>
      <c r="C76" s="37">
        <v>46033.0</v>
      </c>
      <c r="D76" s="22" t="s">
        <v>116</v>
      </c>
      <c r="E76" s="27">
        <v>44.0</v>
      </c>
      <c r="F76" s="27">
        <v>26.0</v>
      </c>
      <c r="G76" s="27">
        <v>1.0</v>
      </c>
      <c r="H76" s="27">
        <v>16.0</v>
      </c>
    </row>
    <row r="77" ht="15.75" customHeight="1">
      <c r="A77" s="22" t="str">
        <f t="shared" si="3"/>
        <v>domingo</v>
      </c>
      <c r="B77" s="24" t="str">
        <f t="shared" si="4"/>
        <v>enero</v>
      </c>
      <c r="C77" s="37">
        <v>46033.0</v>
      </c>
      <c r="D77" s="26" t="s">
        <v>40</v>
      </c>
      <c r="E77" s="27">
        <v>57.0</v>
      </c>
      <c r="F77" s="27">
        <v>30.0</v>
      </c>
      <c r="G77" s="27">
        <v>4.0</v>
      </c>
      <c r="H77" s="27">
        <v>1.0</v>
      </c>
    </row>
    <row r="78" ht="15.75" customHeight="1">
      <c r="A78" s="22" t="str">
        <f t="shared" si="3"/>
        <v>domingo</v>
      </c>
      <c r="B78" s="24" t="str">
        <f t="shared" si="4"/>
        <v>enero</v>
      </c>
      <c r="C78" s="37">
        <v>46033.0</v>
      </c>
      <c r="D78" s="22" t="s">
        <v>43</v>
      </c>
      <c r="E78" s="27">
        <v>71.0</v>
      </c>
      <c r="F78" s="27">
        <v>49.0</v>
      </c>
      <c r="G78" s="27">
        <v>3.0</v>
      </c>
      <c r="H78" s="27">
        <v>15.0</v>
      </c>
    </row>
    <row r="79" ht="15.75" customHeight="1">
      <c r="A79" s="22" t="str">
        <f t="shared" si="3"/>
        <v>domingo</v>
      </c>
      <c r="B79" s="24" t="str">
        <f t="shared" si="4"/>
        <v>enero</v>
      </c>
      <c r="C79" s="37">
        <v>46033.0</v>
      </c>
      <c r="D79" s="26" t="s">
        <v>59</v>
      </c>
      <c r="E79" s="27">
        <v>208.0</v>
      </c>
      <c r="F79" s="27">
        <v>193.0</v>
      </c>
      <c r="G79" s="27">
        <v>0.0</v>
      </c>
      <c r="H79" s="27">
        <v>3.0</v>
      </c>
    </row>
    <row r="80" ht="15.75" customHeight="1">
      <c r="A80" s="22" t="str">
        <f t="shared" si="3"/>
        <v>domingo</v>
      </c>
      <c r="B80" s="24" t="str">
        <f t="shared" si="4"/>
        <v>enero</v>
      </c>
      <c r="C80" s="37">
        <v>46033.0</v>
      </c>
      <c r="D80" s="26" t="s">
        <v>52</v>
      </c>
      <c r="E80" s="27">
        <v>61.0</v>
      </c>
      <c r="F80" s="27">
        <v>31.0</v>
      </c>
      <c r="G80" s="27">
        <v>3.0</v>
      </c>
      <c r="H80" s="27">
        <v>6.0</v>
      </c>
    </row>
    <row r="81" ht="15.75" customHeight="1">
      <c r="A81" s="22" t="str">
        <f t="shared" si="3"/>
        <v>domingo</v>
      </c>
      <c r="B81" s="24" t="str">
        <f t="shared" si="4"/>
        <v>enero</v>
      </c>
      <c r="C81" s="37">
        <v>46033.0</v>
      </c>
      <c r="D81" s="26" t="s">
        <v>53</v>
      </c>
      <c r="E81" s="27">
        <v>74.0</v>
      </c>
      <c r="F81" s="27">
        <v>54.0</v>
      </c>
      <c r="G81" s="27">
        <v>1.0</v>
      </c>
      <c r="H81" s="27">
        <v>9.0</v>
      </c>
    </row>
    <row r="82" ht="15.75" customHeight="1">
      <c r="A82" s="22" t="str">
        <f t="shared" si="3"/>
        <v>domingo</v>
      </c>
      <c r="B82" s="24" t="str">
        <f t="shared" si="4"/>
        <v>enero</v>
      </c>
      <c r="C82" s="37">
        <v>46033.0</v>
      </c>
      <c r="D82" s="26" t="s">
        <v>60</v>
      </c>
      <c r="E82" s="27">
        <v>86.0</v>
      </c>
      <c r="F82" s="27">
        <v>45.0</v>
      </c>
      <c r="G82" s="27">
        <v>4.0</v>
      </c>
      <c r="H82" s="27">
        <v>1.0</v>
      </c>
    </row>
    <row r="83" ht="15.75" customHeight="1">
      <c r="A83" s="22" t="str">
        <f t="shared" si="3"/>
        <v>lunes</v>
      </c>
      <c r="B83" s="24" t="str">
        <f t="shared" si="4"/>
        <v>enero</v>
      </c>
      <c r="C83" s="37">
        <v>46034.0</v>
      </c>
      <c r="D83" s="26" t="s">
        <v>39</v>
      </c>
      <c r="E83" s="27">
        <v>74.0</v>
      </c>
      <c r="F83" s="27">
        <v>45.0</v>
      </c>
      <c r="G83" s="27">
        <v>1.0</v>
      </c>
      <c r="H83" s="27">
        <v>6.0</v>
      </c>
    </row>
    <row r="84" ht="15.75" customHeight="1">
      <c r="A84" s="22" t="str">
        <f t="shared" si="3"/>
        <v>lunes</v>
      </c>
      <c r="B84" s="24" t="str">
        <f t="shared" si="4"/>
        <v>enero</v>
      </c>
      <c r="C84" s="37">
        <v>46034.0</v>
      </c>
      <c r="D84" s="26" t="s">
        <v>41</v>
      </c>
      <c r="E84" s="27">
        <v>72.0</v>
      </c>
      <c r="F84" s="27">
        <v>52.0</v>
      </c>
      <c r="G84" s="27">
        <v>1.0</v>
      </c>
      <c r="H84" s="27">
        <v>4.0</v>
      </c>
    </row>
    <row r="85" ht="15.75" customHeight="1">
      <c r="A85" s="22" t="str">
        <f t="shared" si="3"/>
        <v>lunes</v>
      </c>
      <c r="B85" s="24" t="str">
        <f t="shared" si="4"/>
        <v>enero</v>
      </c>
      <c r="C85" s="37">
        <v>46034.0</v>
      </c>
      <c r="D85" s="26" t="s">
        <v>42</v>
      </c>
      <c r="E85" s="27">
        <v>83.0</v>
      </c>
      <c r="F85" s="27">
        <v>60.0</v>
      </c>
      <c r="G85" s="27">
        <v>3.0</v>
      </c>
      <c r="H85" s="27">
        <v>15.0</v>
      </c>
    </row>
    <row r="86" ht="15.75" customHeight="1">
      <c r="A86" s="22" t="str">
        <f t="shared" si="3"/>
        <v>lunes</v>
      </c>
      <c r="B86" s="24" t="str">
        <f t="shared" si="4"/>
        <v>enero</v>
      </c>
      <c r="C86" s="37">
        <v>46034.0</v>
      </c>
      <c r="D86" s="26" t="s">
        <v>44</v>
      </c>
      <c r="E86" s="27">
        <v>48.0</v>
      </c>
      <c r="F86" s="27">
        <v>47.0</v>
      </c>
      <c r="G86" s="27">
        <v>0.0</v>
      </c>
      <c r="H86" s="27">
        <v>0.0</v>
      </c>
    </row>
    <row r="87" ht="15.75" customHeight="1">
      <c r="A87" s="22" t="str">
        <f t="shared" si="3"/>
        <v>lunes</v>
      </c>
      <c r="B87" s="24" t="str">
        <f t="shared" si="4"/>
        <v>enero</v>
      </c>
      <c r="C87" s="37">
        <v>46034.0</v>
      </c>
      <c r="D87" s="22" t="s">
        <v>89</v>
      </c>
      <c r="E87" s="27">
        <v>120.0</v>
      </c>
      <c r="F87" s="27">
        <v>61.0</v>
      </c>
      <c r="G87" s="27">
        <v>0.0</v>
      </c>
      <c r="H87" s="27">
        <v>0.0</v>
      </c>
    </row>
    <row r="88" ht="15.75" customHeight="1">
      <c r="A88" s="22" t="str">
        <f t="shared" si="3"/>
        <v>lunes</v>
      </c>
      <c r="B88" s="24" t="str">
        <f t="shared" si="4"/>
        <v>enero</v>
      </c>
      <c r="C88" s="37">
        <v>46034.0</v>
      </c>
      <c r="D88" s="22" t="s">
        <v>90</v>
      </c>
      <c r="E88" s="27">
        <v>109.0</v>
      </c>
      <c r="F88" s="27">
        <v>48.0</v>
      </c>
      <c r="G88" s="27">
        <v>0.0</v>
      </c>
      <c r="H88" s="27">
        <v>0.0</v>
      </c>
    </row>
    <row r="89" ht="15.75" customHeight="1">
      <c r="A89" s="22" t="str">
        <f t="shared" si="3"/>
        <v>lunes</v>
      </c>
      <c r="B89" s="24" t="str">
        <f t="shared" si="4"/>
        <v>enero</v>
      </c>
      <c r="C89" s="37">
        <v>46034.0</v>
      </c>
      <c r="D89" s="26" t="s">
        <v>59</v>
      </c>
      <c r="E89" s="27">
        <v>47.0</v>
      </c>
      <c r="F89" s="27">
        <v>40.0</v>
      </c>
      <c r="G89" s="27">
        <v>0.0</v>
      </c>
      <c r="H89" s="27">
        <v>0.0</v>
      </c>
    </row>
    <row r="90" ht="15.75" customHeight="1">
      <c r="A90" s="22" t="str">
        <f t="shared" si="3"/>
        <v>lunes</v>
      </c>
      <c r="B90" s="24" t="str">
        <f t="shared" si="4"/>
        <v>enero</v>
      </c>
      <c r="C90" s="37">
        <v>46034.0</v>
      </c>
      <c r="D90" s="26" t="s">
        <v>67</v>
      </c>
      <c r="E90" s="27">
        <v>67.0</v>
      </c>
      <c r="F90" s="27">
        <v>51.0</v>
      </c>
      <c r="G90" s="27">
        <v>5.0</v>
      </c>
      <c r="H90" s="27">
        <v>4.0</v>
      </c>
    </row>
    <row r="91" ht="15.75" customHeight="1">
      <c r="A91" s="22" t="str">
        <f t="shared" si="3"/>
        <v>lunes</v>
      </c>
      <c r="B91" s="24" t="str">
        <f t="shared" si="4"/>
        <v>enero</v>
      </c>
      <c r="C91" s="37">
        <v>46034.0</v>
      </c>
      <c r="D91" s="22" t="s">
        <v>93</v>
      </c>
      <c r="E91" s="27">
        <v>87.0</v>
      </c>
      <c r="F91" s="27">
        <v>57.0</v>
      </c>
      <c r="G91" s="27">
        <v>0.0</v>
      </c>
      <c r="H91" s="27">
        <v>0.0</v>
      </c>
    </row>
    <row r="92" ht="15.75" customHeight="1">
      <c r="A92" s="22" t="str">
        <f t="shared" si="3"/>
        <v>lunes</v>
      </c>
      <c r="B92" s="24" t="str">
        <f t="shared" si="4"/>
        <v>enero</v>
      </c>
      <c r="C92" s="37">
        <v>46034.0</v>
      </c>
      <c r="D92" s="26" t="s">
        <v>58</v>
      </c>
      <c r="E92" s="27">
        <v>50.0</v>
      </c>
      <c r="F92" s="27">
        <v>32.0</v>
      </c>
      <c r="G92" s="27">
        <v>8.0</v>
      </c>
      <c r="H92" s="27">
        <v>1.0</v>
      </c>
    </row>
    <row r="93" ht="15.75" customHeight="1">
      <c r="A93" s="22" t="str">
        <f t="shared" si="3"/>
        <v>lunes</v>
      </c>
      <c r="B93" s="24" t="str">
        <f t="shared" si="4"/>
        <v>enero</v>
      </c>
      <c r="C93" s="37">
        <v>46034.0</v>
      </c>
      <c r="D93" s="26" t="s">
        <v>64</v>
      </c>
      <c r="E93" s="27">
        <v>104.0</v>
      </c>
      <c r="F93" s="27">
        <v>67.0</v>
      </c>
      <c r="G93" s="27">
        <v>5.0</v>
      </c>
      <c r="H93" s="27">
        <v>5.0</v>
      </c>
    </row>
    <row r="94" ht="15.75" customHeight="1">
      <c r="A94" s="22" t="str">
        <f t="shared" si="3"/>
        <v>lunes</v>
      </c>
      <c r="B94" s="24" t="str">
        <f t="shared" si="4"/>
        <v>enero</v>
      </c>
      <c r="C94" s="37">
        <v>46034.0</v>
      </c>
      <c r="D94" s="26" t="s">
        <v>65</v>
      </c>
      <c r="E94" s="27">
        <v>56.0</v>
      </c>
      <c r="F94" s="27">
        <v>45.0</v>
      </c>
      <c r="G94" s="27">
        <v>5.0</v>
      </c>
      <c r="H94" s="27">
        <v>1.0</v>
      </c>
    </row>
    <row r="95" ht="15.75" customHeight="1">
      <c r="A95" s="22" t="str">
        <f t="shared" si="3"/>
        <v>lunes</v>
      </c>
      <c r="B95" s="24" t="str">
        <f t="shared" si="4"/>
        <v>enero</v>
      </c>
      <c r="C95" s="37">
        <v>46034.0</v>
      </c>
      <c r="D95" s="26" t="s">
        <v>60</v>
      </c>
      <c r="E95" s="27">
        <v>109.0</v>
      </c>
      <c r="F95" s="27">
        <v>37.0</v>
      </c>
      <c r="G95" s="27">
        <v>5.0</v>
      </c>
      <c r="H95" s="27">
        <v>19.0</v>
      </c>
    </row>
    <row r="96" ht="15.75" customHeight="1">
      <c r="A96" s="22" t="str">
        <f t="shared" si="3"/>
        <v>lunes</v>
      </c>
      <c r="B96" s="24" t="str">
        <f t="shared" si="4"/>
        <v>enero</v>
      </c>
      <c r="C96" s="37">
        <v>46034.0</v>
      </c>
      <c r="D96" s="26" t="s">
        <v>66</v>
      </c>
      <c r="E96" s="27">
        <v>108.0</v>
      </c>
      <c r="F96" s="27">
        <v>104.0</v>
      </c>
      <c r="G96" s="27">
        <v>0.0</v>
      </c>
      <c r="H96" s="27">
        <v>2.0</v>
      </c>
    </row>
    <row r="97" ht="15.75" customHeight="1">
      <c r="A97" s="22" t="str">
        <f t="shared" si="3"/>
        <v>martes</v>
      </c>
      <c r="B97" s="24" t="str">
        <f t="shared" si="4"/>
        <v>enero</v>
      </c>
      <c r="C97" s="37">
        <v>46035.0</v>
      </c>
      <c r="D97" s="26" t="s">
        <v>39</v>
      </c>
      <c r="E97" s="27">
        <v>74.0</v>
      </c>
      <c r="F97" s="27">
        <v>41.0</v>
      </c>
      <c r="G97" s="27">
        <v>1.0</v>
      </c>
      <c r="H97" s="27">
        <v>7.0</v>
      </c>
    </row>
    <row r="98" ht="15.75" customHeight="1">
      <c r="A98" s="22" t="str">
        <f t="shared" si="3"/>
        <v>martes</v>
      </c>
      <c r="B98" s="24" t="str">
        <f t="shared" si="4"/>
        <v>enero</v>
      </c>
      <c r="C98" s="37">
        <v>46035.0</v>
      </c>
      <c r="D98" s="26" t="s">
        <v>41</v>
      </c>
      <c r="E98" s="27">
        <v>96.0</v>
      </c>
      <c r="F98" s="27">
        <v>76.0</v>
      </c>
      <c r="G98" s="27">
        <v>0.0</v>
      </c>
      <c r="H98" s="27">
        <v>1.0</v>
      </c>
    </row>
    <row r="99" ht="15.75" customHeight="1">
      <c r="A99" s="22" t="str">
        <f t="shared" si="3"/>
        <v>martes</v>
      </c>
      <c r="B99" s="24" t="str">
        <f t="shared" si="4"/>
        <v>enero</v>
      </c>
      <c r="C99" s="37">
        <v>46035.0</v>
      </c>
      <c r="D99" s="26" t="s">
        <v>42</v>
      </c>
      <c r="E99" s="27">
        <v>93.0</v>
      </c>
      <c r="F99" s="27">
        <v>66.0</v>
      </c>
      <c r="G99" s="27">
        <v>4.0</v>
      </c>
      <c r="H99" s="27">
        <v>15.0</v>
      </c>
    </row>
    <row r="100" ht="15.75" customHeight="1">
      <c r="A100" s="22" t="str">
        <f t="shared" si="3"/>
        <v>martes</v>
      </c>
      <c r="B100" s="24" t="str">
        <f t="shared" si="4"/>
        <v>enero</v>
      </c>
      <c r="C100" s="37">
        <v>46035.0</v>
      </c>
      <c r="D100" s="22" t="s">
        <v>89</v>
      </c>
      <c r="E100" s="27">
        <v>81.0</v>
      </c>
      <c r="F100" s="27">
        <v>43.0</v>
      </c>
      <c r="G100" s="27">
        <v>0.0</v>
      </c>
      <c r="H100" s="27">
        <v>0.0</v>
      </c>
    </row>
    <row r="101" ht="15.75" customHeight="1">
      <c r="A101" s="22" t="str">
        <f t="shared" si="3"/>
        <v>martes</v>
      </c>
      <c r="B101" s="24" t="str">
        <f t="shared" si="4"/>
        <v>enero</v>
      </c>
      <c r="C101" s="37">
        <v>46035.0</v>
      </c>
      <c r="D101" s="22" t="s">
        <v>90</v>
      </c>
      <c r="E101" s="27">
        <v>155.0</v>
      </c>
      <c r="F101" s="27">
        <v>105.0</v>
      </c>
      <c r="G101" s="27">
        <v>0.0</v>
      </c>
      <c r="H101" s="27">
        <v>0.0</v>
      </c>
    </row>
    <row r="102" ht="15.75" customHeight="1">
      <c r="A102" s="22" t="str">
        <f t="shared" si="3"/>
        <v>martes</v>
      </c>
      <c r="B102" s="24" t="str">
        <f t="shared" si="4"/>
        <v>enero</v>
      </c>
      <c r="C102" s="37">
        <v>46035.0</v>
      </c>
      <c r="D102" s="26" t="s">
        <v>59</v>
      </c>
      <c r="E102" s="27">
        <v>49.0</v>
      </c>
      <c r="F102" s="27">
        <v>33.0</v>
      </c>
      <c r="G102" s="27">
        <v>0.0</v>
      </c>
      <c r="H102" s="27">
        <v>0.0</v>
      </c>
    </row>
    <row r="103" ht="15.75" customHeight="1">
      <c r="A103" s="22" t="str">
        <f t="shared" si="3"/>
        <v>martes</v>
      </c>
      <c r="B103" s="24" t="str">
        <f t="shared" si="4"/>
        <v>enero</v>
      </c>
      <c r="C103" s="37">
        <v>46035.0</v>
      </c>
      <c r="D103" s="26" t="s">
        <v>67</v>
      </c>
      <c r="E103" s="27">
        <v>78.0</v>
      </c>
      <c r="F103" s="27">
        <v>58.0</v>
      </c>
      <c r="G103" s="27">
        <v>8.0</v>
      </c>
      <c r="H103" s="27">
        <v>7.0</v>
      </c>
    </row>
    <row r="104" ht="15.75" customHeight="1">
      <c r="A104" s="22" t="str">
        <f t="shared" si="3"/>
        <v>martes</v>
      </c>
      <c r="B104" s="24" t="str">
        <f t="shared" si="4"/>
        <v>enero</v>
      </c>
      <c r="C104" s="37">
        <v>46035.0</v>
      </c>
      <c r="D104" s="22" t="s">
        <v>93</v>
      </c>
      <c r="E104" s="27">
        <v>73.0</v>
      </c>
      <c r="F104" s="27">
        <v>50.0</v>
      </c>
      <c r="G104" s="27">
        <v>0.0</v>
      </c>
      <c r="H104" s="27">
        <v>0.0</v>
      </c>
    </row>
    <row r="105" ht="15.75" customHeight="1">
      <c r="A105" s="22" t="str">
        <f t="shared" si="3"/>
        <v>martes</v>
      </c>
      <c r="B105" s="24" t="str">
        <f t="shared" si="4"/>
        <v>enero</v>
      </c>
      <c r="C105" s="37">
        <v>46035.0</v>
      </c>
      <c r="D105" s="26" t="s">
        <v>58</v>
      </c>
      <c r="E105" s="27">
        <v>66.0</v>
      </c>
      <c r="F105" s="27">
        <v>43.0</v>
      </c>
      <c r="G105" s="27">
        <v>4.0</v>
      </c>
      <c r="H105" s="27">
        <v>1.0</v>
      </c>
    </row>
    <row r="106" ht="15.75" customHeight="1">
      <c r="A106" s="22" t="str">
        <f t="shared" si="3"/>
        <v>martes</v>
      </c>
      <c r="B106" s="24" t="str">
        <f t="shared" si="4"/>
        <v>enero</v>
      </c>
      <c r="C106" s="37">
        <v>46035.0</v>
      </c>
      <c r="D106" s="26" t="s">
        <v>64</v>
      </c>
      <c r="E106" s="27">
        <v>119.0</v>
      </c>
      <c r="F106" s="27">
        <v>76.0</v>
      </c>
      <c r="G106" s="27">
        <v>3.0</v>
      </c>
      <c r="H106" s="27">
        <v>7.0</v>
      </c>
    </row>
    <row r="107" ht="15.75" customHeight="1">
      <c r="A107" s="22" t="str">
        <f t="shared" si="3"/>
        <v>martes</v>
      </c>
      <c r="B107" s="24" t="str">
        <f t="shared" si="4"/>
        <v>enero</v>
      </c>
      <c r="C107" s="37">
        <v>46035.0</v>
      </c>
      <c r="D107" s="26" t="s">
        <v>65</v>
      </c>
      <c r="E107" s="27">
        <v>60.0</v>
      </c>
      <c r="F107" s="27">
        <v>54.0</v>
      </c>
      <c r="G107" s="27">
        <v>4.0</v>
      </c>
      <c r="H107" s="27">
        <v>0.0</v>
      </c>
    </row>
    <row r="108" ht="15.75" customHeight="1">
      <c r="A108" s="22" t="str">
        <f t="shared" si="3"/>
        <v>martes</v>
      </c>
      <c r="B108" s="24" t="str">
        <f t="shared" si="4"/>
        <v>enero</v>
      </c>
      <c r="C108" s="37">
        <v>46035.0</v>
      </c>
      <c r="D108" s="26" t="s">
        <v>66</v>
      </c>
      <c r="E108" s="27">
        <v>106.0</v>
      </c>
      <c r="F108" s="27">
        <v>102.0</v>
      </c>
      <c r="G108" s="27">
        <v>0.0</v>
      </c>
      <c r="H108" s="27">
        <v>2.0</v>
      </c>
    </row>
    <row r="109" ht="15.75" customHeight="1">
      <c r="A109" s="22" t="str">
        <f t="shared" si="3"/>
        <v>miércoles</v>
      </c>
      <c r="B109" s="24" t="str">
        <f t="shared" si="4"/>
        <v>enero</v>
      </c>
      <c r="C109" s="37">
        <v>46036.0</v>
      </c>
      <c r="D109" s="26" t="s">
        <v>39</v>
      </c>
      <c r="E109" s="27">
        <v>96.0</v>
      </c>
      <c r="F109" s="27">
        <v>54.0</v>
      </c>
      <c r="G109" s="27">
        <v>1.0</v>
      </c>
      <c r="H109" s="27">
        <v>9.0</v>
      </c>
    </row>
    <row r="110" ht="15.75" customHeight="1">
      <c r="A110" s="22" t="str">
        <f t="shared" si="3"/>
        <v>miércoles</v>
      </c>
      <c r="B110" s="24" t="str">
        <f t="shared" si="4"/>
        <v>enero</v>
      </c>
      <c r="C110" s="37">
        <v>46036.0</v>
      </c>
      <c r="D110" s="22" t="s">
        <v>107</v>
      </c>
      <c r="E110" s="27">
        <v>67.0</v>
      </c>
      <c r="F110" s="27">
        <v>43.0</v>
      </c>
      <c r="G110" s="27">
        <v>0.0</v>
      </c>
      <c r="H110" s="27">
        <v>0.0</v>
      </c>
    </row>
    <row r="111" ht="15.75" customHeight="1">
      <c r="A111" s="22" t="str">
        <f t="shared" si="3"/>
        <v>miércoles</v>
      </c>
      <c r="B111" s="24" t="str">
        <f t="shared" si="4"/>
        <v>enero</v>
      </c>
      <c r="C111" s="37">
        <v>46036.0</v>
      </c>
      <c r="D111" s="26" t="s">
        <v>41</v>
      </c>
      <c r="E111" s="27">
        <v>99.0</v>
      </c>
      <c r="F111" s="27">
        <v>68.0</v>
      </c>
      <c r="G111" s="27">
        <v>1.0</v>
      </c>
      <c r="H111" s="27">
        <v>5.0</v>
      </c>
    </row>
    <row r="112" ht="15.75" customHeight="1">
      <c r="A112" s="22" t="str">
        <f t="shared" si="3"/>
        <v>miércoles</v>
      </c>
      <c r="B112" s="24" t="str">
        <f t="shared" si="4"/>
        <v>enero</v>
      </c>
      <c r="C112" s="37">
        <v>46036.0</v>
      </c>
      <c r="D112" s="26" t="s">
        <v>42</v>
      </c>
      <c r="E112" s="27">
        <v>97.0</v>
      </c>
      <c r="F112" s="27">
        <v>56.0</v>
      </c>
      <c r="G112" s="27">
        <v>2.0</v>
      </c>
      <c r="H112" s="27">
        <v>9.0</v>
      </c>
    </row>
    <row r="113" ht="15.75" customHeight="1">
      <c r="A113" s="22" t="str">
        <f t="shared" si="3"/>
        <v>miércoles</v>
      </c>
      <c r="B113" s="24" t="str">
        <f t="shared" si="4"/>
        <v>enero</v>
      </c>
      <c r="C113" s="37">
        <v>46036.0</v>
      </c>
      <c r="D113" s="22" t="s">
        <v>108</v>
      </c>
      <c r="E113" s="27">
        <v>61.0</v>
      </c>
      <c r="F113" s="27">
        <v>30.0</v>
      </c>
      <c r="G113" s="27">
        <v>2.0</v>
      </c>
      <c r="H113" s="27">
        <v>0.0</v>
      </c>
    </row>
    <row r="114" ht="15.75" customHeight="1">
      <c r="A114" s="22" t="str">
        <f t="shared" si="3"/>
        <v>miércoles</v>
      </c>
      <c r="B114" s="24" t="str">
        <f t="shared" si="4"/>
        <v>enero</v>
      </c>
      <c r="C114" s="37">
        <v>46036.0</v>
      </c>
      <c r="D114" s="26" t="s">
        <v>51</v>
      </c>
      <c r="E114" s="27">
        <v>77.0</v>
      </c>
      <c r="F114" s="27">
        <v>65.0</v>
      </c>
      <c r="G114" s="27">
        <v>0.0</v>
      </c>
      <c r="H114" s="27">
        <v>11.0</v>
      </c>
    </row>
    <row r="115" ht="15.75" customHeight="1">
      <c r="A115" s="22" t="str">
        <f t="shared" si="3"/>
        <v>miércoles</v>
      </c>
      <c r="B115" s="24" t="str">
        <f t="shared" si="4"/>
        <v>enero</v>
      </c>
      <c r="C115" s="37">
        <v>46036.0</v>
      </c>
      <c r="D115" s="22" t="s">
        <v>89</v>
      </c>
      <c r="E115" s="27">
        <v>106.0</v>
      </c>
      <c r="F115" s="27">
        <v>69.0</v>
      </c>
      <c r="G115" s="27">
        <v>0.0</v>
      </c>
      <c r="H115" s="27">
        <v>0.0</v>
      </c>
    </row>
    <row r="116" ht="15.75" customHeight="1">
      <c r="A116" s="22" t="str">
        <f t="shared" si="3"/>
        <v>miércoles</v>
      </c>
      <c r="B116" s="24" t="str">
        <f t="shared" si="4"/>
        <v>enero</v>
      </c>
      <c r="C116" s="37">
        <v>46036.0</v>
      </c>
      <c r="D116" s="26" t="s">
        <v>67</v>
      </c>
      <c r="E116" s="27">
        <v>122.0</v>
      </c>
      <c r="F116" s="27">
        <v>109.0</v>
      </c>
      <c r="G116" s="27">
        <v>9.0</v>
      </c>
      <c r="H116" s="27">
        <v>0.0</v>
      </c>
    </row>
    <row r="117" ht="15.75" customHeight="1">
      <c r="A117" s="22" t="str">
        <f t="shared" si="3"/>
        <v>miércoles</v>
      </c>
      <c r="B117" s="24" t="str">
        <f t="shared" si="4"/>
        <v>enero</v>
      </c>
      <c r="C117" s="37">
        <v>46036.0</v>
      </c>
      <c r="D117" s="22" t="s">
        <v>93</v>
      </c>
      <c r="E117" s="27">
        <v>55.0</v>
      </c>
      <c r="F117" s="27">
        <v>31.0</v>
      </c>
      <c r="G117" s="27">
        <v>0.0</v>
      </c>
      <c r="H117" s="27">
        <v>0.0</v>
      </c>
    </row>
    <row r="118" ht="15.75" customHeight="1">
      <c r="A118" s="22" t="str">
        <f t="shared" si="3"/>
        <v>miércoles</v>
      </c>
      <c r="B118" s="24" t="str">
        <f t="shared" si="4"/>
        <v>enero</v>
      </c>
      <c r="C118" s="37">
        <v>46036.0</v>
      </c>
      <c r="D118" s="26" t="s">
        <v>58</v>
      </c>
      <c r="E118" s="27">
        <v>62.0</v>
      </c>
      <c r="F118" s="27">
        <v>42.0</v>
      </c>
      <c r="G118" s="27">
        <v>6.0</v>
      </c>
      <c r="H118" s="27">
        <v>0.0</v>
      </c>
    </row>
    <row r="119" ht="15.75" customHeight="1">
      <c r="A119" s="22" t="str">
        <f t="shared" si="3"/>
        <v>miércoles</v>
      </c>
      <c r="B119" s="24" t="str">
        <f t="shared" si="4"/>
        <v>enero</v>
      </c>
      <c r="C119" s="37">
        <v>46036.0</v>
      </c>
      <c r="D119" s="22" t="s">
        <v>127</v>
      </c>
      <c r="E119" s="27">
        <v>0.0</v>
      </c>
      <c r="F119" s="27">
        <v>0.0</v>
      </c>
      <c r="G119" s="27">
        <v>0.0</v>
      </c>
      <c r="H119" s="27">
        <v>0.0</v>
      </c>
    </row>
    <row r="120" ht="15.75" customHeight="1">
      <c r="A120" s="22" t="str">
        <f t="shared" si="3"/>
        <v>miércoles</v>
      </c>
      <c r="B120" s="24" t="str">
        <f t="shared" si="4"/>
        <v>enero</v>
      </c>
      <c r="C120" s="37">
        <v>46036.0</v>
      </c>
      <c r="D120" s="26" t="s">
        <v>64</v>
      </c>
      <c r="E120" s="27">
        <v>174.0</v>
      </c>
      <c r="F120" s="27">
        <v>103.0</v>
      </c>
      <c r="G120" s="27">
        <v>0.0</v>
      </c>
      <c r="H120" s="27">
        <v>19.0</v>
      </c>
    </row>
    <row r="121" ht="15.75" customHeight="1">
      <c r="A121" s="22" t="str">
        <f t="shared" si="3"/>
        <v>miércoles</v>
      </c>
      <c r="B121" s="24" t="str">
        <f t="shared" si="4"/>
        <v>enero</v>
      </c>
      <c r="C121" s="37">
        <v>46036.0</v>
      </c>
      <c r="D121" s="26" t="s">
        <v>65</v>
      </c>
      <c r="E121" s="27">
        <v>34.0</v>
      </c>
      <c r="F121" s="27">
        <v>27.0</v>
      </c>
      <c r="G121" s="27">
        <v>5.0</v>
      </c>
      <c r="H121" s="27">
        <v>2.0</v>
      </c>
    </row>
    <row r="122" ht="15.75" customHeight="1">
      <c r="A122" s="22" t="str">
        <f t="shared" si="3"/>
        <v>miércoles</v>
      </c>
      <c r="B122" s="24" t="str">
        <f t="shared" si="4"/>
        <v>enero</v>
      </c>
      <c r="C122" s="37">
        <v>46036.0</v>
      </c>
      <c r="D122" s="26" t="s">
        <v>66</v>
      </c>
      <c r="E122" s="27">
        <v>114.0</v>
      </c>
      <c r="F122" s="27">
        <v>108.0</v>
      </c>
      <c r="G122" s="27">
        <v>0.0</v>
      </c>
      <c r="H122" s="27">
        <v>3.0</v>
      </c>
    </row>
    <row r="123" ht="15.75" customHeight="1">
      <c r="A123" s="22" t="str">
        <f t="shared" si="3"/>
        <v>jueves</v>
      </c>
      <c r="B123" s="24" t="str">
        <f t="shared" si="4"/>
        <v>enero</v>
      </c>
      <c r="C123" s="37">
        <v>46037.0</v>
      </c>
      <c r="D123" s="22" t="s">
        <v>107</v>
      </c>
      <c r="E123" s="27">
        <v>110.0</v>
      </c>
      <c r="F123" s="27">
        <v>59.0</v>
      </c>
      <c r="G123" s="27">
        <v>0.0</v>
      </c>
      <c r="H123" s="27">
        <v>0.0</v>
      </c>
    </row>
    <row r="124" ht="15.75" customHeight="1">
      <c r="A124" s="22" t="str">
        <f t="shared" si="3"/>
        <v>jueves</v>
      </c>
      <c r="B124" s="24" t="str">
        <f t="shared" si="4"/>
        <v>enero</v>
      </c>
      <c r="C124" s="37">
        <v>46037.0</v>
      </c>
      <c r="D124" s="26" t="s">
        <v>40</v>
      </c>
      <c r="E124" s="27">
        <v>58.0</v>
      </c>
      <c r="F124" s="27">
        <v>35.0</v>
      </c>
      <c r="G124" s="27">
        <v>6.0</v>
      </c>
      <c r="H124" s="27">
        <v>6.0</v>
      </c>
    </row>
    <row r="125" ht="15.75" customHeight="1">
      <c r="A125" s="22" t="str">
        <f t="shared" si="3"/>
        <v>jueves</v>
      </c>
      <c r="B125" s="24" t="str">
        <f t="shared" si="4"/>
        <v>enero</v>
      </c>
      <c r="C125" s="37">
        <v>46037.0</v>
      </c>
      <c r="D125" s="26" t="s">
        <v>41</v>
      </c>
      <c r="E125" s="27">
        <v>64.0</v>
      </c>
      <c r="F125" s="27">
        <v>45.0</v>
      </c>
      <c r="G125" s="27">
        <v>0.0</v>
      </c>
      <c r="H125" s="27">
        <v>9.0</v>
      </c>
    </row>
    <row r="126" ht="15.75" customHeight="1">
      <c r="A126" s="22" t="str">
        <f t="shared" si="3"/>
        <v>jueves</v>
      </c>
      <c r="B126" s="24" t="str">
        <f t="shared" si="4"/>
        <v>enero</v>
      </c>
      <c r="C126" s="37">
        <v>46037.0</v>
      </c>
      <c r="D126" s="26" t="s">
        <v>42</v>
      </c>
      <c r="E126" s="27">
        <v>53.0</v>
      </c>
      <c r="F126" s="27">
        <v>34.0</v>
      </c>
      <c r="G126" s="27">
        <v>3.0</v>
      </c>
      <c r="H126" s="27">
        <v>6.0</v>
      </c>
    </row>
    <row r="127" ht="15.75" customHeight="1">
      <c r="A127" s="22" t="str">
        <f t="shared" si="3"/>
        <v>jueves</v>
      </c>
      <c r="B127" s="24" t="str">
        <f t="shared" si="4"/>
        <v>enero</v>
      </c>
      <c r="C127" s="37">
        <v>46037.0</v>
      </c>
      <c r="D127" s="22" t="s">
        <v>117</v>
      </c>
      <c r="E127" s="27">
        <v>118.0</v>
      </c>
      <c r="F127" s="27">
        <v>66.0</v>
      </c>
      <c r="G127" s="27">
        <v>0.0</v>
      </c>
      <c r="H127" s="27">
        <v>0.0</v>
      </c>
    </row>
    <row r="128" ht="15.75" customHeight="1">
      <c r="A128" s="22" t="str">
        <f t="shared" si="3"/>
        <v>jueves</v>
      </c>
      <c r="B128" s="24" t="str">
        <f t="shared" si="4"/>
        <v>enero</v>
      </c>
      <c r="C128" s="37">
        <v>46037.0</v>
      </c>
      <c r="D128" s="26" t="s">
        <v>51</v>
      </c>
      <c r="E128" s="27">
        <v>27.0</v>
      </c>
      <c r="F128" s="27">
        <v>23.0</v>
      </c>
      <c r="G128" s="27">
        <v>2.0</v>
      </c>
      <c r="H128" s="27">
        <v>8.0</v>
      </c>
    </row>
    <row r="129" ht="15.75" customHeight="1">
      <c r="A129" s="22" t="str">
        <f t="shared" si="3"/>
        <v>jueves</v>
      </c>
      <c r="B129" s="24" t="str">
        <f t="shared" si="4"/>
        <v>enero</v>
      </c>
      <c r="C129" s="37">
        <v>46037.0</v>
      </c>
      <c r="D129" s="22" t="s">
        <v>89</v>
      </c>
      <c r="E129" s="27">
        <v>59.0</v>
      </c>
      <c r="F129" s="27">
        <v>31.0</v>
      </c>
      <c r="G129" s="27">
        <v>0.0</v>
      </c>
      <c r="H129" s="27">
        <v>0.0</v>
      </c>
    </row>
    <row r="130" ht="15.75" customHeight="1">
      <c r="A130" s="22" t="str">
        <f t="shared" si="3"/>
        <v>jueves</v>
      </c>
      <c r="B130" s="24" t="str">
        <f t="shared" si="4"/>
        <v>enero</v>
      </c>
      <c r="C130" s="37">
        <v>46037.0</v>
      </c>
      <c r="D130" s="26" t="s">
        <v>67</v>
      </c>
      <c r="E130" s="27">
        <v>59.0</v>
      </c>
      <c r="F130" s="27">
        <v>51.0</v>
      </c>
      <c r="G130" s="27">
        <v>2.0</v>
      </c>
      <c r="H130" s="27">
        <v>2.0</v>
      </c>
    </row>
    <row r="131" ht="15.75" customHeight="1">
      <c r="A131" s="22" t="str">
        <f t="shared" si="3"/>
        <v>jueves</v>
      </c>
      <c r="B131" s="24" t="str">
        <f t="shared" si="4"/>
        <v>enero</v>
      </c>
      <c r="C131" s="37">
        <v>46037.0</v>
      </c>
      <c r="D131" s="26" t="s">
        <v>58</v>
      </c>
      <c r="E131" s="27">
        <v>68.0</v>
      </c>
      <c r="F131" s="27">
        <v>50.0</v>
      </c>
      <c r="G131" s="27">
        <v>4.0</v>
      </c>
      <c r="H131" s="27">
        <v>8.0</v>
      </c>
    </row>
    <row r="132" ht="15.75" customHeight="1">
      <c r="A132" s="22" t="str">
        <f t="shared" si="3"/>
        <v>jueves</v>
      </c>
      <c r="B132" s="24" t="str">
        <f t="shared" si="4"/>
        <v>enero</v>
      </c>
      <c r="C132" s="37">
        <v>46037.0</v>
      </c>
      <c r="D132" s="22" t="s">
        <v>127</v>
      </c>
      <c r="E132" s="27">
        <v>0.0</v>
      </c>
      <c r="F132" s="27">
        <v>0.0</v>
      </c>
      <c r="G132" s="27">
        <v>0.0</v>
      </c>
      <c r="H132" s="27">
        <v>0.0</v>
      </c>
    </row>
    <row r="133" ht="15.75" customHeight="1">
      <c r="A133" s="22" t="str">
        <f t="shared" si="3"/>
        <v>jueves</v>
      </c>
      <c r="B133" s="24" t="str">
        <f t="shared" si="4"/>
        <v>enero</v>
      </c>
      <c r="C133" s="37">
        <v>46037.0</v>
      </c>
      <c r="D133" s="26" t="s">
        <v>52</v>
      </c>
      <c r="E133" s="27">
        <v>45.0</v>
      </c>
      <c r="F133" s="27">
        <v>43.0</v>
      </c>
      <c r="G133" s="27">
        <v>2.0</v>
      </c>
      <c r="H133" s="27">
        <v>1.0</v>
      </c>
    </row>
    <row r="134" ht="15.75" customHeight="1">
      <c r="A134" s="22" t="str">
        <f t="shared" si="3"/>
        <v>jueves</v>
      </c>
      <c r="B134" s="24" t="str">
        <f t="shared" si="4"/>
        <v>enero</v>
      </c>
      <c r="C134" s="37">
        <v>46037.0</v>
      </c>
      <c r="D134" s="26" t="s">
        <v>53</v>
      </c>
      <c r="E134" s="27">
        <v>27.0</v>
      </c>
      <c r="F134" s="27">
        <v>23.0</v>
      </c>
      <c r="G134" s="27">
        <v>0.0</v>
      </c>
      <c r="H134" s="27">
        <v>0.0</v>
      </c>
    </row>
    <row r="135" ht="15.75" customHeight="1">
      <c r="A135" s="22" t="str">
        <f t="shared" si="3"/>
        <v>jueves</v>
      </c>
      <c r="B135" s="24" t="str">
        <f t="shared" si="4"/>
        <v>enero</v>
      </c>
      <c r="C135" s="37">
        <v>46037.0</v>
      </c>
      <c r="D135" s="26" t="s">
        <v>64</v>
      </c>
      <c r="E135" s="27">
        <v>128.0</v>
      </c>
      <c r="F135" s="27">
        <v>94.0</v>
      </c>
      <c r="G135" s="27">
        <v>6.0</v>
      </c>
      <c r="H135" s="27">
        <v>8.0</v>
      </c>
    </row>
    <row r="136" ht="15.75" customHeight="1">
      <c r="A136" s="22" t="str">
        <f t="shared" si="3"/>
        <v>jueves</v>
      </c>
      <c r="B136" s="24" t="str">
        <f t="shared" si="4"/>
        <v>enero</v>
      </c>
      <c r="C136" s="37">
        <v>46037.0</v>
      </c>
      <c r="D136" s="26" t="s">
        <v>65</v>
      </c>
      <c r="E136" s="27">
        <v>65.0</v>
      </c>
      <c r="F136" s="27">
        <v>52.0</v>
      </c>
      <c r="G136" s="27">
        <v>5.0</v>
      </c>
      <c r="H136" s="27">
        <v>2.0</v>
      </c>
    </row>
    <row r="137" ht="15.75" customHeight="1">
      <c r="A137" s="22" t="str">
        <f t="shared" si="3"/>
        <v>jueves</v>
      </c>
      <c r="B137" s="24" t="str">
        <f t="shared" si="4"/>
        <v>enero</v>
      </c>
      <c r="C137" s="37">
        <v>46037.0</v>
      </c>
      <c r="D137" s="26" t="s">
        <v>66</v>
      </c>
      <c r="E137" s="27">
        <v>105.0</v>
      </c>
      <c r="F137" s="27">
        <v>104.0</v>
      </c>
      <c r="G137" s="27">
        <v>1.0</v>
      </c>
      <c r="H137" s="27">
        <v>4.0</v>
      </c>
    </row>
    <row r="138" ht="15.75" customHeight="1">
      <c r="A138" s="22" t="str">
        <f t="shared" si="3"/>
        <v>viernes</v>
      </c>
      <c r="B138" s="24" t="str">
        <f t="shared" si="4"/>
        <v>enero</v>
      </c>
      <c r="C138" s="37">
        <v>46038.0</v>
      </c>
      <c r="D138" s="22" t="s">
        <v>116</v>
      </c>
      <c r="E138" s="27">
        <v>21.0</v>
      </c>
      <c r="F138" s="27">
        <v>14.0</v>
      </c>
      <c r="G138" s="27">
        <v>8.0</v>
      </c>
      <c r="H138" s="27">
        <v>2.0</v>
      </c>
    </row>
    <row r="139" ht="15.75" customHeight="1">
      <c r="A139" s="22" t="str">
        <f t="shared" si="3"/>
        <v>viernes</v>
      </c>
      <c r="B139" s="24" t="str">
        <f t="shared" si="4"/>
        <v>enero</v>
      </c>
      <c r="C139" s="37">
        <v>46038.0</v>
      </c>
      <c r="D139" s="26" t="s">
        <v>40</v>
      </c>
      <c r="E139" s="27">
        <v>51.0</v>
      </c>
      <c r="F139" s="27">
        <v>35.0</v>
      </c>
      <c r="G139" s="27">
        <v>4.0</v>
      </c>
      <c r="H139" s="27">
        <v>5.0</v>
      </c>
    </row>
    <row r="140" ht="15.75" customHeight="1">
      <c r="A140" s="22" t="str">
        <f t="shared" si="3"/>
        <v>viernes</v>
      </c>
      <c r="B140" s="24" t="str">
        <f t="shared" si="4"/>
        <v>enero</v>
      </c>
      <c r="C140" s="37">
        <v>46038.0</v>
      </c>
      <c r="D140" s="26" t="s">
        <v>51</v>
      </c>
      <c r="E140" s="27">
        <v>50.0</v>
      </c>
      <c r="F140" s="27">
        <v>35.0</v>
      </c>
      <c r="G140" s="27">
        <v>2.0</v>
      </c>
      <c r="H140" s="27">
        <v>12.0</v>
      </c>
    </row>
    <row r="141" ht="15.75" customHeight="1">
      <c r="A141" s="22" t="str">
        <f t="shared" si="3"/>
        <v>viernes</v>
      </c>
      <c r="B141" s="24" t="str">
        <f t="shared" si="4"/>
        <v>enero</v>
      </c>
      <c r="C141" s="37">
        <v>46038.0</v>
      </c>
      <c r="D141" s="26" t="s">
        <v>58</v>
      </c>
      <c r="E141" s="27">
        <v>49.0</v>
      </c>
      <c r="F141" s="27">
        <v>33.0</v>
      </c>
      <c r="G141" s="27">
        <v>2.0</v>
      </c>
      <c r="H141" s="27">
        <v>1.0</v>
      </c>
    </row>
    <row r="142" ht="15.75" customHeight="1">
      <c r="A142" s="22" t="str">
        <f t="shared" si="3"/>
        <v>viernes</v>
      </c>
      <c r="B142" s="24" t="str">
        <f t="shared" si="4"/>
        <v>enero</v>
      </c>
      <c r="C142" s="37">
        <v>46038.0</v>
      </c>
      <c r="D142" s="26" t="s">
        <v>52</v>
      </c>
      <c r="E142" s="27">
        <v>45.0</v>
      </c>
      <c r="F142" s="27">
        <v>33.0</v>
      </c>
      <c r="G142" s="27">
        <v>6.0</v>
      </c>
      <c r="H142" s="27">
        <v>1.0</v>
      </c>
    </row>
    <row r="143" ht="15.75" customHeight="1">
      <c r="A143" s="22" t="str">
        <f t="shared" si="3"/>
        <v>viernes</v>
      </c>
      <c r="B143" s="24" t="str">
        <f t="shared" si="4"/>
        <v>enero</v>
      </c>
      <c r="C143" s="37">
        <v>46038.0</v>
      </c>
      <c r="D143" s="26" t="s">
        <v>53</v>
      </c>
      <c r="E143" s="27">
        <v>86.0</v>
      </c>
      <c r="F143" s="27">
        <v>58.0</v>
      </c>
      <c r="G143" s="27">
        <v>0.0</v>
      </c>
      <c r="H143" s="27">
        <v>6.0</v>
      </c>
    </row>
    <row r="144" ht="15.75" customHeight="1">
      <c r="A144" s="22" t="str">
        <f t="shared" si="3"/>
        <v>viernes</v>
      </c>
      <c r="B144" s="24" t="str">
        <f t="shared" si="4"/>
        <v>enero</v>
      </c>
      <c r="C144" s="37">
        <v>46038.0</v>
      </c>
      <c r="D144" s="26" t="s">
        <v>64</v>
      </c>
      <c r="E144" s="27">
        <v>121.0</v>
      </c>
      <c r="F144" s="27">
        <v>70.0</v>
      </c>
      <c r="G144" s="27">
        <v>2.0</v>
      </c>
      <c r="H144" s="27">
        <v>7.0</v>
      </c>
    </row>
    <row r="145" ht="15.75" customHeight="1">
      <c r="A145" s="22" t="str">
        <f t="shared" si="3"/>
        <v>viernes</v>
      </c>
      <c r="B145" s="24" t="str">
        <f t="shared" si="4"/>
        <v>enero</v>
      </c>
      <c r="C145" s="37">
        <v>46038.0</v>
      </c>
      <c r="D145" s="26" t="s">
        <v>65</v>
      </c>
      <c r="E145" s="27">
        <v>47.0</v>
      </c>
      <c r="F145" s="27">
        <v>36.0</v>
      </c>
      <c r="G145" s="27">
        <v>5.0</v>
      </c>
      <c r="H145" s="27">
        <v>3.0</v>
      </c>
    </row>
    <row r="146" ht="15.75" customHeight="1">
      <c r="A146" s="22" t="str">
        <f t="shared" si="3"/>
        <v>viernes</v>
      </c>
      <c r="B146" s="24" t="str">
        <f t="shared" si="4"/>
        <v>enero</v>
      </c>
      <c r="C146" s="37">
        <v>46038.0</v>
      </c>
      <c r="D146" s="26" t="s">
        <v>66</v>
      </c>
      <c r="E146" s="27">
        <v>91.0</v>
      </c>
      <c r="F146" s="27">
        <v>71.0</v>
      </c>
      <c r="G146" s="27">
        <v>0.0</v>
      </c>
      <c r="H146" s="27">
        <v>7.0</v>
      </c>
    </row>
    <row r="147" ht="15.75" customHeight="1">
      <c r="A147" s="22" t="str">
        <f t="shared" si="3"/>
        <v>sábado</v>
      </c>
      <c r="B147" s="24" t="str">
        <f t="shared" si="4"/>
        <v>enero</v>
      </c>
      <c r="C147" s="37">
        <v>46039.0</v>
      </c>
      <c r="D147" s="26" t="s">
        <v>40</v>
      </c>
      <c r="E147" s="27">
        <v>45.0</v>
      </c>
      <c r="F147" s="27">
        <v>28.0</v>
      </c>
      <c r="G147" s="27">
        <v>2.0</v>
      </c>
      <c r="H147" s="27">
        <v>7.0</v>
      </c>
    </row>
    <row r="148" ht="15.75" customHeight="1">
      <c r="A148" s="22" t="str">
        <f t="shared" si="3"/>
        <v>sábado</v>
      </c>
      <c r="B148" s="24" t="str">
        <f t="shared" si="4"/>
        <v>enero</v>
      </c>
      <c r="C148" s="37">
        <v>46039.0</v>
      </c>
      <c r="D148" s="22" t="s">
        <v>43</v>
      </c>
      <c r="E148" s="27">
        <v>70.0</v>
      </c>
      <c r="F148" s="27">
        <v>46.0</v>
      </c>
      <c r="G148" s="27">
        <v>1.0</v>
      </c>
      <c r="H148" s="27">
        <v>13.0</v>
      </c>
    </row>
    <row r="149" ht="15.75" customHeight="1">
      <c r="A149" s="22" t="str">
        <f t="shared" si="3"/>
        <v>sábado</v>
      </c>
      <c r="B149" s="24" t="str">
        <f t="shared" si="4"/>
        <v>enero</v>
      </c>
      <c r="C149" s="37">
        <v>46039.0</v>
      </c>
      <c r="D149" s="26" t="s">
        <v>51</v>
      </c>
      <c r="E149" s="27">
        <v>43.0</v>
      </c>
      <c r="F149" s="27">
        <v>35.0</v>
      </c>
      <c r="G149" s="27">
        <v>1.0</v>
      </c>
      <c r="H149" s="27">
        <v>7.0</v>
      </c>
    </row>
    <row r="150" ht="15.75" customHeight="1">
      <c r="A150" s="22" t="str">
        <f t="shared" si="3"/>
        <v>sábado</v>
      </c>
      <c r="B150" s="24" t="str">
        <f t="shared" si="4"/>
        <v>enero</v>
      </c>
      <c r="C150" s="37">
        <v>46039.0</v>
      </c>
      <c r="D150" s="26" t="s">
        <v>52</v>
      </c>
      <c r="E150" s="27">
        <v>46.0</v>
      </c>
      <c r="F150" s="27">
        <v>36.0</v>
      </c>
      <c r="G150" s="27">
        <v>3.0</v>
      </c>
      <c r="H150" s="27">
        <v>2.0</v>
      </c>
    </row>
    <row r="151" ht="15.75" customHeight="1">
      <c r="A151" s="22" t="str">
        <f t="shared" si="3"/>
        <v>sábado</v>
      </c>
      <c r="B151" s="24" t="str">
        <f t="shared" si="4"/>
        <v>enero</v>
      </c>
      <c r="C151" s="37">
        <v>46039.0</v>
      </c>
      <c r="D151" s="26" t="s">
        <v>53</v>
      </c>
      <c r="E151" s="27">
        <v>126.0</v>
      </c>
      <c r="F151" s="27">
        <v>102.0</v>
      </c>
      <c r="G151" s="27">
        <v>1.0</v>
      </c>
      <c r="H151" s="27">
        <v>4.0</v>
      </c>
    </row>
    <row r="152" ht="15.75" customHeight="1">
      <c r="A152" s="22" t="str">
        <f t="shared" si="3"/>
        <v>sábado</v>
      </c>
      <c r="B152" s="24" t="str">
        <f t="shared" si="4"/>
        <v>enero</v>
      </c>
      <c r="C152" s="37">
        <v>46039.0</v>
      </c>
      <c r="D152" s="26" t="s">
        <v>60</v>
      </c>
      <c r="E152" s="27">
        <v>104.0</v>
      </c>
      <c r="F152" s="27">
        <v>59.0</v>
      </c>
      <c r="G152" s="27">
        <v>2.0</v>
      </c>
      <c r="H152" s="27">
        <v>16.0</v>
      </c>
    </row>
    <row r="153" ht="15.75" customHeight="1">
      <c r="A153" s="22" t="str">
        <f t="shared" si="3"/>
        <v>domingo</v>
      </c>
      <c r="B153" s="24" t="str">
        <f t="shared" si="4"/>
        <v>enero</v>
      </c>
      <c r="C153" s="37">
        <v>46040.0</v>
      </c>
      <c r="D153" s="26" t="s">
        <v>39</v>
      </c>
      <c r="E153" s="27">
        <v>54.0</v>
      </c>
      <c r="F153" s="27">
        <v>14.0</v>
      </c>
      <c r="G153" s="27">
        <v>1.0</v>
      </c>
      <c r="H153" s="27">
        <v>2.0</v>
      </c>
    </row>
    <row r="154" ht="15.75" customHeight="1">
      <c r="A154" s="22" t="str">
        <f t="shared" si="3"/>
        <v>domingo</v>
      </c>
      <c r="B154" s="24" t="str">
        <f t="shared" si="4"/>
        <v>enero</v>
      </c>
      <c r="C154" s="37">
        <v>46040.0</v>
      </c>
      <c r="D154" s="22" t="s">
        <v>116</v>
      </c>
      <c r="E154" s="27">
        <v>30.0</v>
      </c>
      <c r="F154" s="27">
        <v>26.0</v>
      </c>
      <c r="G154" s="27">
        <v>3.0</v>
      </c>
      <c r="H154" s="27">
        <v>2.0</v>
      </c>
    </row>
    <row r="155" ht="15.75" customHeight="1">
      <c r="A155" s="22" t="str">
        <f t="shared" si="3"/>
        <v>domingo</v>
      </c>
      <c r="B155" s="24" t="str">
        <f t="shared" si="4"/>
        <v>enero</v>
      </c>
      <c r="C155" s="37">
        <v>46040.0</v>
      </c>
      <c r="D155" s="26" t="s">
        <v>40</v>
      </c>
      <c r="E155" s="27">
        <v>52.0</v>
      </c>
      <c r="F155" s="27">
        <v>28.0</v>
      </c>
      <c r="G155" s="27">
        <v>5.0</v>
      </c>
      <c r="H155" s="27">
        <v>8.0</v>
      </c>
    </row>
    <row r="156" ht="15.75" customHeight="1">
      <c r="A156" s="22" t="str">
        <f t="shared" si="3"/>
        <v>domingo</v>
      </c>
      <c r="B156" s="24" t="str">
        <f t="shared" si="4"/>
        <v>enero</v>
      </c>
      <c r="C156" s="37">
        <v>46040.0</v>
      </c>
      <c r="D156" s="22" t="s">
        <v>43</v>
      </c>
      <c r="E156" s="27">
        <v>77.0</v>
      </c>
      <c r="F156" s="27">
        <v>54.0</v>
      </c>
      <c r="G156" s="27">
        <v>3.0</v>
      </c>
      <c r="H156" s="27">
        <v>14.0</v>
      </c>
    </row>
    <row r="157" ht="15.75" customHeight="1">
      <c r="A157" s="22" t="str">
        <f t="shared" si="3"/>
        <v>domingo</v>
      </c>
      <c r="B157" s="24" t="str">
        <f t="shared" si="4"/>
        <v>enero</v>
      </c>
      <c r="C157" s="37">
        <v>46040.0</v>
      </c>
      <c r="D157" s="26" t="s">
        <v>52</v>
      </c>
      <c r="E157" s="27">
        <v>55.0</v>
      </c>
      <c r="F157" s="27">
        <v>30.0</v>
      </c>
      <c r="G157" s="27">
        <v>2.0</v>
      </c>
      <c r="H157" s="27">
        <v>6.0</v>
      </c>
    </row>
    <row r="158" ht="15.75" customHeight="1">
      <c r="A158" s="22" t="str">
        <f t="shared" si="3"/>
        <v>domingo</v>
      </c>
      <c r="B158" s="24" t="str">
        <f t="shared" si="4"/>
        <v>enero</v>
      </c>
      <c r="C158" s="37">
        <v>46040.0</v>
      </c>
      <c r="D158" s="26" t="s">
        <v>53</v>
      </c>
      <c r="E158" s="27">
        <v>110.0</v>
      </c>
      <c r="F158" s="27">
        <v>72.0</v>
      </c>
      <c r="G158" s="27">
        <v>0.0</v>
      </c>
      <c r="H158" s="27">
        <v>7.0</v>
      </c>
    </row>
    <row r="159" ht="15.75" customHeight="1">
      <c r="A159" s="22" t="str">
        <f t="shared" si="3"/>
        <v>domingo</v>
      </c>
      <c r="B159" s="24" t="str">
        <f t="shared" si="4"/>
        <v>enero</v>
      </c>
      <c r="C159" s="37">
        <v>46040.0</v>
      </c>
      <c r="D159" s="26" t="s">
        <v>60</v>
      </c>
      <c r="E159" s="27">
        <v>105.0</v>
      </c>
      <c r="F159" s="27">
        <v>45.0</v>
      </c>
      <c r="G159" s="27">
        <v>1.0</v>
      </c>
      <c r="H159" s="27">
        <v>10.0</v>
      </c>
    </row>
    <row r="160" ht="15.75" customHeight="1">
      <c r="A160" s="22" t="str">
        <f t="shared" si="3"/>
        <v>lunes</v>
      </c>
      <c r="B160" s="24" t="str">
        <f t="shared" si="4"/>
        <v>enero</v>
      </c>
      <c r="C160" s="37">
        <v>46041.0</v>
      </c>
      <c r="D160" s="26" t="s">
        <v>39</v>
      </c>
      <c r="E160" s="27">
        <v>71.0</v>
      </c>
      <c r="F160" s="27">
        <v>48.0</v>
      </c>
      <c r="G160" s="27">
        <v>1.0</v>
      </c>
      <c r="H160" s="27">
        <v>10.0</v>
      </c>
    </row>
    <row r="161" ht="15.75" customHeight="1">
      <c r="A161" s="22" t="str">
        <f t="shared" si="3"/>
        <v>lunes</v>
      </c>
      <c r="B161" s="24" t="str">
        <f t="shared" si="4"/>
        <v>enero</v>
      </c>
      <c r="C161" s="37">
        <v>46041.0</v>
      </c>
      <c r="D161" s="26" t="s">
        <v>41</v>
      </c>
      <c r="E161" s="27">
        <v>74.0</v>
      </c>
      <c r="F161" s="27">
        <v>51.0</v>
      </c>
      <c r="G161" s="27">
        <v>1.0</v>
      </c>
      <c r="H161" s="27">
        <v>1.0</v>
      </c>
    </row>
    <row r="162" ht="15.75" customHeight="1">
      <c r="A162" s="22" t="str">
        <f t="shared" si="3"/>
        <v>lunes</v>
      </c>
      <c r="B162" s="24" t="str">
        <f t="shared" si="4"/>
        <v>enero</v>
      </c>
      <c r="C162" s="37">
        <v>46041.0</v>
      </c>
      <c r="D162" s="26" t="s">
        <v>42</v>
      </c>
      <c r="E162" s="27">
        <v>102.0</v>
      </c>
      <c r="F162" s="27">
        <v>77.0</v>
      </c>
      <c r="G162" s="27">
        <v>2.0</v>
      </c>
      <c r="H162" s="27">
        <v>2.0</v>
      </c>
    </row>
    <row r="163" ht="15.75" customHeight="1">
      <c r="A163" s="22" t="str">
        <f t="shared" si="3"/>
        <v>lunes</v>
      </c>
      <c r="B163" s="24" t="str">
        <f t="shared" si="4"/>
        <v>enero</v>
      </c>
      <c r="C163" s="37">
        <v>46041.0</v>
      </c>
      <c r="D163" s="26" t="s">
        <v>44</v>
      </c>
      <c r="E163" s="27">
        <v>50.0</v>
      </c>
      <c r="F163" s="27">
        <v>44.0</v>
      </c>
      <c r="G163" s="27">
        <v>0.0</v>
      </c>
      <c r="H163" s="27">
        <v>0.0</v>
      </c>
    </row>
    <row r="164" ht="15.75" customHeight="1">
      <c r="A164" s="22" t="str">
        <f t="shared" si="3"/>
        <v>lunes</v>
      </c>
      <c r="B164" s="24" t="str">
        <f t="shared" si="4"/>
        <v>enero</v>
      </c>
      <c r="C164" s="37">
        <v>46041.0</v>
      </c>
      <c r="D164" s="22" t="s">
        <v>89</v>
      </c>
      <c r="E164" s="27">
        <v>67.0</v>
      </c>
      <c r="F164" s="27">
        <v>34.0</v>
      </c>
      <c r="G164" s="27">
        <v>0.0</v>
      </c>
      <c r="H164" s="27">
        <v>0.0</v>
      </c>
    </row>
    <row r="165" ht="15.75" customHeight="1">
      <c r="A165" s="22" t="str">
        <f t="shared" si="3"/>
        <v>lunes</v>
      </c>
      <c r="B165" s="24" t="str">
        <f t="shared" si="4"/>
        <v>enero</v>
      </c>
      <c r="C165" s="37">
        <v>46041.0</v>
      </c>
      <c r="D165" s="22" t="s">
        <v>90</v>
      </c>
      <c r="E165" s="27">
        <v>141.0</v>
      </c>
      <c r="F165" s="27">
        <v>58.0</v>
      </c>
      <c r="G165" s="27">
        <v>0.0</v>
      </c>
      <c r="H165" s="27">
        <v>0.0</v>
      </c>
    </row>
    <row r="166" ht="15.75" customHeight="1">
      <c r="A166" s="22" t="str">
        <f t="shared" si="3"/>
        <v>lunes</v>
      </c>
      <c r="B166" s="24" t="str">
        <f t="shared" si="4"/>
        <v>enero</v>
      </c>
      <c r="C166" s="37">
        <v>46041.0</v>
      </c>
      <c r="D166" s="26" t="s">
        <v>59</v>
      </c>
      <c r="E166" s="27">
        <v>87.0</v>
      </c>
      <c r="F166" s="27">
        <v>68.0</v>
      </c>
      <c r="G166" s="27">
        <v>1.0</v>
      </c>
      <c r="H166" s="27">
        <v>0.0</v>
      </c>
    </row>
    <row r="167" ht="15.75" customHeight="1">
      <c r="A167" s="22" t="str">
        <f t="shared" si="3"/>
        <v>lunes</v>
      </c>
      <c r="B167" s="24" t="str">
        <f t="shared" si="4"/>
        <v>enero</v>
      </c>
      <c r="C167" s="37">
        <v>46041.0</v>
      </c>
      <c r="D167" s="26" t="s">
        <v>67</v>
      </c>
      <c r="E167" s="27">
        <v>81.0</v>
      </c>
      <c r="F167" s="27">
        <v>69.0</v>
      </c>
      <c r="G167" s="27">
        <v>8.0</v>
      </c>
      <c r="H167" s="27">
        <v>2.0</v>
      </c>
    </row>
    <row r="168" ht="15.75" customHeight="1">
      <c r="A168" s="22" t="str">
        <f t="shared" si="3"/>
        <v>lunes</v>
      </c>
      <c r="B168" s="24" t="str">
        <f t="shared" si="4"/>
        <v>enero</v>
      </c>
      <c r="C168" s="37">
        <v>46041.0</v>
      </c>
      <c r="D168" s="22" t="s">
        <v>93</v>
      </c>
      <c r="E168" s="27">
        <v>90.0</v>
      </c>
      <c r="F168" s="27">
        <v>67.0</v>
      </c>
      <c r="G168" s="27">
        <v>0.0</v>
      </c>
      <c r="H168" s="27">
        <v>0.0</v>
      </c>
    </row>
    <row r="169" ht="15.75" customHeight="1">
      <c r="A169" s="22" t="str">
        <f t="shared" si="3"/>
        <v>lunes</v>
      </c>
      <c r="B169" s="24" t="str">
        <f t="shared" si="4"/>
        <v>enero</v>
      </c>
      <c r="C169" s="37">
        <v>46041.0</v>
      </c>
      <c r="D169" s="26" t="s">
        <v>58</v>
      </c>
      <c r="E169" s="27">
        <v>89.0</v>
      </c>
      <c r="F169" s="27">
        <v>63.0</v>
      </c>
      <c r="G169" s="27">
        <v>7.0</v>
      </c>
      <c r="H169" s="27">
        <v>6.0</v>
      </c>
    </row>
    <row r="170" ht="15.75" customHeight="1">
      <c r="A170" s="22" t="str">
        <f t="shared" si="3"/>
        <v>lunes</v>
      </c>
      <c r="B170" s="24" t="str">
        <f t="shared" si="4"/>
        <v>enero</v>
      </c>
      <c r="C170" s="37">
        <v>46041.0</v>
      </c>
      <c r="D170" s="26" t="s">
        <v>65</v>
      </c>
      <c r="E170" s="27">
        <v>23.0</v>
      </c>
      <c r="F170" s="27">
        <v>15.0</v>
      </c>
      <c r="G170" s="27">
        <v>3.0</v>
      </c>
      <c r="H170" s="27">
        <v>2.0</v>
      </c>
    </row>
    <row r="171" ht="15.75" customHeight="1">
      <c r="A171" s="22" t="str">
        <f t="shared" si="3"/>
        <v>lunes</v>
      </c>
      <c r="B171" s="24" t="str">
        <f t="shared" si="4"/>
        <v>enero</v>
      </c>
      <c r="C171" s="37">
        <v>46041.0</v>
      </c>
      <c r="D171" s="26" t="s">
        <v>60</v>
      </c>
      <c r="E171" s="27">
        <v>120.0</v>
      </c>
      <c r="F171" s="27">
        <v>39.0</v>
      </c>
      <c r="G171" s="27">
        <v>3.0</v>
      </c>
      <c r="H171" s="27">
        <v>5.0</v>
      </c>
    </row>
    <row r="172" ht="15.75" customHeight="1">
      <c r="A172" s="22" t="str">
        <f t="shared" si="3"/>
        <v>martes</v>
      </c>
      <c r="B172" s="24" t="str">
        <f t="shared" si="4"/>
        <v>enero</v>
      </c>
      <c r="C172" s="37">
        <v>46042.0</v>
      </c>
      <c r="D172" s="26" t="s">
        <v>39</v>
      </c>
      <c r="E172" s="27">
        <v>99.0</v>
      </c>
      <c r="F172" s="27">
        <v>62.0</v>
      </c>
      <c r="G172" s="27">
        <v>3.0</v>
      </c>
      <c r="H172" s="27">
        <v>15.0</v>
      </c>
    </row>
    <row r="173" ht="15.75" customHeight="1">
      <c r="A173" s="22" t="str">
        <f t="shared" si="3"/>
        <v>martes</v>
      </c>
      <c r="B173" s="24" t="str">
        <f t="shared" si="4"/>
        <v>enero</v>
      </c>
      <c r="C173" s="37">
        <v>46042.0</v>
      </c>
      <c r="D173" s="26" t="s">
        <v>42</v>
      </c>
      <c r="E173" s="27">
        <v>106.0</v>
      </c>
      <c r="F173" s="27">
        <v>68.0</v>
      </c>
      <c r="G173" s="27">
        <v>2.0</v>
      </c>
      <c r="H173" s="27">
        <v>15.0</v>
      </c>
    </row>
    <row r="174" ht="15.75" customHeight="1">
      <c r="A174" s="22" t="str">
        <f t="shared" si="3"/>
        <v>martes</v>
      </c>
      <c r="B174" s="24" t="str">
        <f t="shared" si="4"/>
        <v>enero</v>
      </c>
      <c r="C174" s="37">
        <v>46042.0</v>
      </c>
      <c r="D174" s="22" t="s">
        <v>89</v>
      </c>
      <c r="E174" s="27">
        <v>130.0</v>
      </c>
      <c r="F174" s="27">
        <v>64.0</v>
      </c>
      <c r="G174" s="27">
        <v>0.0</v>
      </c>
      <c r="H174" s="27">
        <v>0.0</v>
      </c>
    </row>
    <row r="175" ht="15.75" customHeight="1">
      <c r="A175" s="22" t="str">
        <f t="shared" si="3"/>
        <v>martes</v>
      </c>
      <c r="B175" s="24" t="str">
        <f t="shared" si="4"/>
        <v>enero</v>
      </c>
      <c r="C175" s="37">
        <v>46042.0</v>
      </c>
      <c r="D175" s="22" t="s">
        <v>90</v>
      </c>
      <c r="E175" s="27">
        <v>157.0</v>
      </c>
      <c r="F175" s="27">
        <v>61.0</v>
      </c>
      <c r="G175" s="27">
        <v>0.0</v>
      </c>
      <c r="H175" s="27">
        <v>0.0</v>
      </c>
    </row>
    <row r="176" ht="15.75" customHeight="1">
      <c r="A176" s="22" t="str">
        <f t="shared" si="3"/>
        <v>martes</v>
      </c>
      <c r="B176" s="24" t="str">
        <f t="shared" si="4"/>
        <v>enero</v>
      </c>
      <c r="C176" s="37">
        <v>46042.0</v>
      </c>
      <c r="D176" s="26" t="s">
        <v>59</v>
      </c>
      <c r="E176" s="27">
        <v>133.0</v>
      </c>
      <c r="F176" s="27">
        <v>108.0</v>
      </c>
      <c r="G176" s="27">
        <v>2.0</v>
      </c>
      <c r="H176" s="27">
        <v>5.0</v>
      </c>
    </row>
    <row r="177" ht="15.75" customHeight="1">
      <c r="A177" s="22" t="str">
        <f t="shared" si="3"/>
        <v>martes</v>
      </c>
      <c r="B177" s="24" t="str">
        <f t="shared" si="4"/>
        <v>enero</v>
      </c>
      <c r="C177" s="37">
        <v>46042.0</v>
      </c>
      <c r="D177" s="26" t="s">
        <v>67</v>
      </c>
      <c r="E177" s="27">
        <v>79.0</v>
      </c>
      <c r="F177" s="27">
        <v>69.0</v>
      </c>
      <c r="G177" s="27">
        <v>7.0</v>
      </c>
      <c r="H177" s="27">
        <v>3.0</v>
      </c>
    </row>
    <row r="178" ht="15.75" customHeight="1">
      <c r="A178" s="22" t="str">
        <f t="shared" si="3"/>
        <v>martes</v>
      </c>
      <c r="B178" s="24" t="str">
        <f t="shared" si="4"/>
        <v>enero</v>
      </c>
      <c r="C178" s="37">
        <v>46042.0</v>
      </c>
      <c r="D178" s="22" t="s">
        <v>93</v>
      </c>
      <c r="E178" s="27">
        <v>103.0</v>
      </c>
      <c r="F178" s="27">
        <v>61.0</v>
      </c>
      <c r="G178" s="27">
        <v>0.0</v>
      </c>
      <c r="H178" s="27">
        <v>0.0</v>
      </c>
    </row>
    <row r="179" ht="15.75" customHeight="1">
      <c r="A179" s="22" t="str">
        <f t="shared" si="3"/>
        <v>martes</v>
      </c>
      <c r="B179" s="24" t="str">
        <f t="shared" si="4"/>
        <v>enero</v>
      </c>
      <c r="C179" s="37">
        <v>46042.0</v>
      </c>
      <c r="D179" s="26" t="s">
        <v>58</v>
      </c>
      <c r="E179" s="27">
        <v>66.0</v>
      </c>
      <c r="F179" s="27">
        <v>50.0</v>
      </c>
      <c r="G179" s="27">
        <v>11.0</v>
      </c>
      <c r="H179" s="27">
        <v>2.0</v>
      </c>
    </row>
    <row r="180" ht="15.75" customHeight="1">
      <c r="A180" s="22" t="str">
        <f t="shared" si="3"/>
        <v>martes</v>
      </c>
      <c r="B180" s="24" t="str">
        <f t="shared" si="4"/>
        <v>enero</v>
      </c>
      <c r="C180" s="37">
        <v>46042.0</v>
      </c>
      <c r="D180" s="26" t="s">
        <v>65</v>
      </c>
      <c r="E180" s="27">
        <v>76.0</v>
      </c>
      <c r="F180" s="27">
        <v>64.0</v>
      </c>
      <c r="G180" s="27">
        <v>13.0</v>
      </c>
      <c r="H180" s="27">
        <v>2.0</v>
      </c>
    </row>
    <row r="181" ht="15.75" customHeight="1">
      <c r="A181" s="22" t="str">
        <f t="shared" si="3"/>
        <v>martes</v>
      </c>
      <c r="B181" s="24" t="str">
        <f t="shared" si="4"/>
        <v>enero</v>
      </c>
      <c r="C181" s="37">
        <v>46042.0</v>
      </c>
      <c r="D181" s="26" t="s">
        <v>66</v>
      </c>
      <c r="E181" s="27">
        <v>78.0</v>
      </c>
      <c r="F181" s="27">
        <v>71.0</v>
      </c>
      <c r="G181" s="27">
        <v>0.0</v>
      </c>
      <c r="H181" s="27">
        <v>4.0</v>
      </c>
    </row>
    <row r="182" ht="15.75" customHeight="1">
      <c r="A182" s="22" t="str">
        <f t="shared" si="3"/>
        <v>miércoles</v>
      </c>
      <c r="B182" s="24" t="str">
        <f t="shared" si="4"/>
        <v>enero</v>
      </c>
      <c r="C182" s="37">
        <v>46043.0</v>
      </c>
      <c r="D182" s="26" t="s">
        <v>39</v>
      </c>
      <c r="E182" s="27">
        <v>87.0</v>
      </c>
      <c r="F182" s="27">
        <v>49.0</v>
      </c>
      <c r="G182" s="27">
        <v>1.0</v>
      </c>
      <c r="H182" s="27">
        <v>18.0</v>
      </c>
    </row>
    <row r="183" ht="15.75" customHeight="1">
      <c r="A183" s="22" t="str">
        <f t="shared" si="3"/>
        <v>miércoles</v>
      </c>
      <c r="B183" s="24" t="str">
        <f t="shared" si="4"/>
        <v>enero</v>
      </c>
      <c r="C183" s="37">
        <v>46043.0</v>
      </c>
      <c r="D183" s="22" t="s">
        <v>107</v>
      </c>
      <c r="E183" s="27">
        <v>81.0</v>
      </c>
      <c r="F183" s="27">
        <v>40.0</v>
      </c>
      <c r="G183" s="27">
        <v>0.0</v>
      </c>
      <c r="H183" s="27">
        <v>0.0</v>
      </c>
    </row>
    <row r="184" ht="15.75" customHeight="1">
      <c r="A184" s="22" t="str">
        <f t="shared" si="3"/>
        <v>miércoles</v>
      </c>
      <c r="B184" s="24" t="str">
        <f t="shared" si="4"/>
        <v>enero</v>
      </c>
      <c r="C184" s="37">
        <v>46043.0</v>
      </c>
      <c r="D184" s="26" t="s">
        <v>42</v>
      </c>
      <c r="E184" s="27">
        <v>131.0</v>
      </c>
      <c r="F184" s="27">
        <v>84.0</v>
      </c>
      <c r="G184" s="27">
        <v>2.0</v>
      </c>
      <c r="H184" s="27">
        <v>13.0</v>
      </c>
    </row>
    <row r="185" ht="15.75" customHeight="1">
      <c r="A185" s="22" t="str">
        <f t="shared" si="3"/>
        <v>miércoles</v>
      </c>
      <c r="B185" s="24" t="str">
        <f t="shared" si="4"/>
        <v>enero</v>
      </c>
      <c r="C185" s="37">
        <v>46043.0</v>
      </c>
      <c r="D185" s="22" t="s">
        <v>108</v>
      </c>
      <c r="E185" s="27">
        <v>75.0</v>
      </c>
      <c r="F185" s="27">
        <v>35.0</v>
      </c>
      <c r="G185" s="27">
        <v>2.0</v>
      </c>
      <c r="H185" s="27">
        <v>21.0</v>
      </c>
    </row>
    <row r="186" ht="15.75" customHeight="1">
      <c r="A186" s="22" t="str">
        <f t="shared" si="3"/>
        <v>miércoles</v>
      </c>
      <c r="B186" s="24" t="str">
        <f t="shared" si="4"/>
        <v>enero</v>
      </c>
      <c r="C186" s="37">
        <v>46043.0</v>
      </c>
      <c r="D186" s="26" t="s">
        <v>51</v>
      </c>
      <c r="E186" s="27">
        <v>79.0</v>
      </c>
      <c r="F186" s="27">
        <v>63.0</v>
      </c>
      <c r="G186" s="27">
        <v>4.0</v>
      </c>
      <c r="H186" s="27">
        <v>13.0</v>
      </c>
    </row>
    <row r="187" ht="15.75" customHeight="1">
      <c r="A187" s="22" t="str">
        <f t="shared" si="3"/>
        <v>miércoles</v>
      </c>
      <c r="B187" s="24" t="str">
        <f t="shared" si="4"/>
        <v>enero</v>
      </c>
      <c r="C187" s="37">
        <v>46043.0</v>
      </c>
      <c r="D187" s="22" t="s">
        <v>89</v>
      </c>
      <c r="E187" s="27">
        <v>0.0</v>
      </c>
      <c r="F187" s="27">
        <v>0.0</v>
      </c>
      <c r="G187" s="27">
        <v>0.0</v>
      </c>
      <c r="H187" s="27">
        <v>0.0</v>
      </c>
    </row>
    <row r="188" ht="15.75" customHeight="1">
      <c r="A188" s="22" t="str">
        <f t="shared" si="3"/>
        <v>miércoles</v>
      </c>
      <c r="B188" s="24" t="str">
        <f t="shared" si="4"/>
        <v>enero</v>
      </c>
      <c r="C188" s="37">
        <v>46043.0</v>
      </c>
      <c r="D188" s="26" t="s">
        <v>67</v>
      </c>
      <c r="E188" s="27">
        <v>102.0</v>
      </c>
      <c r="F188" s="27">
        <v>86.0</v>
      </c>
      <c r="G188" s="27">
        <v>7.0</v>
      </c>
      <c r="H188" s="27">
        <v>1.0</v>
      </c>
    </row>
    <row r="189" ht="15.75" customHeight="1">
      <c r="A189" s="22" t="str">
        <f t="shared" si="3"/>
        <v>miércoles</v>
      </c>
      <c r="B189" s="24" t="str">
        <f t="shared" si="4"/>
        <v>enero</v>
      </c>
      <c r="C189" s="37">
        <v>46043.0</v>
      </c>
      <c r="D189" s="22" t="s">
        <v>93</v>
      </c>
      <c r="E189" s="27">
        <v>83.0</v>
      </c>
      <c r="F189" s="27">
        <v>67.0</v>
      </c>
      <c r="G189" s="27">
        <v>0.0</v>
      </c>
      <c r="H189" s="27">
        <v>0.0</v>
      </c>
    </row>
    <row r="190" ht="15.75" customHeight="1">
      <c r="A190" s="22" t="str">
        <f t="shared" si="3"/>
        <v>miércoles</v>
      </c>
      <c r="B190" s="24" t="str">
        <f t="shared" si="4"/>
        <v>enero</v>
      </c>
      <c r="C190" s="37">
        <v>46043.0</v>
      </c>
      <c r="D190" s="26" t="s">
        <v>58</v>
      </c>
      <c r="E190" s="27">
        <v>77.0</v>
      </c>
      <c r="F190" s="27">
        <v>49.0</v>
      </c>
      <c r="G190" s="27">
        <v>6.0</v>
      </c>
      <c r="H190" s="27">
        <v>4.0</v>
      </c>
    </row>
    <row r="191" ht="15.75" customHeight="1">
      <c r="A191" s="22" t="str">
        <f t="shared" si="3"/>
        <v>miércoles</v>
      </c>
      <c r="B191" s="24" t="str">
        <f t="shared" si="4"/>
        <v>enero</v>
      </c>
      <c r="C191" s="37">
        <v>46043.0</v>
      </c>
      <c r="D191" s="26" t="s">
        <v>65</v>
      </c>
      <c r="E191" s="27">
        <v>71.0</v>
      </c>
      <c r="F191" s="27">
        <v>50.0</v>
      </c>
      <c r="G191" s="27">
        <v>4.0</v>
      </c>
      <c r="H191" s="27">
        <v>2.0</v>
      </c>
    </row>
    <row r="192" ht="15.75" customHeight="1">
      <c r="A192" s="22" t="str">
        <f t="shared" si="3"/>
        <v>miércoles</v>
      </c>
      <c r="B192" s="24" t="str">
        <f t="shared" si="4"/>
        <v>enero</v>
      </c>
      <c r="C192" s="37">
        <v>46043.0</v>
      </c>
      <c r="D192" s="26" t="s">
        <v>66</v>
      </c>
      <c r="E192" s="27">
        <v>103.0</v>
      </c>
      <c r="F192" s="27">
        <v>94.0</v>
      </c>
      <c r="G192" s="27">
        <v>0.0</v>
      </c>
      <c r="H192" s="27">
        <v>6.0</v>
      </c>
    </row>
    <row r="193" ht="15.75" customHeight="1">
      <c r="A193" s="22" t="str">
        <f t="shared" si="3"/>
        <v>jueves</v>
      </c>
      <c r="B193" s="24" t="str">
        <f t="shared" si="4"/>
        <v>enero</v>
      </c>
      <c r="C193" s="37">
        <v>46044.0</v>
      </c>
      <c r="D193" s="22" t="s">
        <v>107</v>
      </c>
      <c r="E193" s="27">
        <v>81.0</v>
      </c>
      <c r="F193" s="27">
        <v>29.0</v>
      </c>
      <c r="G193" s="27">
        <v>0.0</v>
      </c>
      <c r="H193" s="27">
        <v>0.0</v>
      </c>
    </row>
    <row r="194" ht="15.75" customHeight="1">
      <c r="A194" s="22" t="str">
        <f t="shared" si="3"/>
        <v>jueves</v>
      </c>
      <c r="B194" s="24" t="str">
        <f t="shared" si="4"/>
        <v>enero</v>
      </c>
      <c r="C194" s="37">
        <v>46044.0</v>
      </c>
      <c r="D194" s="26" t="s">
        <v>40</v>
      </c>
      <c r="E194" s="27">
        <v>87.0</v>
      </c>
      <c r="F194" s="27">
        <v>55.0</v>
      </c>
      <c r="G194" s="27">
        <v>4.0</v>
      </c>
      <c r="H194" s="27">
        <v>13.0</v>
      </c>
    </row>
    <row r="195" ht="15.75" customHeight="1">
      <c r="A195" s="22" t="str">
        <f t="shared" si="3"/>
        <v>jueves</v>
      </c>
      <c r="B195" s="24" t="str">
        <f t="shared" si="4"/>
        <v>enero</v>
      </c>
      <c r="C195" s="37">
        <v>46044.0</v>
      </c>
      <c r="D195" s="26" t="s">
        <v>42</v>
      </c>
      <c r="E195" s="27">
        <v>153.0</v>
      </c>
      <c r="F195" s="27">
        <v>105.0</v>
      </c>
      <c r="G195" s="27">
        <v>3.0</v>
      </c>
      <c r="H195" s="27">
        <v>39.0</v>
      </c>
    </row>
    <row r="196" ht="15.75" customHeight="1">
      <c r="A196" s="22" t="str">
        <f t="shared" si="3"/>
        <v>jueves</v>
      </c>
      <c r="B196" s="24" t="str">
        <f t="shared" si="4"/>
        <v>enero</v>
      </c>
      <c r="C196" s="37">
        <v>46044.0</v>
      </c>
      <c r="D196" s="22" t="s">
        <v>117</v>
      </c>
      <c r="E196" s="27">
        <v>202.0</v>
      </c>
      <c r="F196" s="27">
        <v>68.0</v>
      </c>
      <c r="G196" s="27">
        <v>0.0</v>
      </c>
      <c r="H196" s="27">
        <v>0.0</v>
      </c>
    </row>
    <row r="197" ht="15.75" customHeight="1">
      <c r="A197" s="22" t="str">
        <f t="shared" si="3"/>
        <v>jueves</v>
      </c>
      <c r="B197" s="24" t="str">
        <f t="shared" si="4"/>
        <v>enero</v>
      </c>
      <c r="C197" s="37">
        <v>46044.0</v>
      </c>
      <c r="D197" s="26" t="s">
        <v>51</v>
      </c>
      <c r="E197" s="27">
        <v>49.0</v>
      </c>
      <c r="F197" s="27">
        <v>32.0</v>
      </c>
      <c r="G197" s="27">
        <v>6.0</v>
      </c>
      <c r="H197" s="27">
        <v>14.0</v>
      </c>
    </row>
    <row r="198" ht="15.75" customHeight="1">
      <c r="A198" s="22" t="str">
        <f t="shared" si="3"/>
        <v>jueves</v>
      </c>
      <c r="B198" s="24" t="str">
        <f t="shared" si="4"/>
        <v>enero</v>
      </c>
      <c r="C198" s="37">
        <v>46044.0</v>
      </c>
      <c r="D198" s="22" t="s">
        <v>89</v>
      </c>
      <c r="E198" s="27">
        <v>83.0</v>
      </c>
      <c r="F198" s="27">
        <v>37.0</v>
      </c>
      <c r="G198" s="27">
        <v>0.0</v>
      </c>
      <c r="H198" s="27">
        <v>0.0</v>
      </c>
    </row>
    <row r="199" ht="15.75" customHeight="1">
      <c r="A199" s="22" t="str">
        <f t="shared" si="3"/>
        <v>jueves</v>
      </c>
      <c r="B199" s="24" t="str">
        <f t="shared" si="4"/>
        <v>enero</v>
      </c>
      <c r="C199" s="37">
        <v>46044.0</v>
      </c>
      <c r="D199" s="26" t="s">
        <v>67</v>
      </c>
      <c r="E199" s="27">
        <v>65.0</v>
      </c>
      <c r="F199" s="27">
        <v>55.0</v>
      </c>
      <c r="G199" s="27">
        <v>2.0</v>
      </c>
      <c r="H199" s="27">
        <v>4.0</v>
      </c>
    </row>
    <row r="200" ht="15.75" customHeight="1">
      <c r="A200" s="22" t="str">
        <f t="shared" si="3"/>
        <v>jueves</v>
      </c>
      <c r="B200" s="24" t="str">
        <f t="shared" si="4"/>
        <v>enero</v>
      </c>
      <c r="C200" s="37">
        <v>46044.0</v>
      </c>
      <c r="D200" s="26" t="s">
        <v>58</v>
      </c>
      <c r="E200" s="27">
        <v>82.0</v>
      </c>
      <c r="F200" s="27">
        <v>46.0</v>
      </c>
      <c r="G200" s="27">
        <v>5.0</v>
      </c>
      <c r="H200" s="27">
        <v>3.0</v>
      </c>
    </row>
    <row r="201" ht="15.75" customHeight="1">
      <c r="A201" s="22" t="str">
        <f t="shared" si="3"/>
        <v>jueves</v>
      </c>
      <c r="B201" s="24" t="str">
        <f t="shared" si="4"/>
        <v>enero</v>
      </c>
      <c r="C201" s="37">
        <v>46044.0</v>
      </c>
      <c r="D201" s="22" t="s">
        <v>127</v>
      </c>
      <c r="E201" s="27">
        <v>0.0</v>
      </c>
      <c r="F201" s="27">
        <v>0.0</v>
      </c>
      <c r="G201" s="27">
        <v>0.0</v>
      </c>
      <c r="H201" s="27">
        <v>0.0</v>
      </c>
    </row>
    <row r="202" ht="15.75" customHeight="1">
      <c r="A202" s="22" t="str">
        <f t="shared" si="3"/>
        <v>jueves</v>
      </c>
      <c r="B202" s="24" t="str">
        <f t="shared" si="4"/>
        <v>enero</v>
      </c>
      <c r="C202" s="37">
        <v>46044.0</v>
      </c>
      <c r="D202" s="26" t="s">
        <v>52</v>
      </c>
      <c r="E202" s="27">
        <v>28.0</v>
      </c>
      <c r="F202" s="27">
        <v>23.0</v>
      </c>
      <c r="G202" s="27">
        <v>4.0</v>
      </c>
      <c r="H202" s="27">
        <v>14.0</v>
      </c>
    </row>
    <row r="203" ht="15.75" customHeight="1">
      <c r="A203" s="22" t="str">
        <f t="shared" si="3"/>
        <v>jueves</v>
      </c>
      <c r="B203" s="24" t="str">
        <f t="shared" si="4"/>
        <v>enero</v>
      </c>
      <c r="C203" s="37">
        <v>46044.0</v>
      </c>
      <c r="D203" s="26" t="s">
        <v>53</v>
      </c>
      <c r="E203" s="27">
        <v>86.0</v>
      </c>
      <c r="F203" s="27">
        <v>69.0</v>
      </c>
      <c r="G203" s="27">
        <v>2.0</v>
      </c>
      <c r="H203" s="27">
        <v>11.0</v>
      </c>
    </row>
    <row r="204" ht="15.75" customHeight="1">
      <c r="A204" s="22" t="str">
        <f t="shared" si="3"/>
        <v>jueves</v>
      </c>
      <c r="B204" s="24" t="str">
        <f t="shared" si="4"/>
        <v>enero</v>
      </c>
      <c r="C204" s="37">
        <v>46044.0</v>
      </c>
      <c r="D204" s="26" t="s">
        <v>65</v>
      </c>
      <c r="E204" s="27">
        <v>63.0</v>
      </c>
      <c r="F204" s="27">
        <v>49.0</v>
      </c>
      <c r="G204" s="27">
        <v>4.0</v>
      </c>
      <c r="H204" s="27">
        <v>5.0</v>
      </c>
    </row>
    <row r="205" ht="15.75" customHeight="1">
      <c r="A205" s="22" t="str">
        <f t="shared" si="3"/>
        <v>jueves</v>
      </c>
      <c r="B205" s="24" t="str">
        <f t="shared" si="4"/>
        <v>enero</v>
      </c>
      <c r="C205" s="37">
        <v>46044.0</v>
      </c>
      <c r="D205" s="26" t="s">
        <v>66</v>
      </c>
      <c r="E205" s="27">
        <v>57.0</v>
      </c>
      <c r="F205" s="27">
        <v>47.0</v>
      </c>
      <c r="G205" s="27">
        <v>1.0</v>
      </c>
      <c r="H205" s="27">
        <v>0.0</v>
      </c>
    </row>
    <row r="206" ht="15.75" customHeight="1">
      <c r="A206" s="22" t="str">
        <f t="shared" si="3"/>
        <v>viernes</v>
      </c>
      <c r="B206" s="24" t="str">
        <f t="shared" si="4"/>
        <v>enero</v>
      </c>
      <c r="C206" s="37">
        <v>46045.0</v>
      </c>
      <c r="D206" s="26" t="s">
        <v>40</v>
      </c>
      <c r="E206" s="27">
        <v>54.0</v>
      </c>
      <c r="F206" s="27">
        <v>31.0</v>
      </c>
      <c r="G206" s="27">
        <v>7.0</v>
      </c>
      <c r="H206" s="27">
        <v>9.0</v>
      </c>
    </row>
    <row r="207" ht="15.75" customHeight="1">
      <c r="A207" s="22" t="str">
        <f t="shared" si="3"/>
        <v>viernes</v>
      </c>
      <c r="B207" s="24" t="str">
        <f t="shared" si="4"/>
        <v>enero</v>
      </c>
      <c r="C207" s="37">
        <v>46045.0</v>
      </c>
      <c r="D207" s="26" t="s">
        <v>51</v>
      </c>
      <c r="E207" s="27">
        <v>67.0</v>
      </c>
      <c r="F207" s="27">
        <v>46.0</v>
      </c>
      <c r="G207" s="27">
        <v>4.0</v>
      </c>
      <c r="H207" s="27">
        <v>27.0</v>
      </c>
    </row>
    <row r="208" ht="15.75" customHeight="1">
      <c r="A208" s="22" t="str">
        <f t="shared" si="3"/>
        <v>viernes</v>
      </c>
      <c r="B208" s="24" t="str">
        <f t="shared" si="4"/>
        <v>enero</v>
      </c>
      <c r="C208" s="37">
        <v>46045.0</v>
      </c>
      <c r="D208" s="26" t="s">
        <v>58</v>
      </c>
      <c r="E208" s="27">
        <v>63.0</v>
      </c>
      <c r="F208" s="27">
        <v>35.0</v>
      </c>
      <c r="G208" s="27">
        <v>8.0</v>
      </c>
      <c r="H208" s="27">
        <v>5.0</v>
      </c>
    </row>
    <row r="209" ht="15.75" customHeight="1">
      <c r="A209" s="22" t="str">
        <f t="shared" si="3"/>
        <v>viernes</v>
      </c>
      <c r="B209" s="24" t="str">
        <f t="shared" si="4"/>
        <v>enero</v>
      </c>
      <c r="C209" s="37">
        <v>46045.0</v>
      </c>
      <c r="D209" s="26" t="s">
        <v>52</v>
      </c>
      <c r="E209" s="27">
        <v>70.0</v>
      </c>
      <c r="F209" s="27">
        <v>56.0</v>
      </c>
      <c r="G209" s="27">
        <v>6.0</v>
      </c>
      <c r="H209" s="27">
        <v>7.0</v>
      </c>
    </row>
    <row r="210" ht="15.75" customHeight="1">
      <c r="A210" s="22" t="str">
        <f t="shared" si="3"/>
        <v>viernes</v>
      </c>
      <c r="B210" s="24" t="str">
        <f t="shared" si="4"/>
        <v>enero</v>
      </c>
      <c r="C210" s="37">
        <v>46045.0</v>
      </c>
      <c r="D210" s="26" t="s">
        <v>53</v>
      </c>
      <c r="E210" s="27">
        <v>91.0</v>
      </c>
      <c r="F210" s="27">
        <v>67.0</v>
      </c>
      <c r="G210" s="27">
        <v>2.0</v>
      </c>
      <c r="H210" s="27">
        <v>9.0</v>
      </c>
    </row>
    <row r="211" ht="15.75" customHeight="1">
      <c r="A211" s="22" t="str">
        <f t="shared" si="3"/>
        <v>viernes</v>
      </c>
      <c r="B211" s="24" t="str">
        <f t="shared" si="4"/>
        <v>enero</v>
      </c>
      <c r="C211" s="37">
        <v>46045.0</v>
      </c>
      <c r="D211" s="26" t="s">
        <v>65</v>
      </c>
      <c r="E211" s="27">
        <v>112.0</v>
      </c>
      <c r="F211" s="27">
        <v>86.0</v>
      </c>
      <c r="G211" s="27">
        <v>5.0</v>
      </c>
      <c r="H211" s="27">
        <v>4.0</v>
      </c>
    </row>
    <row r="212" ht="15.75" customHeight="1">
      <c r="A212" s="22" t="str">
        <f t="shared" si="3"/>
        <v>viernes</v>
      </c>
      <c r="B212" s="24" t="str">
        <f t="shared" si="4"/>
        <v>enero</v>
      </c>
      <c r="C212" s="37">
        <v>46045.0</v>
      </c>
      <c r="D212" s="26" t="s">
        <v>66</v>
      </c>
      <c r="E212" s="27">
        <v>104.0</v>
      </c>
      <c r="F212" s="27">
        <v>86.0</v>
      </c>
      <c r="G212" s="27">
        <v>0.0</v>
      </c>
      <c r="H212" s="27">
        <v>6.0</v>
      </c>
    </row>
    <row r="213" ht="15.75" customHeight="1">
      <c r="A213" s="22" t="str">
        <f t="shared" si="3"/>
        <v>sábado</v>
      </c>
      <c r="B213" s="24" t="str">
        <f t="shared" si="4"/>
        <v>enero</v>
      </c>
      <c r="C213" s="37">
        <v>46046.0</v>
      </c>
      <c r="D213" s="26" t="s">
        <v>40</v>
      </c>
      <c r="E213" s="27">
        <v>57.0</v>
      </c>
      <c r="F213" s="27">
        <v>47.0</v>
      </c>
      <c r="G213" s="27">
        <v>4.0</v>
      </c>
      <c r="H213" s="27">
        <v>5.0</v>
      </c>
    </row>
    <row r="214" ht="15.75" customHeight="1">
      <c r="A214" s="22" t="str">
        <f t="shared" si="3"/>
        <v>sábado</v>
      </c>
      <c r="B214" s="24" t="str">
        <f t="shared" si="4"/>
        <v>enero</v>
      </c>
      <c r="C214" s="37">
        <v>46046.0</v>
      </c>
      <c r="D214" s="22" t="s">
        <v>43</v>
      </c>
      <c r="E214" s="27">
        <v>66.0</v>
      </c>
      <c r="F214" s="27">
        <v>41.0</v>
      </c>
      <c r="G214" s="27">
        <v>3.0</v>
      </c>
      <c r="H214" s="27">
        <v>11.0</v>
      </c>
    </row>
    <row r="215" ht="15.75" customHeight="1">
      <c r="A215" s="22" t="str">
        <f t="shared" si="3"/>
        <v>sábado</v>
      </c>
      <c r="B215" s="24" t="str">
        <f t="shared" si="4"/>
        <v>enero</v>
      </c>
      <c r="C215" s="37">
        <v>46046.0</v>
      </c>
      <c r="D215" s="26" t="s">
        <v>51</v>
      </c>
      <c r="E215" s="27">
        <v>41.0</v>
      </c>
      <c r="F215" s="27">
        <v>36.0</v>
      </c>
      <c r="G215" s="27">
        <v>2.0</v>
      </c>
      <c r="H215" s="27">
        <v>7.0</v>
      </c>
    </row>
    <row r="216" ht="15.75" customHeight="1">
      <c r="A216" s="22" t="str">
        <f t="shared" si="3"/>
        <v>sábado</v>
      </c>
      <c r="B216" s="24" t="str">
        <f t="shared" si="4"/>
        <v>enero</v>
      </c>
      <c r="C216" s="37">
        <v>46046.0</v>
      </c>
      <c r="D216" s="26" t="s">
        <v>59</v>
      </c>
      <c r="E216" s="27">
        <v>68.0</v>
      </c>
      <c r="F216" s="27">
        <v>54.0</v>
      </c>
      <c r="G216" s="27">
        <v>0.0</v>
      </c>
      <c r="H216" s="27">
        <v>0.0</v>
      </c>
    </row>
    <row r="217" ht="15.75" customHeight="1">
      <c r="A217" s="22" t="str">
        <f t="shared" si="3"/>
        <v>sábado</v>
      </c>
      <c r="B217" s="24" t="str">
        <f t="shared" si="4"/>
        <v>enero</v>
      </c>
      <c r="C217" s="37">
        <v>46046.0</v>
      </c>
      <c r="D217" s="26" t="s">
        <v>52</v>
      </c>
      <c r="E217" s="27">
        <v>48.0</v>
      </c>
      <c r="F217" s="27">
        <v>37.0</v>
      </c>
      <c r="G217" s="27">
        <v>5.0</v>
      </c>
      <c r="H217" s="27">
        <v>4.0</v>
      </c>
    </row>
    <row r="218" ht="15.75" customHeight="1">
      <c r="A218" s="22" t="str">
        <f t="shared" si="3"/>
        <v>sábado</v>
      </c>
      <c r="B218" s="24" t="str">
        <f t="shared" si="4"/>
        <v>enero</v>
      </c>
      <c r="C218" s="37">
        <v>46046.0</v>
      </c>
      <c r="D218" s="26" t="s">
        <v>53</v>
      </c>
      <c r="E218" s="27">
        <v>117.0</v>
      </c>
      <c r="F218" s="27">
        <v>89.0</v>
      </c>
      <c r="G218" s="27">
        <v>1.0</v>
      </c>
      <c r="H218" s="27">
        <v>4.0</v>
      </c>
    </row>
    <row r="219" ht="15.75" customHeight="1">
      <c r="A219" s="22" t="str">
        <f t="shared" si="3"/>
        <v>sábado</v>
      </c>
      <c r="B219" s="24" t="str">
        <f t="shared" si="4"/>
        <v>enero</v>
      </c>
      <c r="C219" s="37">
        <v>46046.0</v>
      </c>
      <c r="D219" s="26" t="s">
        <v>60</v>
      </c>
      <c r="E219" s="27">
        <v>77.0</v>
      </c>
      <c r="F219" s="27">
        <v>62.0</v>
      </c>
      <c r="G219" s="27">
        <v>3.0</v>
      </c>
      <c r="H219" s="27">
        <v>0.0</v>
      </c>
    </row>
    <row r="220" ht="15.75" customHeight="1">
      <c r="A220" s="22" t="str">
        <f t="shared" si="3"/>
        <v>domingo</v>
      </c>
      <c r="B220" s="24" t="str">
        <f t="shared" si="4"/>
        <v>enero</v>
      </c>
      <c r="C220" s="37">
        <v>46047.0</v>
      </c>
      <c r="D220" s="26" t="s">
        <v>39</v>
      </c>
      <c r="E220" s="27">
        <v>81.0</v>
      </c>
      <c r="F220" s="27">
        <v>15.0</v>
      </c>
      <c r="G220" s="27">
        <v>1.0</v>
      </c>
      <c r="H220" s="27">
        <v>4.0</v>
      </c>
    </row>
    <row r="221" ht="15.75" customHeight="1">
      <c r="A221" s="22" t="str">
        <f t="shared" si="3"/>
        <v>domingo</v>
      </c>
      <c r="B221" s="24" t="str">
        <f t="shared" si="4"/>
        <v>enero</v>
      </c>
      <c r="C221" s="37">
        <v>46047.0</v>
      </c>
      <c r="D221" s="22" t="s">
        <v>116</v>
      </c>
      <c r="E221" s="27">
        <v>20.0</v>
      </c>
      <c r="F221" s="27">
        <v>15.0</v>
      </c>
      <c r="G221" s="27">
        <v>8.0</v>
      </c>
      <c r="H221" s="27">
        <v>0.0</v>
      </c>
    </row>
    <row r="222" ht="15.75" customHeight="1">
      <c r="A222" s="22" t="str">
        <f t="shared" si="3"/>
        <v>domingo</v>
      </c>
      <c r="B222" s="24" t="str">
        <f t="shared" si="4"/>
        <v>enero</v>
      </c>
      <c r="C222" s="37">
        <v>46047.0</v>
      </c>
      <c r="D222" s="26" t="s">
        <v>40</v>
      </c>
      <c r="E222" s="27">
        <v>69.0</v>
      </c>
      <c r="F222" s="27">
        <v>37.0</v>
      </c>
      <c r="G222" s="27">
        <v>3.0</v>
      </c>
      <c r="H222" s="27">
        <v>8.0</v>
      </c>
    </row>
    <row r="223" ht="15.75" customHeight="1">
      <c r="A223" s="22" t="str">
        <f t="shared" si="3"/>
        <v>domingo</v>
      </c>
      <c r="B223" s="24" t="str">
        <f t="shared" si="4"/>
        <v>enero</v>
      </c>
      <c r="C223" s="37">
        <v>46047.0</v>
      </c>
      <c r="D223" s="22" t="s">
        <v>43</v>
      </c>
      <c r="E223" s="27">
        <v>52.0</v>
      </c>
      <c r="F223" s="27">
        <v>30.0</v>
      </c>
      <c r="G223" s="27">
        <v>2.0</v>
      </c>
      <c r="H223" s="27">
        <v>5.0</v>
      </c>
    </row>
    <row r="224" ht="15.75" customHeight="1">
      <c r="A224" s="22" t="str">
        <f t="shared" si="3"/>
        <v>domingo</v>
      </c>
      <c r="B224" s="24" t="str">
        <f t="shared" si="4"/>
        <v>enero</v>
      </c>
      <c r="C224" s="37">
        <v>46047.0</v>
      </c>
      <c r="D224" s="26" t="s">
        <v>59</v>
      </c>
      <c r="E224" s="27">
        <v>59.0</v>
      </c>
      <c r="F224" s="27">
        <v>43.0</v>
      </c>
      <c r="G224" s="27">
        <v>7.0</v>
      </c>
      <c r="H224" s="27">
        <v>0.0</v>
      </c>
    </row>
    <row r="225" ht="15.75" customHeight="1">
      <c r="A225" s="22" t="str">
        <f t="shared" si="3"/>
        <v>domingo</v>
      </c>
      <c r="B225" s="24" t="str">
        <f t="shared" si="4"/>
        <v>enero</v>
      </c>
      <c r="C225" s="37">
        <v>46047.0</v>
      </c>
      <c r="D225" s="26" t="s">
        <v>52</v>
      </c>
      <c r="E225" s="27">
        <v>45.0</v>
      </c>
      <c r="F225" s="27">
        <v>24.0</v>
      </c>
      <c r="G225" s="27">
        <v>5.0</v>
      </c>
      <c r="H225" s="27">
        <v>11.0</v>
      </c>
    </row>
    <row r="226" ht="15.75" customHeight="1">
      <c r="A226" s="22" t="str">
        <f t="shared" si="3"/>
        <v>domingo</v>
      </c>
      <c r="B226" s="24" t="str">
        <f t="shared" si="4"/>
        <v>enero</v>
      </c>
      <c r="C226" s="37">
        <v>46047.0</v>
      </c>
      <c r="D226" s="26" t="s">
        <v>53</v>
      </c>
      <c r="E226" s="27">
        <v>79.0</v>
      </c>
      <c r="F226" s="27">
        <v>44.0</v>
      </c>
      <c r="G226" s="27">
        <v>2.0</v>
      </c>
      <c r="H226" s="27">
        <v>5.0</v>
      </c>
    </row>
    <row r="227" ht="15.75" customHeight="1">
      <c r="A227" s="22" t="str">
        <f t="shared" si="3"/>
        <v>domingo</v>
      </c>
      <c r="B227" s="24" t="str">
        <f t="shared" si="4"/>
        <v>enero</v>
      </c>
      <c r="C227" s="37">
        <v>46047.0</v>
      </c>
      <c r="D227" s="26" t="s">
        <v>60</v>
      </c>
      <c r="E227" s="27">
        <v>124.0</v>
      </c>
      <c r="F227" s="27">
        <v>91.0</v>
      </c>
      <c r="G227" s="27">
        <v>2.0</v>
      </c>
      <c r="H227" s="27">
        <v>0.0</v>
      </c>
    </row>
    <row r="228" ht="15.75" customHeight="1">
      <c r="A228" s="22" t="str">
        <f t="shared" si="3"/>
        <v>lunes</v>
      </c>
      <c r="B228" s="24" t="str">
        <f t="shared" si="4"/>
        <v>enero</v>
      </c>
      <c r="C228" s="37">
        <v>46048.0</v>
      </c>
      <c r="D228" s="26" t="s">
        <v>39</v>
      </c>
      <c r="E228" s="27">
        <v>87.0</v>
      </c>
      <c r="F228" s="27">
        <v>50.0</v>
      </c>
      <c r="G228" s="27">
        <v>1.0</v>
      </c>
      <c r="H228" s="27">
        <v>24.0</v>
      </c>
    </row>
    <row r="229" ht="15.75" customHeight="1">
      <c r="A229" s="22" t="str">
        <f t="shared" si="3"/>
        <v>lunes</v>
      </c>
      <c r="B229" s="24" t="str">
        <f t="shared" si="4"/>
        <v>enero</v>
      </c>
      <c r="C229" s="37">
        <v>46048.0</v>
      </c>
      <c r="D229" s="26" t="s">
        <v>41</v>
      </c>
      <c r="E229" s="27">
        <v>67.0</v>
      </c>
      <c r="F229" s="27">
        <v>47.0</v>
      </c>
      <c r="G229" s="27">
        <v>2.0</v>
      </c>
      <c r="H229" s="27">
        <v>2.0</v>
      </c>
    </row>
    <row r="230" ht="15.75" customHeight="1">
      <c r="A230" s="22" t="str">
        <f t="shared" si="3"/>
        <v>lunes</v>
      </c>
      <c r="B230" s="24" t="str">
        <f t="shared" si="4"/>
        <v>enero</v>
      </c>
      <c r="C230" s="37">
        <v>46048.0</v>
      </c>
      <c r="D230" s="26" t="s">
        <v>42</v>
      </c>
      <c r="E230" s="27">
        <v>61.0</v>
      </c>
      <c r="F230" s="27">
        <v>35.0</v>
      </c>
      <c r="G230" s="27">
        <v>7.0</v>
      </c>
      <c r="H230" s="27">
        <v>16.0</v>
      </c>
    </row>
    <row r="231" ht="15.75" customHeight="1">
      <c r="A231" s="22" t="str">
        <f t="shared" si="3"/>
        <v>lunes</v>
      </c>
      <c r="B231" s="24" t="str">
        <f t="shared" si="4"/>
        <v>enero</v>
      </c>
      <c r="C231" s="37">
        <v>46048.0</v>
      </c>
      <c r="D231" s="26" t="s">
        <v>44</v>
      </c>
      <c r="E231" s="27">
        <v>29.0</v>
      </c>
      <c r="F231" s="27">
        <v>31.0</v>
      </c>
      <c r="G231" s="27">
        <v>1.0</v>
      </c>
      <c r="H231" s="27">
        <v>0.0</v>
      </c>
    </row>
    <row r="232" ht="15.75" customHeight="1">
      <c r="A232" s="22" t="str">
        <f t="shared" si="3"/>
        <v>lunes</v>
      </c>
      <c r="B232" s="24" t="str">
        <f t="shared" si="4"/>
        <v>enero</v>
      </c>
      <c r="C232" s="37">
        <v>46048.0</v>
      </c>
      <c r="D232" s="22" t="s">
        <v>89</v>
      </c>
      <c r="E232" s="27">
        <v>163.0</v>
      </c>
      <c r="F232" s="27">
        <v>73.0</v>
      </c>
      <c r="G232" s="27">
        <v>0.0</v>
      </c>
      <c r="H232" s="27">
        <v>0.0</v>
      </c>
    </row>
    <row r="233" ht="15.75" customHeight="1">
      <c r="A233" s="22" t="str">
        <f t="shared" si="3"/>
        <v>lunes</v>
      </c>
      <c r="B233" s="24" t="str">
        <f t="shared" si="4"/>
        <v>enero</v>
      </c>
      <c r="C233" s="37">
        <v>46048.0</v>
      </c>
      <c r="D233" s="22" t="s">
        <v>90</v>
      </c>
      <c r="E233" s="27">
        <v>206.0</v>
      </c>
      <c r="F233" s="27">
        <v>83.0</v>
      </c>
      <c r="G233" s="27">
        <v>0.0</v>
      </c>
      <c r="H233" s="27">
        <v>0.0</v>
      </c>
    </row>
    <row r="234" ht="15.75" customHeight="1">
      <c r="A234" s="22" t="str">
        <f t="shared" si="3"/>
        <v>lunes</v>
      </c>
      <c r="B234" s="24" t="str">
        <f t="shared" si="4"/>
        <v>enero</v>
      </c>
      <c r="C234" s="37">
        <v>46048.0</v>
      </c>
      <c r="D234" s="26" t="s">
        <v>59</v>
      </c>
      <c r="E234" s="27">
        <v>75.0</v>
      </c>
      <c r="F234" s="27">
        <v>60.0</v>
      </c>
      <c r="G234" s="27">
        <v>7.0</v>
      </c>
      <c r="H234" s="27">
        <v>7.0</v>
      </c>
    </row>
    <row r="235" ht="15.75" customHeight="1">
      <c r="A235" s="22" t="str">
        <f t="shared" si="3"/>
        <v>lunes</v>
      </c>
      <c r="B235" s="24" t="str">
        <f t="shared" si="4"/>
        <v>enero</v>
      </c>
      <c r="C235" s="37">
        <v>46048.0</v>
      </c>
      <c r="D235" s="26" t="s">
        <v>67</v>
      </c>
      <c r="E235" s="27">
        <v>71.0</v>
      </c>
      <c r="F235" s="27">
        <v>55.0</v>
      </c>
      <c r="G235" s="27">
        <v>8.0</v>
      </c>
      <c r="H235" s="27">
        <v>3.0</v>
      </c>
    </row>
    <row r="236" ht="15.75" customHeight="1">
      <c r="A236" s="22" t="str">
        <f t="shared" si="3"/>
        <v>lunes</v>
      </c>
      <c r="B236" s="24" t="str">
        <f t="shared" si="4"/>
        <v>enero</v>
      </c>
      <c r="C236" s="37">
        <v>46048.0</v>
      </c>
      <c r="D236" s="22" t="s">
        <v>93</v>
      </c>
      <c r="E236" s="27">
        <v>0.0</v>
      </c>
      <c r="F236" s="27">
        <v>0.0</v>
      </c>
      <c r="G236" s="27">
        <v>0.0</v>
      </c>
      <c r="H236" s="27">
        <v>0.0</v>
      </c>
    </row>
    <row r="237" ht="15.75" customHeight="1">
      <c r="A237" s="22" t="str">
        <f t="shared" si="3"/>
        <v>lunes</v>
      </c>
      <c r="B237" s="24" t="str">
        <f t="shared" si="4"/>
        <v>enero</v>
      </c>
      <c r="C237" s="37">
        <v>46048.0</v>
      </c>
      <c r="D237" s="26" t="s">
        <v>58</v>
      </c>
      <c r="E237" s="27">
        <v>82.0</v>
      </c>
      <c r="F237" s="27">
        <v>58.0</v>
      </c>
      <c r="G237" s="27">
        <v>7.0</v>
      </c>
      <c r="H237" s="27">
        <v>4.0</v>
      </c>
    </row>
    <row r="238" ht="15.75" customHeight="1">
      <c r="A238" s="22" t="str">
        <f t="shared" si="3"/>
        <v>lunes</v>
      </c>
      <c r="B238" s="24" t="str">
        <f t="shared" si="4"/>
        <v>enero</v>
      </c>
      <c r="C238" s="37">
        <v>46048.0</v>
      </c>
      <c r="D238" s="26" t="s">
        <v>64</v>
      </c>
      <c r="E238" s="27">
        <v>77.0</v>
      </c>
      <c r="F238" s="27">
        <v>36.0</v>
      </c>
      <c r="G238" s="27">
        <v>5.0</v>
      </c>
      <c r="H238" s="27">
        <v>4.0</v>
      </c>
    </row>
    <row r="239" ht="15.75" customHeight="1">
      <c r="A239" s="22" t="str">
        <f t="shared" si="3"/>
        <v>lunes</v>
      </c>
      <c r="B239" s="24" t="str">
        <f t="shared" si="4"/>
        <v>enero</v>
      </c>
      <c r="C239" s="37">
        <v>46048.0</v>
      </c>
      <c r="D239" s="26" t="s">
        <v>65</v>
      </c>
      <c r="E239" s="27">
        <v>53.0</v>
      </c>
      <c r="F239" s="27">
        <v>46.0</v>
      </c>
      <c r="G239" s="27">
        <v>6.0</v>
      </c>
      <c r="H239" s="27">
        <v>15.0</v>
      </c>
    </row>
    <row r="240" ht="15.75" customHeight="1">
      <c r="A240" s="22" t="str">
        <f t="shared" si="3"/>
        <v>lunes</v>
      </c>
      <c r="B240" s="24" t="str">
        <f t="shared" si="4"/>
        <v>enero</v>
      </c>
      <c r="C240" s="37">
        <v>46048.0</v>
      </c>
      <c r="D240" s="26" t="s">
        <v>60</v>
      </c>
      <c r="E240" s="27">
        <v>87.0</v>
      </c>
      <c r="F240" s="27">
        <v>26.0</v>
      </c>
      <c r="G240" s="27">
        <v>3.0</v>
      </c>
      <c r="H240" s="27">
        <v>8.0</v>
      </c>
    </row>
    <row r="241" ht="15.75" customHeight="1">
      <c r="A241" s="22" t="str">
        <f t="shared" si="3"/>
        <v>lunes</v>
      </c>
      <c r="B241" s="24" t="str">
        <f t="shared" si="4"/>
        <v>enero</v>
      </c>
      <c r="C241" s="37">
        <v>46048.0</v>
      </c>
      <c r="D241" s="26" t="s">
        <v>66</v>
      </c>
      <c r="E241" s="27">
        <v>69.0</v>
      </c>
      <c r="F241" s="27">
        <v>65.0</v>
      </c>
      <c r="G241" s="27">
        <v>1.0</v>
      </c>
      <c r="H241" s="27">
        <v>0.0</v>
      </c>
    </row>
    <row r="242" ht="15.75" customHeight="1">
      <c r="A242" s="22" t="str">
        <f t="shared" si="3"/>
        <v>martes</v>
      </c>
      <c r="B242" s="24" t="str">
        <f t="shared" si="4"/>
        <v>enero</v>
      </c>
      <c r="C242" s="37">
        <v>46049.0</v>
      </c>
      <c r="D242" s="26" t="s">
        <v>39</v>
      </c>
      <c r="E242" s="27">
        <v>156.0</v>
      </c>
      <c r="F242" s="27">
        <v>87.0</v>
      </c>
      <c r="G242" s="27">
        <v>1.0</v>
      </c>
      <c r="H242" s="27">
        <v>13.0</v>
      </c>
    </row>
    <row r="243" ht="15.75" customHeight="1">
      <c r="A243" s="22" t="str">
        <f t="shared" si="3"/>
        <v>martes</v>
      </c>
      <c r="B243" s="24" t="str">
        <f t="shared" si="4"/>
        <v>enero</v>
      </c>
      <c r="C243" s="37">
        <v>46049.0</v>
      </c>
      <c r="D243" s="26" t="s">
        <v>41</v>
      </c>
      <c r="E243" s="27">
        <v>113.0</v>
      </c>
      <c r="F243" s="27">
        <v>77.0</v>
      </c>
      <c r="G243" s="27">
        <v>4.0</v>
      </c>
      <c r="H243" s="27">
        <v>7.0</v>
      </c>
    </row>
    <row r="244" ht="15.75" customHeight="1">
      <c r="A244" s="22" t="str">
        <f t="shared" si="3"/>
        <v>martes</v>
      </c>
      <c r="B244" s="24" t="str">
        <f t="shared" si="4"/>
        <v>enero</v>
      </c>
      <c r="C244" s="37">
        <v>46049.0</v>
      </c>
      <c r="D244" s="26" t="s">
        <v>42</v>
      </c>
      <c r="E244" s="27">
        <v>120.0</v>
      </c>
      <c r="F244" s="27">
        <v>81.0</v>
      </c>
      <c r="G244" s="27">
        <v>5.0</v>
      </c>
      <c r="H244" s="27">
        <v>10.0</v>
      </c>
    </row>
    <row r="245" ht="15.75" customHeight="1">
      <c r="A245" s="22" t="str">
        <f t="shared" si="3"/>
        <v>martes</v>
      </c>
      <c r="B245" s="24" t="str">
        <f t="shared" si="4"/>
        <v>enero</v>
      </c>
      <c r="C245" s="37">
        <v>46049.0</v>
      </c>
      <c r="D245" s="22" t="s">
        <v>89</v>
      </c>
      <c r="E245" s="27">
        <v>226.0</v>
      </c>
      <c r="F245" s="27">
        <v>91.0</v>
      </c>
      <c r="G245" s="27">
        <v>0.0</v>
      </c>
      <c r="H245" s="27">
        <v>0.0</v>
      </c>
    </row>
    <row r="246" ht="15.75" customHeight="1">
      <c r="A246" s="22" t="str">
        <f t="shared" si="3"/>
        <v>martes</v>
      </c>
      <c r="B246" s="24" t="str">
        <f t="shared" si="4"/>
        <v>enero</v>
      </c>
      <c r="C246" s="37">
        <v>46049.0</v>
      </c>
      <c r="D246" s="22" t="s">
        <v>90</v>
      </c>
      <c r="E246" s="27">
        <v>410.0</v>
      </c>
      <c r="F246" s="27">
        <v>163.0</v>
      </c>
      <c r="G246" s="27">
        <v>0.0</v>
      </c>
      <c r="H246" s="27">
        <v>0.0</v>
      </c>
    </row>
    <row r="247" ht="15.75" customHeight="1">
      <c r="A247" s="22" t="str">
        <f t="shared" si="3"/>
        <v>martes</v>
      </c>
      <c r="B247" s="24" t="str">
        <f t="shared" si="4"/>
        <v>enero</v>
      </c>
      <c r="C247" s="37">
        <v>46049.0</v>
      </c>
      <c r="D247" s="26" t="s">
        <v>59</v>
      </c>
      <c r="E247" s="27">
        <v>112.0</v>
      </c>
      <c r="F247" s="27">
        <v>86.0</v>
      </c>
      <c r="G247" s="27">
        <v>3.0</v>
      </c>
      <c r="H247" s="27">
        <v>3.0</v>
      </c>
    </row>
    <row r="248" ht="15.75" customHeight="1">
      <c r="A248" s="22" t="str">
        <f t="shared" si="3"/>
        <v>martes</v>
      </c>
      <c r="B248" s="24" t="str">
        <f t="shared" si="4"/>
        <v>enero</v>
      </c>
      <c r="C248" s="37">
        <v>46049.0</v>
      </c>
      <c r="D248" s="26" t="s">
        <v>67</v>
      </c>
      <c r="E248" s="27">
        <v>125.0</v>
      </c>
      <c r="F248" s="27">
        <v>104.0</v>
      </c>
      <c r="G248" s="27">
        <v>3.0</v>
      </c>
      <c r="H248" s="27">
        <v>9.0</v>
      </c>
    </row>
    <row r="249" ht="15.75" customHeight="1">
      <c r="A249" s="22" t="str">
        <f t="shared" si="3"/>
        <v>martes</v>
      </c>
      <c r="B249" s="24" t="str">
        <f t="shared" si="4"/>
        <v>enero</v>
      </c>
      <c r="C249" s="37">
        <v>46049.0</v>
      </c>
      <c r="D249" s="22" t="s">
        <v>93</v>
      </c>
      <c r="E249" s="27">
        <v>0.0</v>
      </c>
      <c r="F249" s="27">
        <v>0.0</v>
      </c>
      <c r="G249" s="27">
        <v>0.0</v>
      </c>
      <c r="H249" s="27">
        <v>0.0</v>
      </c>
    </row>
    <row r="250" ht="15.75" customHeight="1">
      <c r="A250" s="22" t="str">
        <f t="shared" si="3"/>
        <v>martes</v>
      </c>
      <c r="B250" s="24" t="str">
        <f t="shared" si="4"/>
        <v>enero</v>
      </c>
      <c r="C250" s="37">
        <v>46049.0</v>
      </c>
      <c r="D250" s="26" t="s">
        <v>58</v>
      </c>
      <c r="E250" s="27">
        <v>142.0</v>
      </c>
      <c r="F250" s="27">
        <v>92.0</v>
      </c>
      <c r="G250" s="27">
        <v>6.0</v>
      </c>
      <c r="H250" s="27">
        <v>12.0</v>
      </c>
    </row>
    <row r="251" ht="15.75" customHeight="1">
      <c r="A251" s="22" t="str">
        <f t="shared" si="3"/>
        <v>martes</v>
      </c>
      <c r="B251" s="24" t="str">
        <f t="shared" si="4"/>
        <v>enero</v>
      </c>
      <c r="C251" s="37">
        <v>46049.0</v>
      </c>
      <c r="D251" s="26" t="s">
        <v>65</v>
      </c>
      <c r="E251" s="27">
        <v>163.0</v>
      </c>
      <c r="F251" s="27">
        <v>126.0</v>
      </c>
      <c r="G251" s="27">
        <v>6.0</v>
      </c>
      <c r="H251" s="27">
        <v>8.0</v>
      </c>
    </row>
    <row r="252" ht="15.75" customHeight="1">
      <c r="A252" s="22" t="str">
        <f t="shared" si="3"/>
        <v>martes</v>
      </c>
      <c r="B252" s="24" t="str">
        <f t="shared" si="4"/>
        <v>enero</v>
      </c>
      <c r="C252" s="37">
        <v>46049.0</v>
      </c>
      <c r="D252" s="26" t="s">
        <v>66</v>
      </c>
      <c r="E252" s="27">
        <v>134.0</v>
      </c>
      <c r="F252" s="27">
        <v>124.0</v>
      </c>
      <c r="G252" s="27">
        <v>1.0</v>
      </c>
      <c r="H252" s="27">
        <v>2.0</v>
      </c>
    </row>
    <row r="253" ht="15.75" customHeight="1">
      <c r="A253" s="22" t="str">
        <f t="shared" si="3"/>
        <v>miércoles</v>
      </c>
      <c r="B253" s="24" t="str">
        <f t="shared" si="4"/>
        <v>enero</v>
      </c>
      <c r="C253" s="37">
        <v>46050.0</v>
      </c>
      <c r="D253" s="26" t="s">
        <v>39</v>
      </c>
      <c r="E253" s="27">
        <v>104.0</v>
      </c>
      <c r="F253" s="27">
        <v>54.0</v>
      </c>
      <c r="G253" s="27">
        <v>1.0</v>
      </c>
      <c r="H253" s="27">
        <v>9.0</v>
      </c>
    </row>
    <row r="254" ht="15.75" customHeight="1">
      <c r="A254" s="22" t="str">
        <f t="shared" si="3"/>
        <v>miércoles</v>
      </c>
      <c r="B254" s="24" t="str">
        <f t="shared" si="4"/>
        <v>enero</v>
      </c>
      <c r="C254" s="37">
        <v>46050.0</v>
      </c>
      <c r="D254" s="22" t="s">
        <v>107</v>
      </c>
      <c r="E254" s="27">
        <v>83.0</v>
      </c>
      <c r="F254" s="27">
        <v>38.0</v>
      </c>
      <c r="G254" s="27">
        <v>0.0</v>
      </c>
      <c r="H254" s="27">
        <v>0.0</v>
      </c>
    </row>
    <row r="255" ht="15.75" customHeight="1">
      <c r="A255" s="22" t="str">
        <f t="shared" si="3"/>
        <v>miércoles</v>
      </c>
      <c r="B255" s="24" t="str">
        <f t="shared" si="4"/>
        <v>enero</v>
      </c>
      <c r="C255" s="37">
        <v>46050.0</v>
      </c>
      <c r="D255" s="26" t="s">
        <v>41</v>
      </c>
      <c r="E255" s="27">
        <v>86.0</v>
      </c>
      <c r="F255" s="27">
        <v>68.0</v>
      </c>
      <c r="G255" s="27">
        <v>3.0</v>
      </c>
      <c r="H255" s="27">
        <v>1.0</v>
      </c>
    </row>
    <row r="256" ht="15.75" customHeight="1">
      <c r="A256" s="22" t="str">
        <f t="shared" si="3"/>
        <v>miércoles</v>
      </c>
      <c r="B256" s="24" t="str">
        <f t="shared" si="4"/>
        <v>enero</v>
      </c>
      <c r="C256" s="37">
        <v>46050.0</v>
      </c>
      <c r="D256" s="26" t="s">
        <v>42</v>
      </c>
      <c r="E256" s="27">
        <v>59.0</v>
      </c>
      <c r="F256" s="27">
        <v>45.0</v>
      </c>
      <c r="G256" s="27">
        <v>7.0</v>
      </c>
      <c r="H256" s="27">
        <v>23.0</v>
      </c>
    </row>
    <row r="257" ht="15.75" customHeight="1">
      <c r="A257" s="22" t="str">
        <f t="shared" si="3"/>
        <v>miércoles</v>
      </c>
      <c r="B257" s="24" t="str">
        <f t="shared" si="4"/>
        <v>enero</v>
      </c>
      <c r="C257" s="37">
        <v>46050.0</v>
      </c>
      <c r="D257" s="22" t="s">
        <v>108</v>
      </c>
      <c r="E257" s="27">
        <v>177.0</v>
      </c>
      <c r="F257" s="27">
        <v>69.0</v>
      </c>
      <c r="G257" s="27">
        <v>0.0</v>
      </c>
      <c r="H257" s="27">
        <v>8.0</v>
      </c>
    </row>
    <row r="258" ht="15.75" customHeight="1">
      <c r="A258" s="22" t="str">
        <f t="shared" si="3"/>
        <v>miércoles</v>
      </c>
      <c r="B258" s="24" t="str">
        <f t="shared" si="4"/>
        <v>enero</v>
      </c>
      <c r="C258" s="37">
        <v>46050.0</v>
      </c>
      <c r="D258" s="26" t="s">
        <v>51</v>
      </c>
      <c r="E258" s="27">
        <v>59.0</v>
      </c>
      <c r="F258" s="27">
        <v>46.0</v>
      </c>
      <c r="G258" s="27">
        <v>4.0</v>
      </c>
      <c r="H258" s="27">
        <v>20.0</v>
      </c>
    </row>
    <row r="259" ht="15.75" customHeight="1">
      <c r="A259" s="22" t="str">
        <f t="shared" si="3"/>
        <v>miércoles</v>
      </c>
      <c r="B259" s="24" t="str">
        <f t="shared" si="4"/>
        <v>enero</v>
      </c>
      <c r="C259" s="37">
        <v>46050.0</v>
      </c>
      <c r="D259" s="22" t="s">
        <v>89</v>
      </c>
      <c r="E259" s="27">
        <v>159.0</v>
      </c>
      <c r="F259" s="27">
        <v>51.0</v>
      </c>
      <c r="G259" s="27">
        <v>0.0</v>
      </c>
      <c r="H259" s="27">
        <v>0.0</v>
      </c>
    </row>
    <row r="260" ht="15.75" customHeight="1">
      <c r="A260" s="22" t="str">
        <f t="shared" si="3"/>
        <v>miércoles</v>
      </c>
      <c r="B260" s="24" t="str">
        <f t="shared" si="4"/>
        <v>enero</v>
      </c>
      <c r="C260" s="37">
        <v>46050.0</v>
      </c>
      <c r="D260" s="26" t="s">
        <v>67</v>
      </c>
      <c r="E260" s="27">
        <v>101.0</v>
      </c>
      <c r="F260" s="27">
        <v>80.0</v>
      </c>
      <c r="G260" s="27">
        <v>6.0</v>
      </c>
      <c r="H260" s="27">
        <v>14.0</v>
      </c>
    </row>
    <row r="261" ht="15.75" customHeight="1">
      <c r="A261" s="22" t="str">
        <f t="shared" si="3"/>
        <v>miércoles</v>
      </c>
      <c r="B261" s="24" t="str">
        <f t="shared" si="4"/>
        <v>enero</v>
      </c>
      <c r="C261" s="37">
        <v>46050.0</v>
      </c>
      <c r="D261" s="26" t="s">
        <v>58</v>
      </c>
      <c r="E261" s="27">
        <v>101.0</v>
      </c>
      <c r="F261" s="27">
        <v>54.0</v>
      </c>
      <c r="G261" s="27">
        <v>8.0</v>
      </c>
      <c r="H261" s="27">
        <v>9.0</v>
      </c>
    </row>
    <row r="262" ht="15.75" customHeight="1">
      <c r="A262" s="22" t="str">
        <f t="shared" si="3"/>
        <v>miércoles</v>
      </c>
      <c r="B262" s="24" t="str">
        <f t="shared" si="4"/>
        <v>enero</v>
      </c>
      <c r="C262" s="37">
        <v>46050.0</v>
      </c>
      <c r="D262" s="26" t="s">
        <v>64</v>
      </c>
      <c r="E262" s="27">
        <v>181.0</v>
      </c>
      <c r="F262" s="27">
        <v>116.0</v>
      </c>
      <c r="G262" s="27">
        <v>8.0</v>
      </c>
      <c r="H262" s="27">
        <v>9.0</v>
      </c>
    </row>
    <row r="263" ht="15.75" customHeight="1">
      <c r="A263" s="22" t="str">
        <f t="shared" si="3"/>
        <v>miércoles</v>
      </c>
      <c r="B263" s="24" t="str">
        <f t="shared" si="4"/>
        <v>enero</v>
      </c>
      <c r="C263" s="37">
        <v>46050.0</v>
      </c>
      <c r="D263" s="26" t="s">
        <v>65</v>
      </c>
      <c r="E263" s="27">
        <v>67.0</v>
      </c>
      <c r="F263" s="27">
        <v>55.0</v>
      </c>
      <c r="G263" s="27">
        <v>5.0</v>
      </c>
      <c r="H263" s="27">
        <v>5.0</v>
      </c>
    </row>
    <row r="264" ht="15.75" customHeight="1">
      <c r="A264" s="22" t="str">
        <f t="shared" si="3"/>
        <v>miércoles</v>
      </c>
      <c r="B264" s="24" t="str">
        <f t="shared" si="4"/>
        <v>enero</v>
      </c>
      <c r="C264" s="37">
        <v>46050.0</v>
      </c>
      <c r="D264" s="26" t="s">
        <v>66</v>
      </c>
      <c r="E264" s="27">
        <v>100.0</v>
      </c>
      <c r="F264" s="27">
        <v>90.0</v>
      </c>
      <c r="G264" s="27">
        <v>0.0</v>
      </c>
      <c r="H264" s="27">
        <v>5.0</v>
      </c>
    </row>
    <row r="265" ht="15.75" customHeight="1">
      <c r="A265" s="22" t="str">
        <f t="shared" si="3"/>
        <v>jueves</v>
      </c>
      <c r="B265" s="24" t="str">
        <f t="shared" si="4"/>
        <v>enero</v>
      </c>
      <c r="C265" s="37">
        <v>46051.0</v>
      </c>
      <c r="D265" s="22" t="s">
        <v>107</v>
      </c>
      <c r="E265" s="27">
        <v>112.0</v>
      </c>
      <c r="F265" s="27">
        <v>52.0</v>
      </c>
      <c r="G265" s="27">
        <v>0.0</v>
      </c>
      <c r="H265" s="27">
        <v>0.0</v>
      </c>
    </row>
    <row r="266" ht="15.75" customHeight="1">
      <c r="A266" s="22" t="str">
        <f t="shared" si="3"/>
        <v>jueves</v>
      </c>
      <c r="B266" s="24" t="str">
        <f t="shared" si="4"/>
        <v>enero</v>
      </c>
      <c r="C266" s="37">
        <v>46051.0</v>
      </c>
      <c r="D266" s="26" t="s">
        <v>40</v>
      </c>
      <c r="E266" s="27">
        <v>67.0</v>
      </c>
      <c r="F266" s="27">
        <v>33.0</v>
      </c>
      <c r="G266" s="27">
        <v>2.0</v>
      </c>
      <c r="H266" s="27">
        <v>7.0</v>
      </c>
    </row>
    <row r="267" ht="15.75" customHeight="1">
      <c r="A267" s="22" t="str">
        <f t="shared" si="3"/>
        <v>jueves</v>
      </c>
      <c r="B267" s="24" t="str">
        <f t="shared" si="4"/>
        <v>enero</v>
      </c>
      <c r="C267" s="37">
        <v>46051.0</v>
      </c>
      <c r="D267" s="26" t="s">
        <v>41</v>
      </c>
      <c r="E267" s="27">
        <v>72.0</v>
      </c>
      <c r="F267" s="27">
        <v>58.0</v>
      </c>
      <c r="G267" s="27">
        <v>3.0</v>
      </c>
      <c r="H267" s="27">
        <v>9.0</v>
      </c>
    </row>
    <row r="268" ht="15.75" customHeight="1">
      <c r="A268" s="22" t="str">
        <f t="shared" si="3"/>
        <v>jueves</v>
      </c>
      <c r="B268" s="24" t="str">
        <f t="shared" si="4"/>
        <v>enero</v>
      </c>
      <c r="C268" s="37">
        <v>46051.0</v>
      </c>
      <c r="D268" s="26" t="s">
        <v>42</v>
      </c>
      <c r="E268" s="27">
        <v>74.0</v>
      </c>
      <c r="F268" s="27">
        <v>46.0</v>
      </c>
      <c r="G268" s="27">
        <v>8.0</v>
      </c>
      <c r="H268" s="27">
        <v>11.0</v>
      </c>
    </row>
    <row r="269" ht="15.75" customHeight="1">
      <c r="A269" s="22" t="str">
        <f t="shared" si="3"/>
        <v>jueves</v>
      </c>
      <c r="B269" s="24" t="str">
        <f t="shared" si="4"/>
        <v>enero</v>
      </c>
      <c r="C269" s="37">
        <v>46051.0</v>
      </c>
      <c r="D269" s="22" t="s">
        <v>117</v>
      </c>
      <c r="E269" s="27">
        <v>145.0</v>
      </c>
      <c r="F269" s="27">
        <v>49.0</v>
      </c>
      <c r="G269" s="27">
        <v>0.0</v>
      </c>
      <c r="H269" s="27">
        <v>0.0</v>
      </c>
    </row>
    <row r="270" ht="15.75" customHeight="1">
      <c r="A270" s="22" t="str">
        <f t="shared" si="3"/>
        <v>jueves</v>
      </c>
      <c r="B270" s="24" t="str">
        <f t="shared" si="4"/>
        <v>enero</v>
      </c>
      <c r="C270" s="37">
        <v>46051.0</v>
      </c>
      <c r="D270" s="26" t="s">
        <v>51</v>
      </c>
      <c r="E270" s="27">
        <v>32.0</v>
      </c>
      <c r="F270" s="27">
        <v>28.0</v>
      </c>
      <c r="G270" s="27">
        <v>5.0</v>
      </c>
      <c r="H270" s="27">
        <v>12.0</v>
      </c>
    </row>
    <row r="271" ht="15.75" customHeight="1">
      <c r="A271" s="22" t="str">
        <f t="shared" si="3"/>
        <v>jueves</v>
      </c>
      <c r="B271" s="24" t="str">
        <f t="shared" si="4"/>
        <v>enero</v>
      </c>
      <c r="C271" s="37">
        <v>46051.0</v>
      </c>
      <c r="D271" s="22" t="s">
        <v>89</v>
      </c>
      <c r="E271" s="27">
        <v>69.0</v>
      </c>
      <c r="F271" s="27">
        <v>44.0</v>
      </c>
      <c r="G271" s="27">
        <v>0.0</v>
      </c>
      <c r="H271" s="27">
        <v>0.0</v>
      </c>
    </row>
    <row r="272" ht="15.75" customHeight="1">
      <c r="A272" s="22" t="str">
        <f t="shared" si="3"/>
        <v>jueves</v>
      </c>
      <c r="B272" s="24" t="str">
        <f t="shared" si="4"/>
        <v>enero</v>
      </c>
      <c r="C272" s="37">
        <v>46051.0</v>
      </c>
      <c r="D272" s="26" t="s">
        <v>67</v>
      </c>
      <c r="E272" s="27">
        <v>127.0</v>
      </c>
      <c r="F272" s="27">
        <v>105.0</v>
      </c>
      <c r="G272" s="27">
        <v>6.0</v>
      </c>
      <c r="H272" s="27">
        <v>4.0</v>
      </c>
    </row>
    <row r="273" ht="15.75" customHeight="1">
      <c r="A273" s="22" t="str">
        <f t="shared" si="3"/>
        <v>jueves</v>
      </c>
      <c r="B273" s="24" t="str">
        <f t="shared" si="4"/>
        <v>enero</v>
      </c>
      <c r="C273" s="37">
        <v>46051.0</v>
      </c>
      <c r="D273" s="26" t="s">
        <v>58</v>
      </c>
      <c r="E273" s="27">
        <v>115.0</v>
      </c>
      <c r="F273" s="27">
        <v>79.0</v>
      </c>
      <c r="G273" s="27">
        <v>5.0</v>
      </c>
      <c r="H273" s="27">
        <v>6.0</v>
      </c>
    </row>
    <row r="274" ht="15.75" customHeight="1">
      <c r="A274" s="22" t="str">
        <f t="shared" si="3"/>
        <v>jueves</v>
      </c>
      <c r="B274" s="24" t="str">
        <f t="shared" si="4"/>
        <v>enero</v>
      </c>
      <c r="C274" s="37">
        <v>46051.0</v>
      </c>
      <c r="D274" s="26" t="s">
        <v>52</v>
      </c>
      <c r="E274" s="27">
        <v>47.0</v>
      </c>
      <c r="F274" s="27">
        <v>38.0</v>
      </c>
      <c r="G274" s="27">
        <v>5.0</v>
      </c>
      <c r="H274" s="27">
        <v>2.0</v>
      </c>
    </row>
    <row r="275" ht="15.75" customHeight="1">
      <c r="A275" s="22" t="str">
        <f t="shared" si="3"/>
        <v>jueves</v>
      </c>
      <c r="B275" s="24" t="str">
        <f t="shared" si="4"/>
        <v>enero</v>
      </c>
      <c r="C275" s="37">
        <v>46051.0</v>
      </c>
      <c r="D275" s="26" t="s">
        <v>53</v>
      </c>
      <c r="E275" s="27">
        <v>96.0</v>
      </c>
      <c r="F275" s="27">
        <v>73.0</v>
      </c>
      <c r="G275" s="27">
        <v>1.0</v>
      </c>
      <c r="H275" s="27">
        <v>15.0</v>
      </c>
    </row>
    <row r="276" ht="15.75" customHeight="1">
      <c r="A276" s="22" t="str">
        <f t="shared" si="3"/>
        <v>jueves</v>
      </c>
      <c r="B276" s="24" t="str">
        <f t="shared" si="4"/>
        <v>enero</v>
      </c>
      <c r="C276" s="37">
        <v>46051.0</v>
      </c>
      <c r="D276" s="26" t="s">
        <v>64</v>
      </c>
      <c r="E276" s="27">
        <v>171.0</v>
      </c>
      <c r="F276" s="27">
        <v>93.0</v>
      </c>
      <c r="G276" s="27">
        <v>6.0</v>
      </c>
      <c r="H276" s="27">
        <v>13.0</v>
      </c>
    </row>
    <row r="277" ht="15.75" customHeight="1">
      <c r="A277" s="22" t="str">
        <f t="shared" si="3"/>
        <v>jueves</v>
      </c>
      <c r="B277" s="24" t="str">
        <f t="shared" si="4"/>
        <v>enero</v>
      </c>
      <c r="C277" s="37">
        <v>46051.0</v>
      </c>
      <c r="D277" s="26" t="s">
        <v>65</v>
      </c>
      <c r="E277" s="27">
        <v>79.0</v>
      </c>
      <c r="F277" s="27">
        <v>74.0</v>
      </c>
      <c r="G277" s="27">
        <v>4.0</v>
      </c>
      <c r="H277" s="27">
        <v>0.0</v>
      </c>
    </row>
    <row r="278" ht="15.75" customHeight="1">
      <c r="A278" s="22" t="str">
        <f t="shared" si="3"/>
        <v>jueves</v>
      </c>
      <c r="B278" s="24" t="str">
        <f t="shared" si="4"/>
        <v>enero</v>
      </c>
      <c r="C278" s="37">
        <v>46051.0</v>
      </c>
      <c r="D278" s="26" t="s">
        <v>66</v>
      </c>
      <c r="E278" s="27">
        <v>101.0</v>
      </c>
      <c r="F278" s="27">
        <v>96.0</v>
      </c>
      <c r="G278" s="27">
        <v>0.0</v>
      </c>
      <c r="H278" s="27">
        <v>3.0</v>
      </c>
    </row>
    <row r="279" ht="15.75" customHeight="1">
      <c r="A279" s="22" t="str">
        <f t="shared" si="3"/>
        <v>viernes</v>
      </c>
      <c r="B279" s="24" t="str">
        <f t="shared" si="4"/>
        <v>enero</v>
      </c>
      <c r="C279" s="37">
        <v>46052.0</v>
      </c>
      <c r="D279" s="22" t="s">
        <v>116</v>
      </c>
      <c r="E279" s="27">
        <v>44.0</v>
      </c>
      <c r="F279" s="27">
        <v>29.0</v>
      </c>
      <c r="G279" s="27">
        <v>16.0</v>
      </c>
      <c r="H279" s="27">
        <v>8.0</v>
      </c>
    </row>
    <row r="280" ht="15.75" customHeight="1">
      <c r="A280" s="22" t="str">
        <f t="shared" si="3"/>
        <v>viernes</v>
      </c>
      <c r="B280" s="24" t="str">
        <f t="shared" si="4"/>
        <v>enero</v>
      </c>
      <c r="C280" s="37">
        <v>46052.0</v>
      </c>
      <c r="D280" s="26" t="s">
        <v>40</v>
      </c>
      <c r="E280" s="27">
        <v>70.0</v>
      </c>
      <c r="F280" s="27">
        <v>35.0</v>
      </c>
      <c r="G280" s="27">
        <v>9.0</v>
      </c>
      <c r="H280" s="27">
        <v>9.0</v>
      </c>
    </row>
    <row r="281" ht="15.75" customHeight="1">
      <c r="A281" s="22" t="str">
        <f t="shared" si="3"/>
        <v>viernes</v>
      </c>
      <c r="B281" s="24" t="str">
        <f t="shared" si="4"/>
        <v>enero</v>
      </c>
      <c r="C281" s="37">
        <v>46052.0</v>
      </c>
      <c r="D281" s="26" t="s">
        <v>51</v>
      </c>
      <c r="E281" s="27">
        <v>69.0</v>
      </c>
      <c r="F281" s="27">
        <v>63.0</v>
      </c>
      <c r="G281" s="27">
        <v>9.0</v>
      </c>
      <c r="H281" s="27">
        <v>13.0</v>
      </c>
    </row>
    <row r="282" ht="15.75" customHeight="1">
      <c r="A282" s="22" t="str">
        <f t="shared" si="3"/>
        <v>viernes</v>
      </c>
      <c r="B282" s="24" t="str">
        <f t="shared" si="4"/>
        <v>enero</v>
      </c>
      <c r="C282" s="37">
        <v>46052.0</v>
      </c>
      <c r="D282" s="26" t="s">
        <v>58</v>
      </c>
      <c r="E282" s="27">
        <v>70.0</v>
      </c>
      <c r="F282" s="27">
        <v>58.0</v>
      </c>
      <c r="G282" s="27">
        <v>5.0</v>
      </c>
      <c r="H282" s="27">
        <v>7.0</v>
      </c>
    </row>
    <row r="283" ht="15.75" customHeight="1">
      <c r="A283" s="22" t="str">
        <f t="shared" si="3"/>
        <v>viernes</v>
      </c>
      <c r="B283" s="24" t="str">
        <f t="shared" si="4"/>
        <v>enero</v>
      </c>
      <c r="C283" s="37">
        <v>46052.0</v>
      </c>
      <c r="D283" s="26" t="s">
        <v>52</v>
      </c>
      <c r="E283" s="27">
        <v>66.0</v>
      </c>
      <c r="F283" s="27">
        <v>53.0</v>
      </c>
      <c r="G283" s="27">
        <v>5.0</v>
      </c>
      <c r="H283" s="27">
        <v>7.0</v>
      </c>
    </row>
    <row r="284" ht="15.75" customHeight="1">
      <c r="A284" s="22" t="str">
        <f t="shared" si="3"/>
        <v>viernes</v>
      </c>
      <c r="B284" s="24" t="str">
        <f t="shared" si="4"/>
        <v>enero</v>
      </c>
      <c r="C284" s="37">
        <v>46052.0</v>
      </c>
      <c r="D284" s="26" t="s">
        <v>53</v>
      </c>
      <c r="E284" s="27">
        <v>126.0</v>
      </c>
      <c r="F284" s="27">
        <v>87.0</v>
      </c>
      <c r="G284" s="27">
        <v>2.0</v>
      </c>
      <c r="H284" s="27">
        <v>15.0</v>
      </c>
    </row>
    <row r="285" ht="15.75" customHeight="1">
      <c r="A285" s="22" t="str">
        <f t="shared" si="3"/>
        <v>viernes</v>
      </c>
      <c r="B285" s="24" t="str">
        <f t="shared" si="4"/>
        <v>enero</v>
      </c>
      <c r="C285" s="37">
        <v>46052.0</v>
      </c>
      <c r="D285" s="26" t="s">
        <v>64</v>
      </c>
      <c r="E285" s="27">
        <v>170.0</v>
      </c>
      <c r="F285" s="27">
        <v>95.0</v>
      </c>
      <c r="G285" s="27">
        <v>5.0</v>
      </c>
      <c r="H285" s="27">
        <v>23.0</v>
      </c>
    </row>
    <row r="286" ht="15.75" customHeight="1">
      <c r="A286" s="22" t="str">
        <f t="shared" si="3"/>
        <v>viernes</v>
      </c>
      <c r="B286" s="24" t="str">
        <f t="shared" si="4"/>
        <v>enero</v>
      </c>
      <c r="C286" s="37">
        <v>46052.0</v>
      </c>
      <c r="D286" s="26" t="s">
        <v>66</v>
      </c>
      <c r="E286" s="27">
        <v>123.0</v>
      </c>
      <c r="F286" s="27">
        <v>104.0</v>
      </c>
      <c r="G286" s="27">
        <v>0.0</v>
      </c>
      <c r="H286" s="27">
        <v>6.0</v>
      </c>
    </row>
    <row r="287" ht="15.75" customHeight="1">
      <c r="A287" s="22" t="str">
        <f t="shared" si="3"/>
        <v>sábado</v>
      </c>
      <c r="B287" s="24" t="str">
        <f t="shared" si="4"/>
        <v>enero</v>
      </c>
      <c r="C287" s="37">
        <v>46053.0</v>
      </c>
      <c r="D287" s="22" t="s">
        <v>116</v>
      </c>
      <c r="E287" s="27">
        <v>64.0</v>
      </c>
      <c r="F287" s="27">
        <v>53.0</v>
      </c>
      <c r="G287" s="27">
        <v>2.0</v>
      </c>
      <c r="H287" s="27">
        <v>2.0</v>
      </c>
    </row>
    <row r="288" ht="15.75" customHeight="1">
      <c r="A288" s="22" t="str">
        <f t="shared" si="3"/>
        <v>sábado</v>
      </c>
      <c r="B288" s="24" t="str">
        <f t="shared" si="4"/>
        <v>enero</v>
      </c>
      <c r="C288" s="37">
        <v>46053.0</v>
      </c>
      <c r="D288" s="26" t="s">
        <v>40</v>
      </c>
      <c r="E288" s="27">
        <v>47.0</v>
      </c>
      <c r="F288" s="27">
        <v>15.0</v>
      </c>
      <c r="G288" s="27">
        <v>2.0</v>
      </c>
      <c r="H288" s="27">
        <v>6.0</v>
      </c>
    </row>
    <row r="289" ht="15.75" customHeight="1">
      <c r="A289" s="22" t="str">
        <f t="shared" si="3"/>
        <v>sábado</v>
      </c>
      <c r="B289" s="24" t="str">
        <f t="shared" si="4"/>
        <v>enero</v>
      </c>
      <c r="C289" s="37">
        <v>46053.0</v>
      </c>
      <c r="D289" s="22" t="s">
        <v>43</v>
      </c>
      <c r="E289" s="27">
        <v>96.0</v>
      </c>
      <c r="F289" s="27">
        <v>63.0</v>
      </c>
      <c r="G289" s="27">
        <v>2.0</v>
      </c>
      <c r="H289" s="27">
        <v>18.0</v>
      </c>
    </row>
    <row r="290" ht="15.75" customHeight="1">
      <c r="A290" s="22" t="str">
        <f t="shared" si="3"/>
        <v>sábado</v>
      </c>
      <c r="B290" s="24" t="str">
        <f t="shared" si="4"/>
        <v>enero</v>
      </c>
      <c r="C290" s="37">
        <v>46053.0</v>
      </c>
      <c r="D290" s="26" t="s">
        <v>51</v>
      </c>
      <c r="E290" s="27">
        <v>42.0</v>
      </c>
      <c r="F290" s="27">
        <v>30.0</v>
      </c>
      <c r="G290" s="27">
        <v>6.0</v>
      </c>
      <c r="H290" s="27">
        <v>7.0</v>
      </c>
    </row>
    <row r="291" ht="15.75" customHeight="1">
      <c r="A291" s="22" t="str">
        <f t="shared" si="3"/>
        <v>sábado</v>
      </c>
      <c r="B291" s="24" t="str">
        <f t="shared" si="4"/>
        <v>enero</v>
      </c>
      <c r="C291" s="37">
        <v>46053.0</v>
      </c>
      <c r="D291" s="26" t="s">
        <v>59</v>
      </c>
      <c r="E291" s="27">
        <v>80.0</v>
      </c>
      <c r="F291" s="27">
        <v>63.0</v>
      </c>
      <c r="G291" s="27">
        <v>3.0</v>
      </c>
      <c r="H291" s="27">
        <v>7.0</v>
      </c>
    </row>
    <row r="292" ht="15.75" customHeight="1">
      <c r="A292" s="22" t="str">
        <f t="shared" si="3"/>
        <v>sábado</v>
      </c>
      <c r="B292" s="24" t="str">
        <f t="shared" si="4"/>
        <v>enero</v>
      </c>
      <c r="C292" s="37">
        <v>46053.0</v>
      </c>
      <c r="D292" s="26" t="s">
        <v>52</v>
      </c>
      <c r="E292" s="27">
        <v>84.0</v>
      </c>
      <c r="F292" s="27">
        <v>63.0</v>
      </c>
      <c r="G292" s="27">
        <v>3.0</v>
      </c>
      <c r="H292" s="27">
        <v>5.0</v>
      </c>
    </row>
    <row r="293" ht="15.75" customHeight="1">
      <c r="A293" s="22" t="str">
        <f t="shared" si="3"/>
        <v>sábado</v>
      </c>
      <c r="B293" s="24" t="str">
        <f t="shared" si="4"/>
        <v>enero</v>
      </c>
      <c r="C293" s="37">
        <v>46053.0</v>
      </c>
      <c r="D293" s="26" t="s">
        <v>53</v>
      </c>
      <c r="E293" s="27">
        <v>90.0</v>
      </c>
      <c r="F293" s="27">
        <v>66.0</v>
      </c>
      <c r="G293" s="27">
        <v>2.0</v>
      </c>
      <c r="H293" s="27">
        <v>1.0</v>
      </c>
    </row>
    <row r="294" ht="15.75" customHeight="1">
      <c r="A294" s="22" t="str">
        <f t="shared" si="3"/>
        <v>sábado</v>
      </c>
      <c r="B294" s="24" t="str">
        <f t="shared" si="4"/>
        <v>enero</v>
      </c>
      <c r="C294" s="37">
        <v>46053.0</v>
      </c>
      <c r="D294" s="26" t="s">
        <v>60</v>
      </c>
      <c r="E294" s="27">
        <v>174.0</v>
      </c>
      <c r="F294" s="27">
        <v>152.0</v>
      </c>
      <c r="G294" s="27">
        <v>4.0</v>
      </c>
      <c r="H294" s="27">
        <v>1.0</v>
      </c>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0:$R$65"/>
  <mergeCells count="13">
    <mergeCell ref="K23:N23"/>
    <mergeCell ref="O23:P23"/>
    <mergeCell ref="Q23:R23"/>
    <mergeCell ref="J49:N49"/>
    <mergeCell ref="O49:P49"/>
    <mergeCell ref="Q49:R49"/>
    <mergeCell ref="J1:K1"/>
    <mergeCell ref="Z1:AA1"/>
    <mergeCell ref="J2:N2"/>
    <mergeCell ref="O2:P2"/>
    <mergeCell ref="Q2:R2"/>
    <mergeCell ref="S2:S3"/>
    <mergeCell ref="J22:R22"/>
  </mergeCells>
  <conditionalFormatting sqref="M4:M18">
    <cfRule type="colorScale" priority="1">
      <colorScale>
        <cfvo type="min"/>
        <cfvo type="percentile" val="50"/>
        <cfvo type="max"/>
        <color rgb="FFEA9999"/>
        <color rgb="FFFFD666"/>
        <color rgb="FF6AA84F"/>
      </colorScale>
    </cfRule>
  </conditionalFormatting>
  <conditionalFormatting sqref="N4:N18">
    <cfRule type="colorScale" priority="2">
      <colorScale>
        <cfvo type="min"/>
        <cfvo type="percentile" val="50"/>
        <cfvo type="max"/>
        <color rgb="FFEA9999"/>
        <color rgb="FFFFD666"/>
        <color rgb="FF6AA84F"/>
      </colorScale>
    </cfRule>
  </conditionalFormatting>
  <conditionalFormatting sqref="O4:O18">
    <cfRule type="colorScale" priority="3">
      <colorScale>
        <cfvo type="min"/>
        <cfvo type="percentile" val="50"/>
        <cfvo type="max"/>
        <color rgb="FFEA9999"/>
        <color rgb="FFFFD666"/>
        <color rgb="FF6AA84F"/>
      </colorScale>
    </cfRule>
  </conditionalFormatting>
  <conditionalFormatting sqref="P4:P18">
    <cfRule type="colorScale" priority="4">
      <colorScale>
        <cfvo type="min"/>
        <cfvo type="percentile" val="50"/>
        <cfvo type="max"/>
        <color rgb="FFEA9999"/>
        <color rgb="FFFFD666"/>
        <color rgb="FF6AA84F"/>
      </colorScale>
    </cfRule>
  </conditionalFormatting>
  <conditionalFormatting sqref="Q4:Q18">
    <cfRule type="colorScale" priority="5">
      <colorScale>
        <cfvo type="min"/>
        <cfvo type="percentile" val="50"/>
        <cfvo type="max"/>
        <color rgb="FFEA9999"/>
        <color rgb="FFFFD666"/>
        <color rgb="FF6AA84F"/>
      </colorScale>
    </cfRule>
  </conditionalFormatting>
  <conditionalFormatting sqref="R4:R18">
    <cfRule type="colorScale" priority="6">
      <colorScale>
        <cfvo type="min"/>
        <cfvo type="percentile" val="50"/>
        <cfvo type="max"/>
        <color rgb="FFEA9999"/>
        <color rgb="FFFFD666"/>
        <color rgb="FF6AA84F"/>
      </colorScale>
    </cfRule>
  </conditionalFormatting>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13.38"/>
  </cols>
  <sheetData>
    <row r="1" ht="15.75" customHeight="1">
      <c r="C1" s="5" t="s">
        <v>133</v>
      </c>
      <c r="D1" s="6" t="s">
        <v>134</v>
      </c>
      <c r="J1" s="69" t="s">
        <v>135</v>
      </c>
      <c r="Z1" s="10" t="s">
        <v>9</v>
      </c>
    </row>
    <row r="2" ht="15.75" customHeight="1">
      <c r="D2" s="6" t="s">
        <v>136</v>
      </c>
      <c r="J2" s="12" t="s">
        <v>137</v>
      </c>
      <c r="O2" s="13" t="s">
        <v>18</v>
      </c>
      <c r="Q2" s="13" t="s">
        <v>19</v>
      </c>
      <c r="S2" s="14" t="s">
        <v>20</v>
      </c>
      <c r="Z2" s="20" t="s">
        <v>25</v>
      </c>
      <c r="AA2" s="20" t="s">
        <v>37</v>
      </c>
    </row>
    <row r="3" ht="15.75" customHeight="1">
      <c r="A3" s="70" t="s">
        <v>21</v>
      </c>
      <c r="B3" s="70" t="s">
        <v>22</v>
      </c>
      <c r="C3" s="70" t="s">
        <v>139</v>
      </c>
      <c r="D3" s="70" t="s">
        <v>24</v>
      </c>
      <c r="E3" s="70" t="s">
        <v>25</v>
      </c>
      <c r="F3" s="70" t="s">
        <v>26</v>
      </c>
      <c r="G3" s="70" t="s">
        <v>30</v>
      </c>
      <c r="H3" s="70" t="s">
        <v>31</v>
      </c>
      <c r="J3" s="17" t="s">
        <v>29</v>
      </c>
      <c r="K3" s="17" t="s">
        <v>25</v>
      </c>
      <c r="L3" s="17" t="s">
        <v>26</v>
      </c>
      <c r="M3" s="17" t="s">
        <v>30</v>
      </c>
      <c r="N3" s="17" t="s">
        <v>31</v>
      </c>
      <c r="O3" s="18" t="s">
        <v>25</v>
      </c>
      <c r="P3" s="18" t="s">
        <v>26</v>
      </c>
      <c r="Q3" s="17" t="s">
        <v>25</v>
      </c>
      <c r="R3" s="17" t="s">
        <v>26</v>
      </c>
      <c r="T3" s="5" t="s">
        <v>32</v>
      </c>
      <c r="Z3" s="23">
        <f t="shared" ref="Z3:AA3" si="1">V3/4</f>
        <v>0</v>
      </c>
      <c r="AA3" s="23">
        <f t="shared" si="1"/>
        <v>0</v>
      </c>
    </row>
    <row r="4" ht="15.75" customHeight="1">
      <c r="A4" s="5" t="s">
        <v>142</v>
      </c>
      <c r="B4" s="5" t="s">
        <v>143</v>
      </c>
      <c r="C4" s="37">
        <v>45992.0</v>
      </c>
      <c r="D4" s="28" t="s">
        <v>64</v>
      </c>
      <c r="E4" s="5">
        <v>142.0</v>
      </c>
      <c r="F4" s="5">
        <v>100.0</v>
      </c>
      <c r="G4" s="5">
        <v>10.0</v>
      </c>
      <c r="H4" s="5">
        <v>6.0</v>
      </c>
      <c r="J4" s="28" t="s">
        <v>39</v>
      </c>
      <c r="K4" s="23">
        <f t="shared" ref="K4:K16" si="3">AVERAGEIF($D$4:$D$350,J4,$E$4:$E$350)</f>
        <v>67.5</v>
      </c>
      <c r="L4" s="23">
        <f t="shared" ref="L4:L16" si="4">AVERAGEIF($D$4:$D$350,J4,$F$4:$F$350)</f>
        <v>47.77777778</v>
      </c>
      <c r="M4" s="23">
        <f t="shared" ref="M4:M16" si="5">AVERAGEIF($D$4:$D$350,J4,$G$4:$G$350)</f>
        <v>0.9444444444</v>
      </c>
      <c r="N4" s="23">
        <f t="shared" ref="N4:N16" si="6">AVERAGEIF($D$4:$D$350,J4,$H$4:$H$350)</f>
        <v>12.5</v>
      </c>
      <c r="O4" s="23">
        <f t="shared" ref="O4:O16" si="7">K4/S4</f>
        <v>8.4375</v>
      </c>
      <c r="P4" s="23">
        <f t="shared" ref="P4:P16" si="8">L4/S4</f>
        <v>5.972222222</v>
      </c>
      <c r="Q4" s="23">
        <f t="shared" ref="Q4:Q16" si="9">K4*T4</f>
        <v>337.5</v>
      </c>
      <c r="R4" s="23">
        <f t="shared" ref="R4:R16" si="10">L4*T4</f>
        <v>238.8888889</v>
      </c>
      <c r="S4" s="30">
        <v>8.0</v>
      </c>
      <c r="T4" s="30">
        <v>5.0</v>
      </c>
      <c r="Z4" s="23">
        <f t="shared" ref="Z4:AA4" si="2">V4/4</f>
        <v>0</v>
      </c>
      <c r="AA4" s="23">
        <f t="shared" si="2"/>
        <v>0</v>
      </c>
    </row>
    <row r="5" ht="15.75" customHeight="1">
      <c r="A5" s="5" t="s">
        <v>142</v>
      </c>
      <c r="B5" s="5" t="s">
        <v>143</v>
      </c>
      <c r="C5" s="37">
        <v>45992.0</v>
      </c>
      <c r="D5" s="28" t="s">
        <v>58</v>
      </c>
      <c r="E5" s="5">
        <v>55.0</v>
      </c>
      <c r="F5" s="5">
        <v>29.0</v>
      </c>
      <c r="G5" s="5">
        <v>11.0</v>
      </c>
      <c r="H5" s="5">
        <v>5.0</v>
      </c>
      <c r="J5" s="28" t="s">
        <v>44</v>
      </c>
      <c r="K5" s="23">
        <f t="shared" si="3"/>
        <v>64.2</v>
      </c>
      <c r="L5" s="23">
        <f t="shared" si="4"/>
        <v>66.8</v>
      </c>
      <c r="M5" s="23">
        <f t="shared" si="5"/>
        <v>0</v>
      </c>
      <c r="N5" s="23">
        <f t="shared" si="6"/>
        <v>0</v>
      </c>
      <c r="O5" s="23">
        <f t="shared" si="7"/>
        <v>5.836363636</v>
      </c>
      <c r="P5" s="23">
        <f t="shared" si="8"/>
        <v>6.072727273</v>
      </c>
      <c r="Q5" s="23">
        <f t="shared" si="9"/>
        <v>256.8</v>
      </c>
      <c r="R5" s="23">
        <f t="shared" si="10"/>
        <v>267.2</v>
      </c>
      <c r="S5" s="30">
        <v>11.0</v>
      </c>
      <c r="T5" s="30">
        <v>4.0</v>
      </c>
      <c r="Z5" s="23">
        <f t="shared" ref="Z5:AA5" si="11">V5/4</f>
        <v>0</v>
      </c>
      <c r="AA5" s="23">
        <f t="shared" si="11"/>
        <v>0</v>
      </c>
    </row>
    <row r="6" ht="15.75" customHeight="1">
      <c r="A6" s="5" t="s">
        <v>142</v>
      </c>
      <c r="B6" s="5" t="s">
        <v>143</v>
      </c>
      <c r="C6" s="37">
        <v>45992.0</v>
      </c>
      <c r="D6" s="28" t="s">
        <v>42</v>
      </c>
      <c r="E6" s="5">
        <v>98.0</v>
      </c>
      <c r="F6" s="5">
        <v>62.0</v>
      </c>
      <c r="G6" s="5">
        <v>10.0</v>
      </c>
      <c r="H6" s="5">
        <v>9.0</v>
      </c>
      <c r="J6" s="28" t="s">
        <v>59</v>
      </c>
      <c r="K6" s="23">
        <f t="shared" si="3"/>
        <v>100.3846154</v>
      </c>
      <c r="L6" s="23">
        <f t="shared" si="4"/>
        <v>88.15384615</v>
      </c>
      <c r="M6" s="23">
        <f t="shared" si="5"/>
        <v>0.4615384615</v>
      </c>
      <c r="N6" s="23">
        <f t="shared" si="6"/>
        <v>0.4615384615</v>
      </c>
      <c r="O6" s="23">
        <f t="shared" si="7"/>
        <v>9.125874126</v>
      </c>
      <c r="P6" s="23">
        <f t="shared" si="8"/>
        <v>8.013986014</v>
      </c>
      <c r="Q6" s="23">
        <f t="shared" si="9"/>
        <v>401.5384615</v>
      </c>
      <c r="R6" s="23">
        <f t="shared" si="10"/>
        <v>352.6153846</v>
      </c>
      <c r="S6" s="30">
        <v>11.0</v>
      </c>
      <c r="T6" s="30">
        <v>4.0</v>
      </c>
      <c r="Z6" s="23">
        <f t="shared" ref="Z6:AA6" si="12">V6/4</f>
        <v>0</v>
      </c>
      <c r="AA6" s="23">
        <f t="shared" si="12"/>
        <v>0</v>
      </c>
    </row>
    <row r="7" ht="15.75" customHeight="1">
      <c r="A7" s="5" t="s">
        <v>142</v>
      </c>
      <c r="B7" s="5" t="s">
        <v>143</v>
      </c>
      <c r="C7" s="37">
        <v>45992.0</v>
      </c>
      <c r="D7" s="28" t="s">
        <v>41</v>
      </c>
      <c r="E7" s="5">
        <v>87.0</v>
      </c>
      <c r="F7" s="5">
        <v>57.0</v>
      </c>
      <c r="G7" s="5">
        <v>4.0</v>
      </c>
      <c r="H7" s="5">
        <v>4.0</v>
      </c>
      <c r="J7" s="28" t="s">
        <v>52</v>
      </c>
      <c r="K7" s="23">
        <f t="shared" si="3"/>
        <v>45.72727273</v>
      </c>
      <c r="L7" s="23">
        <f t="shared" si="4"/>
        <v>29.90909091</v>
      </c>
      <c r="M7" s="23">
        <f t="shared" si="5"/>
        <v>3</v>
      </c>
      <c r="N7" s="23">
        <f t="shared" si="6"/>
        <v>5.090909091</v>
      </c>
      <c r="O7" s="23">
        <f t="shared" si="7"/>
        <v>4.572727273</v>
      </c>
      <c r="P7" s="23">
        <f t="shared" si="8"/>
        <v>2.990909091</v>
      </c>
      <c r="Q7" s="23">
        <f t="shared" si="9"/>
        <v>182.9090909</v>
      </c>
      <c r="R7" s="23">
        <f t="shared" si="10"/>
        <v>119.6363636</v>
      </c>
      <c r="S7" s="30">
        <v>10.0</v>
      </c>
      <c r="T7" s="30">
        <v>4.0</v>
      </c>
      <c r="Z7" s="23">
        <f t="shared" ref="Z7:AA7" si="13">V7/4</f>
        <v>0</v>
      </c>
      <c r="AA7" s="23">
        <f t="shared" si="13"/>
        <v>0</v>
      </c>
    </row>
    <row r="8" ht="15.75" customHeight="1">
      <c r="A8" s="5" t="s">
        <v>142</v>
      </c>
      <c r="B8" s="5" t="s">
        <v>143</v>
      </c>
      <c r="C8" s="37">
        <v>45992.0</v>
      </c>
      <c r="D8" s="28" t="s">
        <v>39</v>
      </c>
      <c r="E8" s="5">
        <v>54.0</v>
      </c>
      <c r="F8" s="5">
        <v>36.0</v>
      </c>
      <c r="G8" s="5">
        <v>1.0</v>
      </c>
      <c r="H8" s="5">
        <v>15.0</v>
      </c>
      <c r="J8" s="28" t="s">
        <v>53</v>
      </c>
      <c r="K8" s="23">
        <f t="shared" si="3"/>
        <v>102.1818182</v>
      </c>
      <c r="L8" s="23">
        <f t="shared" si="4"/>
        <v>71</v>
      </c>
      <c r="M8" s="23">
        <f t="shared" si="5"/>
        <v>1.181818182</v>
      </c>
      <c r="N8" s="23">
        <f t="shared" si="6"/>
        <v>8.181818182</v>
      </c>
      <c r="O8" s="23">
        <f t="shared" si="7"/>
        <v>10.21818182</v>
      </c>
      <c r="P8" s="23">
        <f t="shared" si="8"/>
        <v>7.1</v>
      </c>
      <c r="Q8" s="23">
        <f t="shared" si="9"/>
        <v>408.7272727</v>
      </c>
      <c r="R8" s="23">
        <f t="shared" si="10"/>
        <v>284</v>
      </c>
      <c r="S8" s="30">
        <v>10.0</v>
      </c>
      <c r="T8" s="30">
        <v>4.0</v>
      </c>
      <c r="Z8" s="23">
        <f t="shared" ref="Z8:AA8" si="14">V8/4</f>
        <v>0</v>
      </c>
      <c r="AA8" s="23">
        <f t="shared" si="14"/>
        <v>0</v>
      </c>
    </row>
    <row r="9" ht="15.75" customHeight="1">
      <c r="A9" s="5" t="s">
        <v>142</v>
      </c>
      <c r="B9" s="5" t="s">
        <v>143</v>
      </c>
      <c r="C9" s="37">
        <v>45992.0</v>
      </c>
      <c r="D9" s="28" t="s">
        <v>66</v>
      </c>
      <c r="E9" s="5">
        <v>109.0</v>
      </c>
      <c r="F9" s="5">
        <v>104.0</v>
      </c>
      <c r="G9" s="5">
        <v>0.0</v>
      </c>
      <c r="H9" s="5">
        <v>0.0</v>
      </c>
      <c r="J9" s="28" t="s">
        <v>41</v>
      </c>
      <c r="K9" s="23">
        <f t="shared" si="3"/>
        <v>95.14285714</v>
      </c>
      <c r="L9" s="23">
        <f t="shared" si="4"/>
        <v>67.42857143</v>
      </c>
      <c r="M9" s="23">
        <f t="shared" si="5"/>
        <v>2.642857143</v>
      </c>
      <c r="N9" s="23">
        <f t="shared" si="6"/>
        <v>4.928571429</v>
      </c>
      <c r="O9" s="23">
        <f t="shared" si="7"/>
        <v>8.649350649</v>
      </c>
      <c r="P9" s="23">
        <f t="shared" si="8"/>
        <v>6.12987013</v>
      </c>
      <c r="Q9" s="23">
        <f t="shared" si="9"/>
        <v>380.5714286</v>
      </c>
      <c r="R9" s="23">
        <f t="shared" si="10"/>
        <v>269.7142857</v>
      </c>
      <c r="S9" s="30">
        <v>11.0</v>
      </c>
      <c r="T9" s="30">
        <v>4.0</v>
      </c>
      <c r="Z9" s="23">
        <f t="shared" ref="Z9:AA9" si="15">V9/4</f>
        <v>0</v>
      </c>
      <c r="AA9" s="23">
        <f t="shared" si="15"/>
        <v>0</v>
      </c>
    </row>
    <row r="10" ht="15.75" customHeight="1">
      <c r="A10" s="5" t="s">
        <v>142</v>
      </c>
      <c r="B10" s="5" t="s">
        <v>143</v>
      </c>
      <c r="C10" s="37">
        <v>45992.0</v>
      </c>
      <c r="D10" s="28" t="s">
        <v>44</v>
      </c>
      <c r="E10" s="5">
        <v>91.0</v>
      </c>
      <c r="F10" s="5">
        <v>91.0</v>
      </c>
      <c r="G10" s="5">
        <v>0.0</v>
      </c>
      <c r="H10" s="5">
        <v>0.0</v>
      </c>
      <c r="J10" s="28" t="s">
        <v>42</v>
      </c>
      <c r="K10" s="23">
        <f t="shared" si="3"/>
        <v>102.0714286</v>
      </c>
      <c r="L10" s="23">
        <f t="shared" si="4"/>
        <v>68.35714286</v>
      </c>
      <c r="M10" s="23">
        <f t="shared" si="5"/>
        <v>5.142857143</v>
      </c>
      <c r="N10" s="23">
        <f t="shared" si="6"/>
        <v>10.64285714</v>
      </c>
      <c r="O10" s="23">
        <f t="shared" si="7"/>
        <v>10.20714286</v>
      </c>
      <c r="P10" s="23">
        <f t="shared" si="8"/>
        <v>6.835714286</v>
      </c>
      <c r="Q10" s="23">
        <f t="shared" si="9"/>
        <v>408.2857143</v>
      </c>
      <c r="R10" s="23">
        <f t="shared" si="10"/>
        <v>273.4285714</v>
      </c>
      <c r="S10" s="30">
        <v>10.0</v>
      </c>
      <c r="T10" s="30">
        <v>4.0</v>
      </c>
      <c r="Z10" s="23">
        <f t="shared" ref="Z10:AA10" si="16">V10/4</f>
        <v>0</v>
      </c>
      <c r="AA10" s="23">
        <f t="shared" si="16"/>
        <v>0</v>
      </c>
    </row>
    <row r="11" ht="15.75" customHeight="1">
      <c r="A11" s="5" t="s">
        <v>142</v>
      </c>
      <c r="B11" s="5" t="s">
        <v>143</v>
      </c>
      <c r="C11" s="37">
        <v>45992.0</v>
      </c>
      <c r="D11" s="28" t="s">
        <v>67</v>
      </c>
      <c r="E11" s="5">
        <v>62.0</v>
      </c>
      <c r="F11" s="5">
        <v>51.0</v>
      </c>
      <c r="G11" s="5">
        <v>2.0</v>
      </c>
      <c r="H11" s="5">
        <v>0.0</v>
      </c>
      <c r="J11" s="28" t="s">
        <v>67</v>
      </c>
      <c r="K11" s="23">
        <f t="shared" si="3"/>
        <v>71.92307692</v>
      </c>
      <c r="L11" s="23">
        <f t="shared" si="4"/>
        <v>54.07692308</v>
      </c>
      <c r="M11" s="23">
        <f t="shared" si="5"/>
        <v>2.307692308</v>
      </c>
      <c r="N11" s="23">
        <f t="shared" si="6"/>
        <v>2.307692308</v>
      </c>
      <c r="O11" s="23">
        <f t="shared" si="7"/>
        <v>7.192307692</v>
      </c>
      <c r="P11" s="23">
        <f t="shared" si="8"/>
        <v>5.407692308</v>
      </c>
      <c r="Q11" s="23">
        <f t="shared" si="9"/>
        <v>287.6923077</v>
      </c>
      <c r="R11" s="23">
        <f t="shared" si="10"/>
        <v>216.3076923</v>
      </c>
      <c r="S11" s="30">
        <v>10.0</v>
      </c>
      <c r="T11" s="30">
        <v>4.0</v>
      </c>
      <c r="Z11" s="23">
        <f t="shared" ref="Z11:AA11" si="17">V11/4</f>
        <v>0</v>
      </c>
      <c r="AA11" s="23">
        <f t="shared" si="17"/>
        <v>0</v>
      </c>
    </row>
    <row r="12" ht="15.75" customHeight="1">
      <c r="A12" s="5" t="s">
        <v>142</v>
      </c>
      <c r="B12" s="5" t="s">
        <v>143</v>
      </c>
      <c r="C12" s="37">
        <v>45992.0</v>
      </c>
      <c r="D12" s="5" t="s">
        <v>90</v>
      </c>
      <c r="E12" s="5">
        <v>235.0</v>
      </c>
      <c r="F12" s="5">
        <v>80.0</v>
      </c>
      <c r="G12" s="5">
        <v>0.0</v>
      </c>
      <c r="H12" s="5">
        <v>0.0</v>
      </c>
      <c r="J12" s="28" t="s">
        <v>58</v>
      </c>
      <c r="K12" s="23">
        <f t="shared" si="3"/>
        <v>61.3</v>
      </c>
      <c r="L12" s="23">
        <f t="shared" si="4"/>
        <v>40.3</v>
      </c>
      <c r="M12" s="23">
        <f t="shared" si="5"/>
        <v>5.9</v>
      </c>
      <c r="N12" s="23">
        <f t="shared" si="6"/>
        <v>5.6</v>
      </c>
      <c r="O12" s="23">
        <f t="shared" si="7"/>
        <v>7.6625</v>
      </c>
      <c r="P12" s="23">
        <f t="shared" si="8"/>
        <v>5.0375</v>
      </c>
      <c r="Q12" s="23">
        <f t="shared" si="9"/>
        <v>306.5</v>
      </c>
      <c r="R12" s="23">
        <f t="shared" si="10"/>
        <v>201.5</v>
      </c>
      <c r="S12" s="30">
        <v>8.0</v>
      </c>
      <c r="T12" s="30">
        <v>5.0</v>
      </c>
      <c r="Z12" s="23">
        <f t="shared" ref="Z12:AA12" si="18">V12/4</f>
        <v>0</v>
      </c>
      <c r="AA12" s="23">
        <f t="shared" si="18"/>
        <v>0</v>
      </c>
    </row>
    <row r="13" ht="15.75" customHeight="1">
      <c r="A13" s="5" t="s">
        <v>142</v>
      </c>
      <c r="B13" s="5" t="s">
        <v>143</v>
      </c>
      <c r="C13" s="37">
        <v>45992.0</v>
      </c>
      <c r="D13" s="5" t="s">
        <v>93</v>
      </c>
      <c r="E13" s="5">
        <v>161.0</v>
      </c>
      <c r="F13" s="5">
        <v>92.0</v>
      </c>
      <c r="G13" s="5">
        <v>0.0</v>
      </c>
      <c r="H13" s="5">
        <v>0.0</v>
      </c>
      <c r="J13" s="28" t="s">
        <v>64</v>
      </c>
      <c r="K13" s="23">
        <f t="shared" si="3"/>
        <v>132.5263158</v>
      </c>
      <c r="L13" s="23">
        <f t="shared" si="4"/>
        <v>83.57894737</v>
      </c>
      <c r="M13" s="23">
        <f t="shared" si="5"/>
        <v>6.368421053</v>
      </c>
      <c r="N13" s="23">
        <f t="shared" si="6"/>
        <v>13.89473684</v>
      </c>
      <c r="O13" s="23">
        <f t="shared" si="7"/>
        <v>16.56578947</v>
      </c>
      <c r="P13" s="23">
        <f t="shared" si="8"/>
        <v>10.44736842</v>
      </c>
      <c r="Q13" s="23">
        <f t="shared" si="9"/>
        <v>662.6315789</v>
      </c>
      <c r="R13" s="23">
        <f t="shared" si="10"/>
        <v>417.8947368</v>
      </c>
      <c r="S13" s="30">
        <v>8.0</v>
      </c>
      <c r="T13" s="30">
        <v>5.0</v>
      </c>
      <c r="Z13" s="23">
        <f t="shared" ref="Z13:AA13" si="19">V13/4</f>
        <v>0</v>
      </c>
      <c r="AA13" s="23">
        <f t="shared" si="19"/>
        <v>0</v>
      </c>
    </row>
    <row r="14" ht="15.75" customHeight="1">
      <c r="A14" s="5" t="s">
        <v>142</v>
      </c>
      <c r="B14" s="5" t="s">
        <v>143</v>
      </c>
      <c r="C14" s="37">
        <v>45992.0</v>
      </c>
      <c r="D14" s="5" t="s">
        <v>89</v>
      </c>
      <c r="E14" s="5">
        <v>118.0</v>
      </c>
      <c r="F14" s="5">
        <v>49.0</v>
      </c>
      <c r="G14" s="5">
        <v>0.0</v>
      </c>
      <c r="H14" s="5">
        <v>0.0</v>
      </c>
      <c r="J14" s="28" t="s">
        <v>65</v>
      </c>
      <c r="K14" s="23">
        <f t="shared" si="3"/>
        <v>58</v>
      </c>
      <c r="L14" s="23">
        <f t="shared" si="4"/>
        <v>47.29411765</v>
      </c>
      <c r="M14" s="23">
        <f t="shared" si="5"/>
        <v>2.764705882</v>
      </c>
      <c r="N14" s="23">
        <f t="shared" si="6"/>
        <v>1.588235294</v>
      </c>
      <c r="O14" s="23">
        <f t="shared" si="7"/>
        <v>7.25</v>
      </c>
      <c r="P14" s="23">
        <f t="shared" si="8"/>
        <v>5.911764706</v>
      </c>
      <c r="Q14" s="23">
        <f t="shared" si="9"/>
        <v>290</v>
      </c>
      <c r="R14" s="23">
        <f t="shared" si="10"/>
        <v>236.4705882</v>
      </c>
      <c r="S14" s="30">
        <v>8.0</v>
      </c>
      <c r="T14" s="30">
        <v>5.0</v>
      </c>
      <c r="Z14" s="23">
        <f t="shared" ref="Z14:AA14" si="20">V14/4</f>
        <v>0</v>
      </c>
      <c r="AA14" s="23">
        <f t="shared" si="20"/>
        <v>0</v>
      </c>
    </row>
    <row r="15" ht="15.75" customHeight="1">
      <c r="A15" s="5" t="s">
        <v>150</v>
      </c>
      <c r="B15" s="5" t="s">
        <v>143</v>
      </c>
      <c r="C15" s="37">
        <v>45993.0</v>
      </c>
      <c r="D15" s="28" t="s">
        <v>64</v>
      </c>
      <c r="E15" s="5">
        <v>193.0</v>
      </c>
      <c r="F15" s="5">
        <v>122.0</v>
      </c>
      <c r="G15" s="5">
        <v>4.0</v>
      </c>
      <c r="H15" s="5">
        <v>25.0</v>
      </c>
      <c r="J15" s="28" t="s">
        <v>51</v>
      </c>
      <c r="K15" s="23">
        <f t="shared" si="3"/>
        <v>51.63636364</v>
      </c>
      <c r="L15" s="23">
        <f t="shared" si="4"/>
        <v>41.63636364</v>
      </c>
      <c r="M15" s="23">
        <f t="shared" si="5"/>
        <v>2.416666667</v>
      </c>
      <c r="N15" s="23">
        <f t="shared" si="6"/>
        <v>9.583333333</v>
      </c>
      <c r="O15" s="23">
        <f t="shared" si="7"/>
        <v>4.694214876</v>
      </c>
      <c r="P15" s="23">
        <f t="shared" si="8"/>
        <v>3.785123967</v>
      </c>
      <c r="Q15" s="23">
        <f t="shared" si="9"/>
        <v>206.5454545</v>
      </c>
      <c r="R15" s="23">
        <f t="shared" si="10"/>
        <v>166.5454545</v>
      </c>
      <c r="S15" s="30">
        <v>11.0</v>
      </c>
      <c r="T15" s="30">
        <v>4.0</v>
      </c>
      <c r="Z15" s="23">
        <f t="shared" ref="Z15:AA15" si="21">V15/4</f>
        <v>0</v>
      </c>
      <c r="AA15" s="23">
        <f t="shared" si="21"/>
        <v>0</v>
      </c>
    </row>
    <row r="16" ht="15.75" customHeight="1">
      <c r="A16" s="5" t="s">
        <v>150</v>
      </c>
      <c r="B16" s="5" t="s">
        <v>143</v>
      </c>
      <c r="C16" s="37">
        <v>45993.0</v>
      </c>
      <c r="D16" s="28" t="s">
        <v>58</v>
      </c>
      <c r="E16" s="5">
        <v>78.0</v>
      </c>
      <c r="F16" s="5">
        <v>58.0</v>
      </c>
      <c r="G16" s="5">
        <v>7.0</v>
      </c>
      <c r="H16" s="5">
        <v>3.0</v>
      </c>
      <c r="J16" s="28" t="s">
        <v>66</v>
      </c>
      <c r="K16" s="23">
        <f t="shared" si="3"/>
        <v>108.5789474</v>
      </c>
      <c r="L16" s="23">
        <f t="shared" si="4"/>
        <v>98.63157895</v>
      </c>
      <c r="M16" s="23">
        <f t="shared" si="5"/>
        <v>0.05263157895</v>
      </c>
      <c r="N16" s="23">
        <f t="shared" si="6"/>
        <v>2.947368421</v>
      </c>
      <c r="O16" s="23">
        <f t="shared" si="7"/>
        <v>13.57236842</v>
      </c>
      <c r="P16" s="23">
        <f t="shared" si="8"/>
        <v>12.32894737</v>
      </c>
      <c r="Q16" s="23">
        <f t="shared" si="9"/>
        <v>542.8947368</v>
      </c>
      <c r="R16" s="23">
        <f t="shared" si="10"/>
        <v>493.1578947</v>
      </c>
      <c r="S16" s="30">
        <v>8.0</v>
      </c>
      <c r="T16" s="30">
        <v>5.0</v>
      </c>
    </row>
    <row r="17" ht="15.75" customHeight="1">
      <c r="A17" s="5" t="s">
        <v>150</v>
      </c>
      <c r="B17" s="5" t="s">
        <v>143</v>
      </c>
      <c r="C17" s="37">
        <v>45993.0</v>
      </c>
      <c r="D17" s="28" t="s">
        <v>39</v>
      </c>
      <c r="E17" s="5">
        <v>69.0</v>
      </c>
      <c r="F17" s="5">
        <v>47.0</v>
      </c>
      <c r="G17" s="5">
        <v>1.0</v>
      </c>
      <c r="H17" s="5">
        <v>14.0</v>
      </c>
    </row>
    <row r="18" ht="15.75" customHeight="1">
      <c r="A18" s="5" t="s">
        <v>150</v>
      </c>
      <c r="B18" s="5" t="s">
        <v>143</v>
      </c>
      <c r="C18" s="37">
        <v>45993.0</v>
      </c>
      <c r="D18" s="28" t="s">
        <v>42</v>
      </c>
      <c r="E18" s="5">
        <v>107.0</v>
      </c>
      <c r="F18" s="5">
        <v>58.0</v>
      </c>
      <c r="G18" s="5">
        <v>6.0</v>
      </c>
      <c r="H18" s="5">
        <v>17.0</v>
      </c>
    </row>
    <row r="19" ht="15.75" customHeight="1">
      <c r="A19" s="5" t="s">
        <v>150</v>
      </c>
      <c r="B19" s="5" t="s">
        <v>143</v>
      </c>
      <c r="C19" s="37">
        <v>45993.0</v>
      </c>
      <c r="D19" s="28" t="s">
        <v>41</v>
      </c>
      <c r="E19" s="5">
        <v>67.0</v>
      </c>
      <c r="F19" s="5">
        <v>46.0</v>
      </c>
      <c r="G19" s="5">
        <v>2.0</v>
      </c>
      <c r="H19" s="5">
        <v>0.0</v>
      </c>
    </row>
    <row r="20" ht="15.75" customHeight="1">
      <c r="A20" s="5" t="s">
        <v>150</v>
      </c>
      <c r="B20" s="5" t="s">
        <v>143</v>
      </c>
      <c r="C20" s="37">
        <v>45993.0</v>
      </c>
      <c r="D20" s="28" t="s">
        <v>66</v>
      </c>
      <c r="E20" s="5">
        <v>117.0</v>
      </c>
      <c r="F20" s="5">
        <v>111.0</v>
      </c>
      <c r="G20" s="5">
        <v>0.0</v>
      </c>
      <c r="H20" s="5">
        <v>8.0</v>
      </c>
      <c r="J20" s="39" t="s">
        <v>69</v>
      </c>
      <c r="K20" s="40">
        <f t="shared" ref="K20:R20" si="22">AVERAGE(K4:K16)</f>
        <v>81.6286689</v>
      </c>
      <c r="L20" s="40">
        <f t="shared" si="22"/>
        <v>61.91879691</v>
      </c>
      <c r="M20" s="40">
        <f t="shared" si="22"/>
        <v>2.552587143</v>
      </c>
      <c r="N20" s="40">
        <f t="shared" si="22"/>
        <v>5.979004654</v>
      </c>
      <c r="O20" s="39">
        <f t="shared" si="22"/>
        <v>8.768024679</v>
      </c>
      <c r="P20" s="39">
        <f t="shared" si="22"/>
        <v>6.617986599</v>
      </c>
      <c r="Q20" s="39">
        <f t="shared" si="22"/>
        <v>359.4304651</v>
      </c>
      <c r="R20" s="39">
        <f t="shared" si="22"/>
        <v>272.1046047</v>
      </c>
    </row>
    <row r="21" ht="15.75" customHeight="1">
      <c r="A21" s="5" t="s">
        <v>150</v>
      </c>
      <c r="B21" s="5" t="s">
        <v>143</v>
      </c>
      <c r="C21" s="37">
        <v>45993.0</v>
      </c>
      <c r="D21" s="28" t="s">
        <v>67</v>
      </c>
      <c r="E21" s="5">
        <v>68.0</v>
      </c>
      <c r="F21" s="5">
        <v>61.0</v>
      </c>
      <c r="G21" s="5">
        <v>0.0</v>
      </c>
      <c r="H21" s="5">
        <v>0.0</v>
      </c>
      <c r="J21" s="5" t="s">
        <v>152</v>
      </c>
    </row>
    <row r="22" ht="15.75" customHeight="1">
      <c r="A22" s="5" t="s">
        <v>150</v>
      </c>
      <c r="B22" s="5" t="s">
        <v>143</v>
      </c>
      <c r="C22" s="37">
        <v>45993.0</v>
      </c>
      <c r="D22" s="28" t="s">
        <v>59</v>
      </c>
      <c r="E22" s="5">
        <v>68.0</v>
      </c>
      <c r="F22" s="5">
        <v>45.0</v>
      </c>
      <c r="G22" s="5">
        <v>0.0</v>
      </c>
      <c r="H22" s="5">
        <v>3.0</v>
      </c>
      <c r="J22" s="42" t="s">
        <v>73</v>
      </c>
    </row>
    <row r="23" ht="15.75" customHeight="1">
      <c r="A23" s="5" t="s">
        <v>150</v>
      </c>
      <c r="B23" s="5" t="s">
        <v>143</v>
      </c>
      <c r="C23" s="37">
        <v>45993.0</v>
      </c>
      <c r="D23" s="5" t="s">
        <v>89</v>
      </c>
      <c r="E23" s="5">
        <v>126.0</v>
      </c>
      <c r="F23" s="5">
        <v>54.0</v>
      </c>
      <c r="G23" s="5">
        <v>0.0</v>
      </c>
      <c r="H23" s="5">
        <v>0.0</v>
      </c>
      <c r="K23" s="44" t="s">
        <v>74</v>
      </c>
      <c r="O23" s="45" t="s">
        <v>75</v>
      </c>
      <c r="Q23" s="45" t="s">
        <v>76</v>
      </c>
    </row>
    <row r="24" ht="15.75" customHeight="1">
      <c r="A24" s="5" t="s">
        <v>150</v>
      </c>
      <c r="B24" s="5" t="s">
        <v>143</v>
      </c>
      <c r="C24" s="37">
        <v>45993.0</v>
      </c>
      <c r="D24" s="5" t="s">
        <v>90</v>
      </c>
      <c r="E24" s="5">
        <v>129.0</v>
      </c>
      <c r="F24" s="5">
        <v>62.0</v>
      </c>
      <c r="G24" s="5">
        <v>0.0</v>
      </c>
      <c r="H24" s="5">
        <v>0.0</v>
      </c>
      <c r="K24" s="47" t="s">
        <v>25</v>
      </c>
      <c r="L24" s="47" t="s">
        <v>26</v>
      </c>
      <c r="M24" s="48" t="s">
        <v>79</v>
      </c>
      <c r="N24" s="47" t="s">
        <v>31</v>
      </c>
      <c r="O24" s="47" t="s">
        <v>25</v>
      </c>
      <c r="P24" s="47" t="s">
        <v>26</v>
      </c>
      <c r="Q24" s="47" t="s">
        <v>25</v>
      </c>
      <c r="R24" s="47" t="s">
        <v>26</v>
      </c>
    </row>
    <row r="25" ht="15.75" customHeight="1">
      <c r="A25" s="5" t="s">
        <v>150</v>
      </c>
      <c r="B25" s="5" t="s">
        <v>143</v>
      </c>
      <c r="C25" s="37">
        <v>45993.0</v>
      </c>
      <c r="D25" s="5" t="s">
        <v>93</v>
      </c>
      <c r="E25" s="5">
        <v>126.0</v>
      </c>
      <c r="F25" s="5">
        <v>86.0</v>
      </c>
      <c r="G25" s="5">
        <v>0.0</v>
      </c>
      <c r="H25" s="5">
        <v>0.0</v>
      </c>
      <c r="J25" s="16"/>
      <c r="K25" s="49" t="s">
        <v>64</v>
      </c>
      <c r="L25" s="49" t="s">
        <v>66</v>
      </c>
      <c r="M25" s="49" t="s">
        <v>64</v>
      </c>
      <c r="N25" s="49" t="s">
        <v>64</v>
      </c>
      <c r="O25" s="49" t="s">
        <v>64</v>
      </c>
      <c r="P25" s="49" t="s">
        <v>66</v>
      </c>
      <c r="Q25" s="49" t="s">
        <v>64</v>
      </c>
      <c r="R25" s="50" t="s">
        <v>66</v>
      </c>
    </row>
    <row r="26" ht="15.75" customHeight="1">
      <c r="A26" s="5" t="s">
        <v>153</v>
      </c>
      <c r="B26" s="5" t="s">
        <v>143</v>
      </c>
      <c r="C26" s="37">
        <v>45994.0</v>
      </c>
      <c r="D26" s="28" t="s">
        <v>64</v>
      </c>
      <c r="E26" s="5">
        <v>183.0</v>
      </c>
      <c r="F26" s="5">
        <v>121.0</v>
      </c>
      <c r="G26" s="5">
        <v>6.0</v>
      </c>
      <c r="H26" s="5">
        <v>18.0</v>
      </c>
      <c r="J26" s="16"/>
      <c r="K26" s="49" t="s">
        <v>66</v>
      </c>
      <c r="L26" s="49" t="s">
        <v>59</v>
      </c>
      <c r="M26" s="49" t="s">
        <v>58</v>
      </c>
      <c r="N26" s="49" t="s">
        <v>39</v>
      </c>
      <c r="O26" s="49" t="s">
        <v>66</v>
      </c>
      <c r="P26" s="49" t="s">
        <v>64</v>
      </c>
      <c r="Q26" s="49" t="s">
        <v>66</v>
      </c>
      <c r="R26" s="50" t="s">
        <v>64</v>
      </c>
    </row>
    <row r="27" ht="15.75" customHeight="1">
      <c r="A27" s="5" t="s">
        <v>153</v>
      </c>
      <c r="B27" s="5" t="s">
        <v>143</v>
      </c>
      <c r="C27" s="37">
        <v>45994.0</v>
      </c>
      <c r="D27" s="28" t="s">
        <v>58</v>
      </c>
      <c r="E27" s="5">
        <v>74.0</v>
      </c>
      <c r="F27" s="5">
        <v>46.0</v>
      </c>
      <c r="G27" s="5">
        <v>10.0</v>
      </c>
      <c r="H27" s="5">
        <v>20.0</v>
      </c>
      <c r="J27" s="16"/>
      <c r="K27" s="49" t="s">
        <v>53</v>
      </c>
      <c r="L27" s="49" t="s">
        <v>64</v>
      </c>
      <c r="M27" s="49" t="s">
        <v>42</v>
      </c>
      <c r="N27" s="49" t="s">
        <v>42</v>
      </c>
      <c r="O27" s="49" t="s">
        <v>53</v>
      </c>
      <c r="P27" s="49" t="s">
        <v>59</v>
      </c>
      <c r="Q27" s="49" t="s">
        <v>53</v>
      </c>
      <c r="R27" s="50" t="s">
        <v>59</v>
      </c>
    </row>
    <row r="28" ht="15.75" customHeight="1">
      <c r="A28" s="5" t="s">
        <v>153</v>
      </c>
      <c r="B28" s="5" t="s">
        <v>143</v>
      </c>
      <c r="C28" s="37">
        <v>45994.0</v>
      </c>
      <c r="D28" s="28" t="s">
        <v>42</v>
      </c>
      <c r="E28" s="5">
        <v>79.0</v>
      </c>
      <c r="F28" s="5">
        <v>57.0</v>
      </c>
      <c r="G28" s="5">
        <v>5.0</v>
      </c>
      <c r="H28" s="5">
        <v>20.0</v>
      </c>
      <c r="J28" s="53"/>
      <c r="K28" s="49" t="s">
        <v>42</v>
      </c>
      <c r="L28" s="49" t="s">
        <v>53</v>
      </c>
      <c r="M28" s="49" t="s">
        <v>52</v>
      </c>
      <c r="N28" s="49" t="s">
        <v>51</v>
      </c>
      <c r="O28" s="49" t="s">
        <v>42</v>
      </c>
      <c r="P28" s="49" t="s">
        <v>53</v>
      </c>
      <c r="Q28" s="49" t="s">
        <v>42</v>
      </c>
      <c r="R28" s="50" t="s">
        <v>53</v>
      </c>
    </row>
    <row r="29" ht="15.75" customHeight="1">
      <c r="A29" s="5" t="s">
        <v>153</v>
      </c>
      <c r="B29" s="5" t="s">
        <v>143</v>
      </c>
      <c r="C29" s="37">
        <v>45994.0</v>
      </c>
      <c r="D29" s="28" t="s">
        <v>41</v>
      </c>
      <c r="E29" s="5">
        <v>92.0</v>
      </c>
      <c r="F29" s="5">
        <v>78.0</v>
      </c>
      <c r="G29" s="5">
        <v>4.0</v>
      </c>
      <c r="H29" s="5">
        <v>3.0</v>
      </c>
      <c r="J29" s="53"/>
      <c r="K29" s="49" t="s">
        <v>59</v>
      </c>
      <c r="L29" s="49" t="s">
        <v>42</v>
      </c>
      <c r="M29" s="49" t="s">
        <v>65</v>
      </c>
      <c r="N29" s="49" t="s">
        <v>53</v>
      </c>
      <c r="O29" s="49" t="s">
        <v>59</v>
      </c>
      <c r="P29" s="49" t="s">
        <v>42</v>
      </c>
      <c r="Q29" s="49" t="s">
        <v>59</v>
      </c>
      <c r="R29" s="50" t="s">
        <v>42</v>
      </c>
    </row>
    <row r="30" ht="15.75" customHeight="1">
      <c r="A30" s="5" t="s">
        <v>153</v>
      </c>
      <c r="B30" s="5" t="s">
        <v>143</v>
      </c>
      <c r="C30" s="37">
        <v>45994.0</v>
      </c>
      <c r="D30" s="28" t="s">
        <v>51</v>
      </c>
      <c r="E30" s="5">
        <v>92.0</v>
      </c>
      <c r="F30" s="5">
        <v>80.0</v>
      </c>
      <c r="G30" s="5">
        <v>3.0</v>
      </c>
      <c r="H30" s="5">
        <v>14.0</v>
      </c>
      <c r="J30" s="53"/>
      <c r="K30" s="52" t="s">
        <v>41</v>
      </c>
      <c r="L30" s="52" t="s">
        <v>41</v>
      </c>
      <c r="M30" s="52" t="s">
        <v>41</v>
      </c>
      <c r="N30" s="52" t="s">
        <v>58</v>
      </c>
      <c r="O30" s="52" t="s">
        <v>41</v>
      </c>
      <c r="P30" s="52" t="s">
        <v>41</v>
      </c>
      <c r="Q30" s="52" t="s">
        <v>41</v>
      </c>
      <c r="R30" s="52" t="s">
        <v>41</v>
      </c>
    </row>
    <row r="31" ht="15.75" customHeight="1">
      <c r="A31" s="5" t="s">
        <v>153</v>
      </c>
      <c r="B31" s="5" t="s">
        <v>143</v>
      </c>
      <c r="C31" s="37">
        <v>45994.0</v>
      </c>
      <c r="D31" s="28" t="s">
        <v>39</v>
      </c>
      <c r="E31" s="5">
        <v>48.0</v>
      </c>
      <c r="F31" s="5">
        <v>39.0</v>
      </c>
      <c r="G31" s="5">
        <v>1.0</v>
      </c>
      <c r="H31" s="5">
        <v>11.0</v>
      </c>
      <c r="J31" s="53"/>
      <c r="K31" s="52" t="s">
        <v>67</v>
      </c>
      <c r="L31" s="52" t="s">
        <v>44</v>
      </c>
      <c r="M31" s="52" t="s">
        <v>51</v>
      </c>
      <c r="N31" s="52" t="s">
        <v>52</v>
      </c>
      <c r="O31" s="52" t="s">
        <v>39</v>
      </c>
      <c r="P31" s="52" t="s">
        <v>44</v>
      </c>
      <c r="Q31" s="52" t="s">
        <v>39</v>
      </c>
      <c r="R31" s="52" t="s">
        <v>44</v>
      </c>
    </row>
    <row r="32" ht="15.75" customHeight="1">
      <c r="A32" s="5" t="s">
        <v>153</v>
      </c>
      <c r="B32" s="5" t="s">
        <v>143</v>
      </c>
      <c r="C32" s="37">
        <v>45994.0</v>
      </c>
      <c r="D32" s="28" t="s">
        <v>66</v>
      </c>
      <c r="E32" s="5">
        <v>137.0</v>
      </c>
      <c r="F32" s="5">
        <v>114.0</v>
      </c>
      <c r="G32" s="5">
        <v>0.0</v>
      </c>
      <c r="H32" s="5">
        <v>11.0</v>
      </c>
      <c r="J32" s="53"/>
      <c r="K32" s="52" t="s">
        <v>39</v>
      </c>
      <c r="L32" s="52" t="s">
        <v>67</v>
      </c>
      <c r="M32" s="52" t="s">
        <v>67</v>
      </c>
      <c r="N32" s="52" t="s">
        <v>41</v>
      </c>
      <c r="O32" s="52" t="s">
        <v>58</v>
      </c>
      <c r="P32" s="52" t="s">
        <v>39</v>
      </c>
      <c r="Q32" s="52" t="s">
        <v>58</v>
      </c>
      <c r="R32" s="52" t="s">
        <v>39</v>
      </c>
    </row>
    <row r="33" ht="15.75" customHeight="1">
      <c r="A33" s="5" t="s">
        <v>153</v>
      </c>
      <c r="B33" s="5" t="s">
        <v>143</v>
      </c>
      <c r="C33" s="37">
        <v>45994.0</v>
      </c>
      <c r="D33" s="28" t="s">
        <v>67</v>
      </c>
      <c r="E33" s="5">
        <v>80.0</v>
      </c>
      <c r="F33" s="5">
        <v>67.0</v>
      </c>
      <c r="G33" s="5">
        <v>3.0</v>
      </c>
      <c r="H33" s="5">
        <v>0.0</v>
      </c>
      <c r="J33" s="53"/>
      <c r="K33" s="52" t="s">
        <v>44</v>
      </c>
      <c r="L33" s="52" t="s">
        <v>39</v>
      </c>
      <c r="M33" s="52" t="s">
        <v>53</v>
      </c>
      <c r="N33" s="52" t="s">
        <v>66</v>
      </c>
      <c r="O33" s="52" t="s">
        <v>65</v>
      </c>
      <c r="P33" s="52" t="s">
        <v>65</v>
      </c>
      <c r="Q33" s="52" t="s">
        <v>65</v>
      </c>
      <c r="R33" s="52" t="s">
        <v>65</v>
      </c>
    </row>
    <row r="34" ht="15.75" customHeight="1">
      <c r="A34" s="5" t="s">
        <v>153</v>
      </c>
      <c r="B34" s="5" t="s">
        <v>143</v>
      </c>
      <c r="C34" s="37">
        <v>45994.0</v>
      </c>
      <c r="D34" s="5" t="s">
        <v>93</v>
      </c>
      <c r="E34" s="5">
        <v>84.0</v>
      </c>
      <c r="F34" s="5">
        <v>65.0</v>
      </c>
      <c r="G34" s="5">
        <v>0.0</v>
      </c>
      <c r="H34" s="5">
        <v>0.0</v>
      </c>
      <c r="K34" s="52" t="s">
        <v>58</v>
      </c>
      <c r="L34" s="52" t="s">
        <v>65</v>
      </c>
      <c r="M34" s="52" t="s">
        <v>39</v>
      </c>
      <c r="N34" s="52" t="s">
        <v>67</v>
      </c>
      <c r="O34" s="52" t="s">
        <v>67</v>
      </c>
      <c r="P34" s="52" t="s">
        <v>67</v>
      </c>
      <c r="Q34" s="52" t="s">
        <v>67</v>
      </c>
      <c r="R34" s="52" t="s">
        <v>67</v>
      </c>
    </row>
    <row r="35" ht="15.75" customHeight="1">
      <c r="A35" s="5" t="s">
        <v>153</v>
      </c>
      <c r="B35" s="5" t="s">
        <v>143</v>
      </c>
      <c r="C35" s="37">
        <v>45994.0</v>
      </c>
      <c r="D35" s="5" t="s">
        <v>108</v>
      </c>
      <c r="E35" s="5">
        <v>119.0</v>
      </c>
      <c r="F35" s="5">
        <v>45.0</v>
      </c>
      <c r="G35" s="5">
        <v>0.0</v>
      </c>
      <c r="H35" s="5">
        <v>7.0</v>
      </c>
      <c r="K35" s="54" t="s">
        <v>65</v>
      </c>
      <c r="L35" s="54" t="s">
        <v>51</v>
      </c>
      <c r="M35" s="54" t="s">
        <v>59</v>
      </c>
      <c r="N35" s="54" t="s">
        <v>65</v>
      </c>
      <c r="O35" s="54" t="s">
        <v>44</v>
      </c>
      <c r="P35" s="54" t="s">
        <v>58</v>
      </c>
      <c r="Q35" s="54" t="s">
        <v>44</v>
      </c>
      <c r="R35" s="54" t="s">
        <v>58</v>
      </c>
    </row>
    <row r="36" ht="15.75" customHeight="1">
      <c r="A36" s="5" t="s">
        <v>153</v>
      </c>
      <c r="B36" s="5" t="s">
        <v>143</v>
      </c>
      <c r="C36" s="37">
        <v>45994.0</v>
      </c>
      <c r="D36" s="5" t="s">
        <v>107</v>
      </c>
      <c r="E36" s="5">
        <v>49.0</v>
      </c>
      <c r="F36" s="5">
        <v>30.0</v>
      </c>
      <c r="G36" s="5">
        <v>0.0</v>
      </c>
      <c r="H36" s="5">
        <v>0.0</v>
      </c>
      <c r="K36" s="54" t="s">
        <v>51</v>
      </c>
      <c r="L36" s="54" t="s">
        <v>58</v>
      </c>
      <c r="M36" s="54" t="s">
        <v>66</v>
      </c>
      <c r="N36" s="54" t="s">
        <v>59</v>
      </c>
      <c r="O36" s="54" t="s">
        <v>51</v>
      </c>
      <c r="P36" s="54" t="s">
        <v>51</v>
      </c>
      <c r="Q36" s="54" t="s">
        <v>51</v>
      </c>
      <c r="R36" s="54" t="s">
        <v>51</v>
      </c>
    </row>
    <row r="37" ht="15.75" customHeight="1">
      <c r="A37" s="5" t="s">
        <v>153</v>
      </c>
      <c r="B37" s="5" t="s">
        <v>143</v>
      </c>
      <c r="C37" s="37">
        <v>45994.0</v>
      </c>
      <c r="D37" s="5" t="s">
        <v>89</v>
      </c>
      <c r="E37" s="5">
        <v>145.0</v>
      </c>
      <c r="F37" s="5">
        <v>79.0</v>
      </c>
      <c r="G37" s="5">
        <v>0.0</v>
      </c>
      <c r="H37" s="5">
        <v>1.0</v>
      </c>
      <c r="K37" s="54" t="s">
        <v>52</v>
      </c>
      <c r="L37" s="54" t="s">
        <v>52</v>
      </c>
      <c r="M37" s="54" t="s">
        <v>44</v>
      </c>
      <c r="N37" s="54" t="s">
        <v>44</v>
      </c>
      <c r="O37" s="54" t="s">
        <v>52</v>
      </c>
      <c r="P37" s="54" t="s">
        <v>52</v>
      </c>
      <c r="Q37" s="54" t="s">
        <v>52</v>
      </c>
      <c r="R37" s="54" t="s">
        <v>52</v>
      </c>
    </row>
    <row r="38" ht="15.75" customHeight="1">
      <c r="A38" s="5" t="s">
        <v>155</v>
      </c>
      <c r="B38" s="5" t="s">
        <v>143</v>
      </c>
      <c r="C38" s="37">
        <v>45995.0</v>
      </c>
      <c r="D38" s="28" t="s">
        <v>64</v>
      </c>
      <c r="E38" s="5">
        <v>116.0</v>
      </c>
      <c r="F38" s="5">
        <v>67.0</v>
      </c>
      <c r="G38" s="5">
        <v>4.0</v>
      </c>
      <c r="H38" s="5">
        <v>19.0</v>
      </c>
    </row>
    <row r="39" ht="15.75" customHeight="1">
      <c r="A39" s="5" t="s">
        <v>155</v>
      </c>
      <c r="B39" s="5" t="s">
        <v>143</v>
      </c>
      <c r="C39" s="37">
        <v>45995.0</v>
      </c>
      <c r="D39" s="28" t="s">
        <v>58</v>
      </c>
      <c r="E39" s="5">
        <v>72.0</v>
      </c>
      <c r="F39" s="5">
        <v>54.0</v>
      </c>
      <c r="G39" s="5">
        <v>5.0</v>
      </c>
      <c r="H39" s="5">
        <v>5.0</v>
      </c>
    </row>
    <row r="40" ht="15.75" customHeight="1">
      <c r="A40" s="5" t="s">
        <v>155</v>
      </c>
      <c r="B40" s="5" t="s">
        <v>143</v>
      </c>
      <c r="C40" s="37">
        <v>45995.0</v>
      </c>
      <c r="D40" s="28" t="s">
        <v>42</v>
      </c>
      <c r="E40" s="5">
        <v>72.0</v>
      </c>
      <c r="F40" s="5">
        <v>45.0</v>
      </c>
      <c r="G40" s="5">
        <v>5.0</v>
      </c>
      <c r="H40" s="5">
        <v>8.0</v>
      </c>
      <c r="J40" s="40" t="s">
        <v>69</v>
      </c>
      <c r="K40" s="40">
        <f t="shared" ref="K40:R40" si="23">AVERAGE(K4:K16)</f>
        <v>81.6286689</v>
      </c>
      <c r="L40" s="40">
        <f t="shared" si="23"/>
        <v>61.91879691</v>
      </c>
      <c r="M40" s="40">
        <f t="shared" si="23"/>
        <v>2.552587143</v>
      </c>
      <c r="N40" s="40">
        <f t="shared" si="23"/>
        <v>5.979004654</v>
      </c>
      <c r="O40" s="40">
        <f t="shared" si="23"/>
        <v>8.768024679</v>
      </c>
      <c r="P40" s="40">
        <f t="shared" si="23"/>
        <v>6.617986599</v>
      </c>
      <c r="Q40" s="40">
        <f t="shared" si="23"/>
        <v>359.4304651</v>
      </c>
      <c r="R40" s="40">
        <f t="shared" si="23"/>
        <v>272.1046047</v>
      </c>
    </row>
    <row r="41" ht="15.75" customHeight="1">
      <c r="A41" s="5" t="s">
        <v>155</v>
      </c>
      <c r="B41" s="5" t="s">
        <v>143</v>
      </c>
      <c r="C41" s="37">
        <v>45995.0</v>
      </c>
      <c r="D41" s="28" t="s">
        <v>41</v>
      </c>
      <c r="E41" s="5">
        <v>98.0</v>
      </c>
      <c r="F41" s="5">
        <v>74.0</v>
      </c>
      <c r="G41" s="5">
        <v>5.0</v>
      </c>
      <c r="H41" s="5">
        <v>8.0</v>
      </c>
    </row>
    <row r="42" ht="15.75" customHeight="1">
      <c r="A42" s="5" t="s">
        <v>155</v>
      </c>
      <c r="B42" s="5" t="s">
        <v>143</v>
      </c>
      <c r="C42" s="37">
        <v>45995.0</v>
      </c>
      <c r="D42" s="28" t="s">
        <v>51</v>
      </c>
      <c r="E42" s="5">
        <v>39.0</v>
      </c>
      <c r="F42" s="5">
        <v>32.0</v>
      </c>
      <c r="G42" s="5">
        <v>2.0</v>
      </c>
      <c r="H42" s="5">
        <v>6.0</v>
      </c>
    </row>
    <row r="43" ht="15.75" customHeight="1">
      <c r="A43" s="5" t="s">
        <v>155</v>
      </c>
      <c r="B43" s="5" t="s">
        <v>143</v>
      </c>
      <c r="C43" s="37">
        <v>45995.0</v>
      </c>
      <c r="D43" s="28" t="s">
        <v>52</v>
      </c>
      <c r="E43" s="5">
        <v>21.0</v>
      </c>
      <c r="F43" s="5">
        <v>18.0</v>
      </c>
      <c r="G43" s="5">
        <v>1.0</v>
      </c>
      <c r="H43" s="5">
        <v>1.0</v>
      </c>
    </row>
    <row r="44" ht="15.75" customHeight="1">
      <c r="A44" s="5" t="s">
        <v>155</v>
      </c>
      <c r="B44" s="5" t="s">
        <v>143</v>
      </c>
      <c r="C44" s="37">
        <v>45995.0</v>
      </c>
      <c r="D44" s="5" t="s">
        <v>145</v>
      </c>
      <c r="E44" s="5">
        <v>13.0</v>
      </c>
      <c r="F44" s="5">
        <v>9.0</v>
      </c>
      <c r="G44" s="5">
        <v>1.0</v>
      </c>
      <c r="H44" s="5">
        <v>2.0</v>
      </c>
      <c r="J44" s="12" t="s">
        <v>158</v>
      </c>
      <c r="O44" s="13" t="s">
        <v>18</v>
      </c>
      <c r="Q44" s="13" t="s">
        <v>19</v>
      </c>
    </row>
    <row r="45" ht="15.75" customHeight="1">
      <c r="A45" s="5" t="s">
        <v>155</v>
      </c>
      <c r="B45" s="5" t="s">
        <v>143</v>
      </c>
      <c r="C45" s="37">
        <v>45995.0</v>
      </c>
      <c r="D45" s="28" t="s">
        <v>53</v>
      </c>
      <c r="E45" s="5">
        <v>76.0</v>
      </c>
      <c r="F45" s="5">
        <v>42.0</v>
      </c>
      <c r="G45" s="5">
        <v>0.0</v>
      </c>
      <c r="H45" s="5">
        <v>5.0</v>
      </c>
      <c r="J45" s="17" t="s">
        <v>29</v>
      </c>
      <c r="K45" s="17" t="s">
        <v>25</v>
      </c>
      <c r="L45" s="17" t="s">
        <v>26</v>
      </c>
      <c r="M45" s="17" t="s">
        <v>30</v>
      </c>
      <c r="N45" s="17" t="s">
        <v>31</v>
      </c>
      <c r="O45" s="18" t="s">
        <v>25</v>
      </c>
      <c r="P45" s="18" t="s">
        <v>26</v>
      </c>
      <c r="Q45" s="17" t="s">
        <v>25</v>
      </c>
      <c r="R45" s="17" t="s">
        <v>26</v>
      </c>
    </row>
    <row r="46" ht="15.75" customHeight="1">
      <c r="A46" s="5" t="s">
        <v>155</v>
      </c>
      <c r="B46" s="5" t="s">
        <v>143</v>
      </c>
      <c r="C46" s="37">
        <v>45995.0</v>
      </c>
      <c r="D46" s="28" t="s">
        <v>65</v>
      </c>
      <c r="E46" s="5">
        <v>81.0</v>
      </c>
      <c r="F46" s="5">
        <v>71.0</v>
      </c>
      <c r="G46" s="5">
        <v>2.0</v>
      </c>
      <c r="H46" s="5">
        <v>2.0</v>
      </c>
      <c r="J46" s="28" t="s">
        <v>39</v>
      </c>
      <c r="K46" s="23">
        <v>67.5</v>
      </c>
      <c r="L46" s="23">
        <v>47.77777777777778</v>
      </c>
      <c r="M46" s="23">
        <v>0.9444444444444444</v>
      </c>
      <c r="N46" s="23">
        <v>12.5</v>
      </c>
      <c r="O46" s="23">
        <v>8.4375</v>
      </c>
      <c r="P46" s="23">
        <v>5.972222222222222</v>
      </c>
      <c r="Q46" s="23">
        <v>337.5</v>
      </c>
      <c r="R46" s="23">
        <v>238.88888888888889</v>
      </c>
    </row>
    <row r="47" ht="15.75" customHeight="1">
      <c r="A47" s="5" t="s">
        <v>155</v>
      </c>
      <c r="B47" s="5" t="s">
        <v>143</v>
      </c>
      <c r="C47" s="37">
        <v>45995.0</v>
      </c>
      <c r="D47" s="28" t="s">
        <v>66</v>
      </c>
      <c r="E47" s="5">
        <v>96.0</v>
      </c>
      <c r="F47" s="5">
        <v>94.0</v>
      </c>
      <c r="G47" s="5">
        <v>0.0</v>
      </c>
      <c r="H47" s="5">
        <v>3.0</v>
      </c>
      <c r="J47" s="28" t="s">
        <v>44</v>
      </c>
      <c r="K47" s="23">
        <v>64.2</v>
      </c>
      <c r="L47" s="23">
        <v>66.8</v>
      </c>
      <c r="M47" s="23">
        <v>0.0</v>
      </c>
      <c r="N47" s="23">
        <v>0.0</v>
      </c>
      <c r="O47" s="23">
        <v>5.836363636363637</v>
      </c>
      <c r="P47" s="23">
        <v>6.072727272727272</v>
      </c>
      <c r="Q47" s="23">
        <v>256.8</v>
      </c>
      <c r="R47" s="23">
        <v>267.2</v>
      </c>
    </row>
    <row r="48" ht="15.75" customHeight="1">
      <c r="A48" s="5" t="s">
        <v>155</v>
      </c>
      <c r="B48" s="5" t="s">
        <v>143</v>
      </c>
      <c r="C48" s="37">
        <v>45995.0</v>
      </c>
      <c r="D48" s="5" t="s">
        <v>89</v>
      </c>
      <c r="E48" s="5">
        <v>93.0</v>
      </c>
      <c r="F48" s="5">
        <v>38.0</v>
      </c>
      <c r="G48" s="5">
        <v>0.0</v>
      </c>
      <c r="H48" s="5">
        <v>0.0</v>
      </c>
      <c r="J48" s="28" t="s">
        <v>59</v>
      </c>
      <c r="K48" s="23">
        <v>100.38461538461539</v>
      </c>
      <c r="L48" s="23">
        <v>88.15384615384616</v>
      </c>
      <c r="M48" s="23">
        <v>0.46153846153846156</v>
      </c>
      <c r="N48" s="23">
        <v>0.46153846153846156</v>
      </c>
      <c r="O48" s="23">
        <v>9.125874125874127</v>
      </c>
      <c r="P48" s="23">
        <v>8.013986013986015</v>
      </c>
      <c r="Q48" s="23">
        <v>401.53846153846155</v>
      </c>
      <c r="R48" s="23">
        <v>352.61538461538464</v>
      </c>
    </row>
    <row r="49" ht="15.75" customHeight="1">
      <c r="A49" s="5" t="s">
        <v>155</v>
      </c>
      <c r="B49" s="5" t="s">
        <v>143</v>
      </c>
      <c r="C49" s="37">
        <v>45995.0</v>
      </c>
      <c r="D49" s="5" t="s">
        <v>127</v>
      </c>
      <c r="E49" s="5">
        <v>0.0</v>
      </c>
      <c r="F49" s="5">
        <v>1.0</v>
      </c>
      <c r="G49" s="5">
        <v>0.0</v>
      </c>
      <c r="H49" s="5">
        <v>0.0</v>
      </c>
      <c r="J49" s="28" t="s">
        <v>52</v>
      </c>
      <c r="K49" s="23">
        <v>45.72727272727273</v>
      </c>
      <c r="L49" s="23">
        <v>29.90909090909091</v>
      </c>
      <c r="M49" s="23">
        <v>3.0</v>
      </c>
      <c r="N49" s="23">
        <v>5.090909090909091</v>
      </c>
      <c r="O49" s="23">
        <v>4.572727272727272</v>
      </c>
      <c r="P49" s="23">
        <v>2.990909090909091</v>
      </c>
      <c r="Q49" s="23">
        <v>182.9090909090909</v>
      </c>
      <c r="R49" s="23">
        <v>119.63636363636364</v>
      </c>
    </row>
    <row r="50" ht="15.75" customHeight="1">
      <c r="A50" s="5" t="s">
        <v>155</v>
      </c>
      <c r="B50" s="5" t="s">
        <v>143</v>
      </c>
      <c r="C50" s="37">
        <v>45995.0</v>
      </c>
      <c r="D50" s="5" t="s">
        <v>117</v>
      </c>
      <c r="E50" s="5">
        <v>221.0</v>
      </c>
      <c r="F50" s="5">
        <v>89.0</v>
      </c>
      <c r="G50" s="5">
        <v>0.0</v>
      </c>
      <c r="H50" s="5">
        <v>0.0</v>
      </c>
      <c r="J50" s="28" t="s">
        <v>53</v>
      </c>
      <c r="K50" s="23">
        <v>102.18181818181819</v>
      </c>
      <c r="L50" s="23">
        <v>71.0</v>
      </c>
      <c r="M50" s="23">
        <v>1.1818181818181819</v>
      </c>
      <c r="N50" s="23">
        <v>8.181818181818182</v>
      </c>
      <c r="O50" s="23">
        <v>10.218181818181819</v>
      </c>
      <c r="P50" s="23">
        <v>7.1</v>
      </c>
      <c r="Q50" s="23">
        <v>408.72727272727275</v>
      </c>
      <c r="R50" s="23">
        <v>284.0</v>
      </c>
    </row>
    <row r="51" ht="15.75" customHeight="1">
      <c r="A51" s="5" t="s">
        <v>160</v>
      </c>
      <c r="B51" s="5" t="s">
        <v>143</v>
      </c>
      <c r="C51" s="37">
        <v>45996.0</v>
      </c>
      <c r="D51" s="5" t="s">
        <v>116</v>
      </c>
      <c r="E51" s="5">
        <v>38.0</v>
      </c>
      <c r="F51" s="5">
        <v>35.0</v>
      </c>
      <c r="G51" s="5">
        <v>8.0</v>
      </c>
      <c r="H51" s="5">
        <v>1.0</v>
      </c>
      <c r="J51" s="28" t="s">
        <v>41</v>
      </c>
      <c r="K51" s="23">
        <v>95.14285714285714</v>
      </c>
      <c r="L51" s="23">
        <v>67.42857142857143</v>
      </c>
      <c r="M51" s="23">
        <v>2.642857142857143</v>
      </c>
      <c r="N51" s="23">
        <v>4.928571428571429</v>
      </c>
      <c r="O51" s="23">
        <v>8.64935064935065</v>
      </c>
      <c r="P51" s="23">
        <v>6.12987012987013</v>
      </c>
      <c r="Q51" s="23">
        <v>380.57142857142856</v>
      </c>
      <c r="R51" s="23">
        <v>269.7142857142857</v>
      </c>
    </row>
    <row r="52" ht="15.75" customHeight="1">
      <c r="A52" s="5" t="s">
        <v>160</v>
      </c>
      <c r="B52" s="5" t="s">
        <v>143</v>
      </c>
      <c r="C52" s="37">
        <v>45996.0</v>
      </c>
      <c r="D52" s="28" t="s">
        <v>39</v>
      </c>
      <c r="E52" s="5">
        <v>51.0</v>
      </c>
      <c r="F52" s="5">
        <v>35.0</v>
      </c>
      <c r="G52" s="5">
        <v>2.0</v>
      </c>
      <c r="H52" s="5">
        <v>8.0</v>
      </c>
      <c r="J52" s="28" t="s">
        <v>42</v>
      </c>
      <c r="K52" s="23">
        <v>102.07142857142857</v>
      </c>
      <c r="L52" s="23">
        <v>68.35714285714286</v>
      </c>
      <c r="M52" s="23">
        <v>5.142857142857143</v>
      </c>
      <c r="N52" s="23">
        <v>10.642857142857142</v>
      </c>
      <c r="O52" s="23">
        <v>10.207142857142857</v>
      </c>
      <c r="P52" s="23">
        <v>6.835714285714286</v>
      </c>
      <c r="Q52" s="23">
        <v>408.2857142857143</v>
      </c>
      <c r="R52" s="23">
        <v>273.42857142857144</v>
      </c>
    </row>
    <row r="53" ht="15.75" customHeight="1">
      <c r="A53" s="5" t="s">
        <v>160</v>
      </c>
      <c r="B53" s="5" t="s">
        <v>143</v>
      </c>
      <c r="C53" s="37">
        <v>45996.0</v>
      </c>
      <c r="D53" s="28" t="s">
        <v>51</v>
      </c>
      <c r="E53" s="5">
        <v>36.0</v>
      </c>
      <c r="F53" s="5">
        <v>28.0</v>
      </c>
      <c r="G53" s="5">
        <v>2.0</v>
      </c>
      <c r="H53" s="5">
        <v>11.0</v>
      </c>
      <c r="J53" s="28" t="s">
        <v>67</v>
      </c>
      <c r="K53" s="23">
        <v>71.92307692307692</v>
      </c>
      <c r="L53" s="23">
        <v>54.07692307692308</v>
      </c>
      <c r="M53" s="23">
        <v>2.3076923076923075</v>
      </c>
      <c r="N53" s="23">
        <v>2.3076923076923075</v>
      </c>
      <c r="O53" s="23">
        <v>7.192307692307692</v>
      </c>
      <c r="P53" s="23">
        <v>5.407692307692308</v>
      </c>
      <c r="Q53" s="23">
        <v>287.6923076923077</v>
      </c>
      <c r="R53" s="23">
        <v>216.30769230769232</v>
      </c>
    </row>
    <row r="54" ht="15.75" customHeight="1">
      <c r="A54" s="5" t="s">
        <v>160</v>
      </c>
      <c r="B54" s="5" t="s">
        <v>143</v>
      </c>
      <c r="C54" s="37">
        <v>45996.0</v>
      </c>
      <c r="D54" s="5" t="s">
        <v>145</v>
      </c>
      <c r="E54" s="5">
        <v>84.0</v>
      </c>
      <c r="F54" s="5">
        <v>86.0</v>
      </c>
      <c r="G54" s="5">
        <v>5.0</v>
      </c>
      <c r="H54" s="5">
        <v>0.0</v>
      </c>
      <c r="J54" s="28" t="s">
        <v>58</v>
      </c>
      <c r="K54" s="23">
        <v>61.3</v>
      </c>
      <c r="L54" s="23">
        <v>40.3</v>
      </c>
      <c r="M54" s="23">
        <v>5.9</v>
      </c>
      <c r="N54" s="23">
        <v>5.6</v>
      </c>
      <c r="O54" s="23">
        <v>7.6625</v>
      </c>
      <c r="P54" s="23">
        <v>5.0375</v>
      </c>
      <c r="Q54" s="23">
        <v>306.5</v>
      </c>
      <c r="R54" s="23">
        <v>201.5</v>
      </c>
    </row>
    <row r="55" ht="15.75" customHeight="1">
      <c r="A55" s="5" t="s">
        <v>160</v>
      </c>
      <c r="B55" s="5" t="s">
        <v>143</v>
      </c>
      <c r="C55" s="37">
        <v>45996.0</v>
      </c>
      <c r="D55" s="28" t="s">
        <v>58</v>
      </c>
      <c r="E55" s="5">
        <v>52.0</v>
      </c>
      <c r="F55" s="5">
        <v>39.0</v>
      </c>
      <c r="G55" s="5">
        <v>7.0</v>
      </c>
      <c r="H55" s="5">
        <v>10.0</v>
      </c>
      <c r="J55" s="28" t="s">
        <v>64</v>
      </c>
      <c r="K55" s="23">
        <v>132.52631578947367</v>
      </c>
      <c r="L55" s="23">
        <v>83.57894736842105</v>
      </c>
      <c r="M55" s="23">
        <v>6.368421052631579</v>
      </c>
      <c r="N55" s="23">
        <v>13.894736842105264</v>
      </c>
      <c r="O55" s="23">
        <v>16.56578947368421</v>
      </c>
      <c r="P55" s="23">
        <v>10.447368421052632</v>
      </c>
      <c r="Q55" s="23">
        <v>662.6315789473683</v>
      </c>
      <c r="R55" s="23">
        <v>417.89473684210526</v>
      </c>
    </row>
    <row r="56" ht="15.75" customHeight="1">
      <c r="A56" s="5" t="s">
        <v>160</v>
      </c>
      <c r="B56" s="5" t="s">
        <v>143</v>
      </c>
      <c r="C56" s="37">
        <v>45996.0</v>
      </c>
      <c r="D56" s="28" t="s">
        <v>52</v>
      </c>
      <c r="E56" s="5">
        <v>35.0</v>
      </c>
      <c r="F56" s="5">
        <v>23.0</v>
      </c>
      <c r="G56" s="5">
        <v>1.0</v>
      </c>
      <c r="H56" s="5">
        <v>2.0</v>
      </c>
      <c r="J56" s="28" t="s">
        <v>65</v>
      </c>
      <c r="K56" s="23">
        <v>58.0</v>
      </c>
      <c r="L56" s="23">
        <v>47.294117647058826</v>
      </c>
      <c r="M56" s="23">
        <v>2.764705882352941</v>
      </c>
      <c r="N56" s="23">
        <v>1.588235294117647</v>
      </c>
      <c r="O56" s="23">
        <v>7.25</v>
      </c>
      <c r="P56" s="23">
        <v>5.911764705882353</v>
      </c>
      <c r="Q56" s="23">
        <v>290.0</v>
      </c>
      <c r="R56" s="23">
        <v>236.47058823529414</v>
      </c>
    </row>
    <row r="57" ht="15.75" customHeight="1">
      <c r="A57" s="5" t="s">
        <v>160</v>
      </c>
      <c r="B57" s="5" t="s">
        <v>143</v>
      </c>
      <c r="C57" s="37">
        <v>45996.0</v>
      </c>
      <c r="D57" s="28" t="s">
        <v>64</v>
      </c>
      <c r="E57" s="5">
        <v>118.0</v>
      </c>
      <c r="F57" s="5">
        <v>74.0</v>
      </c>
      <c r="G57" s="5">
        <v>5.0</v>
      </c>
      <c r="H57" s="5">
        <v>14.0</v>
      </c>
      <c r="J57" s="28" t="s">
        <v>51</v>
      </c>
      <c r="K57" s="23">
        <v>51.63636363636363</v>
      </c>
      <c r="L57" s="23">
        <v>41.63636363636363</v>
      </c>
      <c r="M57" s="23">
        <v>2.4166666666666665</v>
      </c>
      <c r="N57" s="23">
        <v>9.583333333333334</v>
      </c>
      <c r="O57" s="23">
        <v>4.694214876033057</v>
      </c>
      <c r="P57" s="23">
        <v>3.7851239669421486</v>
      </c>
      <c r="Q57" s="23">
        <v>206.54545454545453</v>
      </c>
      <c r="R57" s="23">
        <v>166.54545454545453</v>
      </c>
    </row>
    <row r="58" ht="15.75" customHeight="1">
      <c r="A58" s="5" t="s">
        <v>160</v>
      </c>
      <c r="B58" s="5" t="s">
        <v>143</v>
      </c>
      <c r="C58" s="37">
        <v>45996.0</v>
      </c>
      <c r="D58" s="28" t="s">
        <v>65</v>
      </c>
      <c r="E58" s="5">
        <v>61.0</v>
      </c>
      <c r="F58" s="5">
        <v>50.0</v>
      </c>
      <c r="G58" s="5">
        <v>2.0</v>
      </c>
      <c r="H58" s="5">
        <v>1.0</v>
      </c>
      <c r="J58" s="28" t="s">
        <v>66</v>
      </c>
      <c r="K58" s="23">
        <v>108.57894736842105</v>
      </c>
      <c r="L58" s="23">
        <v>98.63157894736842</v>
      </c>
      <c r="M58" s="23">
        <v>0.05263157894736842</v>
      </c>
      <c r="N58" s="23">
        <v>2.9473684210526314</v>
      </c>
      <c r="O58" s="23">
        <v>13.572368421052632</v>
      </c>
      <c r="P58" s="23">
        <v>12.328947368421053</v>
      </c>
      <c r="Q58" s="23">
        <v>542.8947368421053</v>
      </c>
      <c r="R58" s="23">
        <v>493.15789473684214</v>
      </c>
    </row>
    <row r="59" ht="15.75" customHeight="1">
      <c r="A59" s="5" t="s">
        <v>163</v>
      </c>
      <c r="B59" s="5" t="s">
        <v>143</v>
      </c>
      <c r="C59" s="37">
        <v>45997.0</v>
      </c>
      <c r="D59" s="5" t="s">
        <v>116</v>
      </c>
      <c r="E59" s="5">
        <v>47.0</v>
      </c>
      <c r="F59" s="5">
        <v>30.0</v>
      </c>
      <c r="G59" s="5">
        <v>5.0</v>
      </c>
      <c r="H59" s="5">
        <v>8.0</v>
      </c>
      <c r="K59" s="23"/>
      <c r="L59" s="23"/>
      <c r="M59" s="23"/>
      <c r="N59" s="23"/>
      <c r="O59" s="23"/>
      <c r="P59" s="23"/>
      <c r="Q59" s="23"/>
      <c r="R59" s="23"/>
    </row>
    <row r="60" ht="15.75" customHeight="1">
      <c r="A60" s="5" t="s">
        <v>163</v>
      </c>
      <c r="B60" s="5" t="s">
        <v>143</v>
      </c>
      <c r="C60" s="37">
        <v>45997.0</v>
      </c>
      <c r="D60" s="5" t="s">
        <v>43</v>
      </c>
      <c r="E60" s="5">
        <v>51.0</v>
      </c>
      <c r="F60" s="5">
        <v>31.0</v>
      </c>
      <c r="G60" s="5">
        <v>2.0</v>
      </c>
      <c r="H60" s="5">
        <v>0.0</v>
      </c>
      <c r="K60" s="23"/>
      <c r="L60" s="23"/>
      <c r="M60" s="23"/>
      <c r="N60" s="23"/>
      <c r="O60" s="23"/>
      <c r="P60" s="23"/>
      <c r="Q60" s="23"/>
      <c r="R60" s="23"/>
    </row>
    <row r="61" ht="15.75" customHeight="1">
      <c r="A61" s="5" t="s">
        <v>163</v>
      </c>
      <c r="B61" s="5" t="s">
        <v>143</v>
      </c>
      <c r="C61" s="37">
        <v>45997.0</v>
      </c>
      <c r="D61" s="28" t="s">
        <v>51</v>
      </c>
      <c r="E61" s="5" t="s">
        <v>77</v>
      </c>
      <c r="F61" s="5" t="s">
        <v>77</v>
      </c>
      <c r="G61" s="5">
        <v>2.0</v>
      </c>
      <c r="H61" s="5">
        <v>0.0</v>
      </c>
      <c r="I61" s="28" t="s">
        <v>164</v>
      </c>
    </row>
    <row r="62" ht="15.75" customHeight="1">
      <c r="A62" s="5" t="s">
        <v>163</v>
      </c>
      <c r="B62" s="5" t="s">
        <v>143</v>
      </c>
      <c r="C62" s="37">
        <v>45997.0</v>
      </c>
      <c r="D62" s="28" t="s">
        <v>59</v>
      </c>
      <c r="E62" s="5">
        <v>117.0</v>
      </c>
      <c r="F62" s="5">
        <v>117.0</v>
      </c>
      <c r="G62" s="5">
        <v>0.0</v>
      </c>
      <c r="H62" s="5">
        <v>0.0</v>
      </c>
      <c r="J62" s="5" t="s">
        <v>165</v>
      </c>
    </row>
    <row r="63" ht="15.75" customHeight="1">
      <c r="A63" s="5" t="s">
        <v>163</v>
      </c>
      <c r="B63" s="5" t="s">
        <v>143</v>
      </c>
      <c r="C63" s="37">
        <v>45997.0</v>
      </c>
      <c r="D63" s="5" t="s">
        <v>145</v>
      </c>
      <c r="E63" s="5">
        <v>79.0</v>
      </c>
      <c r="F63" s="5">
        <v>70.0</v>
      </c>
      <c r="G63" s="5">
        <v>5.0</v>
      </c>
      <c r="H63" s="5">
        <v>1.0</v>
      </c>
    </row>
    <row r="64" ht="15.75" customHeight="1">
      <c r="A64" s="5" t="s">
        <v>163</v>
      </c>
      <c r="B64" s="5" t="s">
        <v>143</v>
      </c>
      <c r="C64" s="37">
        <v>45997.0</v>
      </c>
      <c r="D64" s="28" t="s">
        <v>52</v>
      </c>
      <c r="E64" s="5">
        <v>41.0</v>
      </c>
      <c r="F64" s="5">
        <v>28.0</v>
      </c>
      <c r="G64" s="5">
        <v>3.0</v>
      </c>
      <c r="H64" s="5">
        <v>8.0</v>
      </c>
    </row>
    <row r="65" ht="15.75" customHeight="1">
      <c r="A65" s="5" t="s">
        <v>163</v>
      </c>
      <c r="B65" s="5" t="s">
        <v>143</v>
      </c>
      <c r="C65" s="37">
        <v>45997.0</v>
      </c>
      <c r="D65" s="28" t="s">
        <v>53</v>
      </c>
      <c r="E65" s="5">
        <v>68.0</v>
      </c>
      <c r="F65" s="5">
        <v>43.0</v>
      </c>
      <c r="G65" s="5">
        <v>0.0</v>
      </c>
      <c r="H65" s="5">
        <v>1.0</v>
      </c>
    </row>
    <row r="66" ht="15.75" customHeight="1">
      <c r="A66" s="5" t="s">
        <v>166</v>
      </c>
      <c r="B66" s="5" t="s">
        <v>143</v>
      </c>
      <c r="C66" s="37">
        <v>45998.0</v>
      </c>
      <c r="D66" s="5" t="s">
        <v>116</v>
      </c>
      <c r="E66" s="5">
        <v>78.0</v>
      </c>
      <c r="F66" s="5">
        <v>61.0</v>
      </c>
      <c r="G66" s="5">
        <v>10.0</v>
      </c>
      <c r="H66" s="5">
        <v>3.0</v>
      </c>
    </row>
    <row r="67" ht="15.75" customHeight="1">
      <c r="A67" s="5" t="s">
        <v>166</v>
      </c>
      <c r="B67" s="5" t="s">
        <v>143</v>
      </c>
      <c r="C67" s="37">
        <v>45998.0</v>
      </c>
      <c r="D67" s="5" t="s">
        <v>43</v>
      </c>
      <c r="E67" s="5">
        <v>57.0</v>
      </c>
      <c r="F67" s="5">
        <v>26.0</v>
      </c>
      <c r="G67" s="5">
        <v>2.0</v>
      </c>
      <c r="H67" s="5">
        <v>10.0</v>
      </c>
    </row>
    <row r="68" ht="15.75" customHeight="1">
      <c r="A68" s="5" t="s">
        <v>166</v>
      </c>
      <c r="B68" s="5" t="s">
        <v>143</v>
      </c>
      <c r="C68" s="37">
        <v>45998.0</v>
      </c>
      <c r="D68" s="28" t="s">
        <v>59</v>
      </c>
      <c r="E68" s="5">
        <v>153.0</v>
      </c>
      <c r="F68" s="5">
        <v>146.0</v>
      </c>
      <c r="G68" s="5">
        <v>0.0</v>
      </c>
      <c r="H68" s="5">
        <v>0.0</v>
      </c>
    </row>
    <row r="69" ht="15.75" customHeight="1">
      <c r="A69" s="5" t="s">
        <v>166</v>
      </c>
      <c r="B69" s="5" t="s">
        <v>143</v>
      </c>
      <c r="C69" s="37">
        <v>45998.0</v>
      </c>
      <c r="D69" s="5" t="s">
        <v>145</v>
      </c>
      <c r="E69" s="5">
        <v>84.0</v>
      </c>
      <c r="F69" s="5">
        <v>73.0</v>
      </c>
      <c r="G69" s="5">
        <v>7.0</v>
      </c>
      <c r="H69" s="5">
        <v>4.0</v>
      </c>
    </row>
    <row r="70" ht="15.75" customHeight="1">
      <c r="A70" s="5" t="s">
        <v>166</v>
      </c>
      <c r="B70" s="5" t="s">
        <v>143</v>
      </c>
      <c r="C70" s="37">
        <v>45998.0</v>
      </c>
      <c r="D70" s="28" t="s">
        <v>52</v>
      </c>
      <c r="E70" s="5">
        <v>40.0</v>
      </c>
      <c r="F70" s="5">
        <v>21.0</v>
      </c>
      <c r="G70" s="5">
        <v>3.0</v>
      </c>
      <c r="H70" s="5">
        <v>4.0</v>
      </c>
    </row>
    <row r="71" ht="15.75" customHeight="1">
      <c r="A71" s="5" t="s">
        <v>166</v>
      </c>
      <c r="B71" s="5" t="s">
        <v>143</v>
      </c>
      <c r="C71" s="37">
        <v>45998.0</v>
      </c>
      <c r="D71" s="28" t="s">
        <v>53</v>
      </c>
      <c r="E71" s="5">
        <v>96.0</v>
      </c>
      <c r="F71" s="5">
        <v>63.0</v>
      </c>
      <c r="G71" s="5">
        <v>0.0</v>
      </c>
      <c r="H71" s="5">
        <v>9.0</v>
      </c>
    </row>
    <row r="72" ht="15.75" customHeight="1">
      <c r="A72" s="5" t="s">
        <v>142</v>
      </c>
      <c r="B72" s="5" t="s">
        <v>143</v>
      </c>
      <c r="C72" s="37">
        <v>45999.0</v>
      </c>
      <c r="D72" s="28" t="s">
        <v>64</v>
      </c>
      <c r="E72" s="5">
        <v>118.0</v>
      </c>
      <c r="F72" s="5">
        <v>89.0</v>
      </c>
      <c r="G72" s="5">
        <v>8.0</v>
      </c>
      <c r="H72" s="5">
        <v>3.0</v>
      </c>
    </row>
    <row r="73" ht="15.75" customHeight="1">
      <c r="A73" s="5" t="s">
        <v>142</v>
      </c>
      <c r="B73" s="5" t="s">
        <v>143</v>
      </c>
      <c r="C73" s="37">
        <v>45999.0</v>
      </c>
      <c r="D73" s="28" t="s">
        <v>58</v>
      </c>
      <c r="E73" s="5">
        <v>78.0</v>
      </c>
      <c r="F73" s="5">
        <v>45.0</v>
      </c>
      <c r="G73" s="5">
        <v>5.0</v>
      </c>
      <c r="H73" s="5">
        <v>7.0</v>
      </c>
    </row>
    <row r="74" ht="15.75" customHeight="1">
      <c r="A74" s="5" t="s">
        <v>142</v>
      </c>
      <c r="B74" s="5" t="s">
        <v>143</v>
      </c>
      <c r="C74" s="37">
        <v>45999.0</v>
      </c>
      <c r="D74" s="28" t="s">
        <v>42</v>
      </c>
      <c r="E74" s="5">
        <v>106.0</v>
      </c>
      <c r="F74" s="5">
        <v>73.0</v>
      </c>
      <c r="G74" s="5">
        <v>4.0</v>
      </c>
      <c r="H74" s="5">
        <v>15.0</v>
      </c>
    </row>
    <row r="75" ht="15.75" customHeight="1">
      <c r="A75" s="5" t="s">
        <v>142</v>
      </c>
      <c r="B75" s="5" t="s">
        <v>143</v>
      </c>
      <c r="C75" s="37">
        <v>45999.0</v>
      </c>
      <c r="D75" s="28" t="s">
        <v>41</v>
      </c>
      <c r="E75" s="5">
        <v>112.0</v>
      </c>
      <c r="F75" s="5">
        <v>52.0</v>
      </c>
      <c r="G75" s="5">
        <v>2.0</v>
      </c>
      <c r="H75" s="5">
        <v>5.0</v>
      </c>
    </row>
    <row r="76" ht="15.75" customHeight="1">
      <c r="A76" s="5" t="s">
        <v>142</v>
      </c>
      <c r="B76" s="5" t="s">
        <v>143</v>
      </c>
      <c r="C76" s="37">
        <v>45999.0</v>
      </c>
      <c r="D76" s="28" t="s">
        <v>39</v>
      </c>
      <c r="E76" s="5">
        <v>73.0</v>
      </c>
      <c r="F76" s="5">
        <v>51.0</v>
      </c>
      <c r="G76" s="5">
        <v>1.0</v>
      </c>
      <c r="H76" s="5">
        <v>16.0</v>
      </c>
    </row>
    <row r="77" ht="15.75" customHeight="1">
      <c r="A77" s="5" t="s">
        <v>142</v>
      </c>
      <c r="B77" s="5" t="s">
        <v>143</v>
      </c>
      <c r="C77" s="37">
        <v>45999.0</v>
      </c>
      <c r="D77" s="28" t="s">
        <v>66</v>
      </c>
      <c r="E77" s="5">
        <v>115.0</v>
      </c>
      <c r="F77" s="5">
        <v>102.0</v>
      </c>
      <c r="G77" s="5">
        <v>0.0</v>
      </c>
      <c r="H77" s="5">
        <v>0.0</v>
      </c>
    </row>
    <row r="78" ht="15.75" customHeight="1">
      <c r="A78" s="5" t="s">
        <v>142</v>
      </c>
      <c r="B78" s="5" t="s">
        <v>143</v>
      </c>
      <c r="C78" s="37">
        <v>45999.0</v>
      </c>
      <c r="D78" s="28" t="s">
        <v>44</v>
      </c>
      <c r="E78" s="5">
        <v>56.0</v>
      </c>
      <c r="F78" s="5">
        <v>57.0</v>
      </c>
      <c r="G78" s="5">
        <v>0.0</v>
      </c>
      <c r="H78" s="5">
        <v>0.0</v>
      </c>
    </row>
    <row r="79" ht="15.75" customHeight="1">
      <c r="A79" s="5" t="s">
        <v>142</v>
      </c>
      <c r="B79" s="5" t="s">
        <v>143</v>
      </c>
      <c r="C79" s="37">
        <v>45999.0</v>
      </c>
      <c r="D79" s="28" t="s">
        <v>67</v>
      </c>
      <c r="E79" s="5">
        <v>87.0</v>
      </c>
      <c r="F79" s="5">
        <v>67.0</v>
      </c>
      <c r="G79" s="5">
        <v>7.0</v>
      </c>
      <c r="H79" s="5">
        <v>1.0</v>
      </c>
    </row>
    <row r="80" ht="15.75" customHeight="1">
      <c r="A80" s="5" t="s">
        <v>142</v>
      </c>
      <c r="B80" s="5" t="s">
        <v>143</v>
      </c>
      <c r="C80" s="37">
        <v>45999.0</v>
      </c>
      <c r="D80" s="28" t="s">
        <v>65</v>
      </c>
      <c r="E80" s="5">
        <v>54.0</v>
      </c>
      <c r="F80" s="5">
        <v>47.0</v>
      </c>
      <c r="G80" s="5">
        <v>3.0</v>
      </c>
      <c r="H80" s="5">
        <v>1.0</v>
      </c>
    </row>
    <row r="81" ht="15.75" customHeight="1">
      <c r="A81" s="5" t="s">
        <v>142</v>
      </c>
      <c r="B81" s="5" t="s">
        <v>143</v>
      </c>
      <c r="C81" s="37">
        <v>45999.0</v>
      </c>
      <c r="D81" s="5" t="s">
        <v>90</v>
      </c>
      <c r="E81" s="5">
        <v>166.0</v>
      </c>
      <c r="F81" s="5">
        <v>66.0</v>
      </c>
      <c r="G81" s="5">
        <v>0.0</v>
      </c>
      <c r="H81" s="5">
        <v>0.0</v>
      </c>
    </row>
    <row r="82" ht="15.75" customHeight="1">
      <c r="A82" s="5" t="s">
        <v>142</v>
      </c>
      <c r="B82" s="5" t="s">
        <v>143</v>
      </c>
      <c r="C82" s="37">
        <v>45999.0</v>
      </c>
      <c r="D82" s="5" t="s">
        <v>93</v>
      </c>
      <c r="E82" s="5">
        <v>122.0</v>
      </c>
      <c r="F82" s="5">
        <v>91.0</v>
      </c>
      <c r="G82" s="5">
        <v>0.0</v>
      </c>
      <c r="H82" s="5">
        <v>0.0</v>
      </c>
    </row>
    <row r="83" ht="15.75" customHeight="1">
      <c r="A83" s="5" t="s">
        <v>142</v>
      </c>
      <c r="B83" s="5" t="s">
        <v>143</v>
      </c>
      <c r="C83" s="37">
        <v>45999.0</v>
      </c>
      <c r="D83" s="5" t="s">
        <v>89</v>
      </c>
      <c r="E83" s="5">
        <v>146.0</v>
      </c>
      <c r="F83" s="5">
        <v>46.0</v>
      </c>
      <c r="G83" s="5">
        <v>0.0</v>
      </c>
      <c r="H83" s="5">
        <v>0.0</v>
      </c>
    </row>
    <row r="84" ht="15.75" customHeight="1">
      <c r="A84" s="5" t="s">
        <v>150</v>
      </c>
      <c r="B84" s="5" t="s">
        <v>143</v>
      </c>
      <c r="C84" s="37">
        <v>46000.0</v>
      </c>
      <c r="D84" s="28" t="s">
        <v>64</v>
      </c>
      <c r="E84" s="5">
        <v>140.0</v>
      </c>
      <c r="F84" s="5">
        <v>86.0</v>
      </c>
      <c r="G84" s="5">
        <v>7.0</v>
      </c>
      <c r="H84" s="5">
        <v>7.0</v>
      </c>
    </row>
    <row r="85" ht="15.75" customHeight="1">
      <c r="A85" s="5" t="s">
        <v>150</v>
      </c>
      <c r="B85" s="5" t="s">
        <v>143</v>
      </c>
      <c r="C85" s="37">
        <v>46000.0</v>
      </c>
      <c r="D85" s="28" t="s">
        <v>58</v>
      </c>
      <c r="E85" s="5">
        <v>70.0</v>
      </c>
      <c r="F85" s="5">
        <v>42.0</v>
      </c>
      <c r="G85" s="5">
        <v>7.0</v>
      </c>
      <c r="H85" s="5">
        <v>6.0</v>
      </c>
    </row>
    <row r="86" ht="15.75" customHeight="1">
      <c r="A86" s="5" t="s">
        <v>150</v>
      </c>
      <c r="B86" s="5" t="s">
        <v>143</v>
      </c>
      <c r="C86" s="37">
        <v>46000.0</v>
      </c>
      <c r="D86" s="28" t="s">
        <v>39</v>
      </c>
      <c r="E86" s="5">
        <v>78.0</v>
      </c>
      <c r="F86" s="5">
        <v>58.0</v>
      </c>
      <c r="G86" s="5">
        <v>1.0</v>
      </c>
      <c r="H86" s="5">
        <v>14.0</v>
      </c>
    </row>
    <row r="87" ht="15.75" customHeight="1">
      <c r="A87" s="5" t="s">
        <v>150</v>
      </c>
      <c r="B87" s="5" t="s">
        <v>143</v>
      </c>
      <c r="C87" s="37">
        <v>46000.0</v>
      </c>
      <c r="D87" s="28" t="s">
        <v>42</v>
      </c>
      <c r="E87" s="5">
        <v>104.0</v>
      </c>
      <c r="F87" s="5">
        <v>72.0</v>
      </c>
      <c r="G87" s="5">
        <v>3.0</v>
      </c>
      <c r="H87" s="5">
        <v>2.0</v>
      </c>
    </row>
    <row r="88" ht="15.75" customHeight="1">
      <c r="A88" s="5" t="s">
        <v>150</v>
      </c>
      <c r="B88" s="5" t="s">
        <v>143</v>
      </c>
      <c r="C88" s="37">
        <v>46000.0</v>
      </c>
      <c r="D88" s="28" t="s">
        <v>41</v>
      </c>
      <c r="E88" s="5">
        <v>126.0</v>
      </c>
      <c r="F88" s="5">
        <v>72.0</v>
      </c>
      <c r="G88" s="5">
        <v>1.0</v>
      </c>
      <c r="H88" s="5">
        <v>3.0</v>
      </c>
    </row>
    <row r="89" ht="15.75" customHeight="1">
      <c r="A89" s="5" t="s">
        <v>150</v>
      </c>
      <c r="B89" s="5" t="s">
        <v>143</v>
      </c>
      <c r="C89" s="37">
        <v>46000.0</v>
      </c>
      <c r="D89" s="28" t="s">
        <v>65</v>
      </c>
      <c r="E89" s="5">
        <v>77.0</v>
      </c>
      <c r="F89" s="5">
        <v>62.0</v>
      </c>
      <c r="G89" s="5">
        <v>3.0</v>
      </c>
      <c r="H89" s="5">
        <v>3.0</v>
      </c>
    </row>
    <row r="90" ht="15.75" customHeight="1">
      <c r="A90" s="5" t="s">
        <v>150</v>
      </c>
      <c r="B90" s="5" t="s">
        <v>143</v>
      </c>
      <c r="C90" s="37">
        <v>46000.0</v>
      </c>
      <c r="D90" s="28" t="s">
        <v>66</v>
      </c>
      <c r="E90" s="5">
        <v>128.0</v>
      </c>
      <c r="F90" s="5">
        <v>112.0</v>
      </c>
      <c r="G90" s="5">
        <v>0.0</v>
      </c>
      <c r="H90" s="5">
        <v>1.0</v>
      </c>
    </row>
    <row r="91" ht="15.75" customHeight="1">
      <c r="A91" s="5" t="s">
        <v>150</v>
      </c>
      <c r="B91" s="5" t="s">
        <v>143</v>
      </c>
      <c r="C91" s="37">
        <v>46000.0</v>
      </c>
      <c r="D91" s="28" t="s">
        <v>67</v>
      </c>
      <c r="E91" s="5">
        <v>86.0</v>
      </c>
      <c r="F91" s="5">
        <v>59.0</v>
      </c>
      <c r="G91" s="5">
        <v>0.0</v>
      </c>
      <c r="H91" s="5">
        <v>4.0</v>
      </c>
    </row>
    <row r="92" ht="15.75" customHeight="1">
      <c r="A92" s="5" t="s">
        <v>150</v>
      </c>
      <c r="B92" s="5" t="s">
        <v>143</v>
      </c>
      <c r="C92" s="37">
        <v>46000.0</v>
      </c>
      <c r="D92" s="5" t="s">
        <v>89</v>
      </c>
      <c r="E92" s="5">
        <v>125.0</v>
      </c>
      <c r="F92" s="5">
        <v>43.0</v>
      </c>
      <c r="G92" s="5">
        <v>0.0</v>
      </c>
      <c r="H92" s="5">
        <v>0.0</v>
      </c>
    </row>
    <row r="93" ht="15.75" customHeight="1">
      <c r="A93" s="5" t="s">
        <v>150</v>
      </c>
      <c r="B93" s="5" t="s">
        <v>143</v>
      </c>
      <c r="C93" s="37">
        <v>46000.0</v>
      </c>
      <c r="D93" s="5" t="s">
        <v>90</v>
      </c>
      <c r="E93" s="5">
        <v>188.0</v>
      </c>
      <c r="F93" s="5">
        <v>97.0</v>
      </c>
      <c r="G93" s="5">
        <v>0.0</v>
      </c>
      <c r="H93" s="5">
        <v>0.0</v>
      </c>
    </row>
    <row r="94" ht="15.75" customHeight="1">
      <c r="A94" s="5" t="s">
        <v>150</v>
      </c>
      <c r="B94" s="5" t="s">
        <v>143</v>
      </c>
      <c r="C94" s="37">
        <v>46000.0</v>
      </c>
      <c r="D94" s="5" t="s">
        <v>93</v>
      </c>
      <c r="E94" s="5">
        <v>101.0</v>
      </c>
      <c r="F94" s="5">
        <v>68.0</v>
      </c>
      <c r="G94" s="5">
        <v>0.0</v>
      </c>
      <c r="H94" s="5">
        <v>0.0</v>
      </c>
    </row>
    <row r="95" ht="15.75" customHeight="1">
      <c r="A95" s="5" t="s">
        <v>153</v>
      </c>
      <c r="B95" s="5" t="s">
        <v>143</v>
      </c>
      <c r="C95" s="37">
        <v>46001.0</v>
      </c>
      <c r="D95" s="28" t="s">
        <v>64</v>
      </c>
      <c r="E95" s="5">
        <v>140.0</v>
      </c>
      <c r="F95" s="5">
        <v>86.0</v>
      </c>
      <c r="G95" s="5">
        <v>7.0</v>
      </c>
      <c r="H95" s="5">
        <v>7.0</v>
      </c>
    </row>
    <row r="96" ht="15.75" customHeight="1">
      <c r="A96" s="5" t="s">
        <v>153</v>
      </c>
      <c r="B96" s="5" t="s">
        <v>143</v>
      </c>
      <c r="C96" s="37">
        <v>46001.0</v>
      </c>
      <c r="D96" s="28" t="s">
        <v>58</v>
      </c>
      <c r="E96" s="5">
        <v>70.0</v>
      </c>
      <c r="F96" s="5">
        <v>42.0</v>
      </c>
      <c r="G96" s="5">
        <v>7.0</v>
      </c>
      <c r="H96" s="5">
        <v>6.0</v>
      </c>
    </row>
    <row r="97" ht="15.75" customHeight="1">
      <c r="A97" s="5" t="s">
        <v>153</v>
      </c>
      <c r="B97" s="5" t="s">
        <v>143</v>
      </c>
      <c r="C97" s="37">
        <v>46001.0</v>
      </c>
      <c r="D97" s="28" t="s">
        <v>39</v>
      </c>
      <c r="E97" s="5">
        <v>78.0</v>
      </c>
      <c r="F97" s="5">
        <v>58.0</v>
      </c>
      <c r="G97" s="5">
        <v>1.0</v>
      </c>
      <c r="H97" s="5">
        <v>14.0</v>
      </c>
    </row>
    <row r="98" ht="15.75" customHeight="1">
      <c r="A98" s="5" t="s">
        <v>153</v>
      </c>
      <c r="B98" s="5" t="s">
        <v>143</v>
      </c>
      <c r="C98" s="37">
        <v>46001.0</v>
      </c>
      <c r="D98" s="28" t="s">
        <v>42</v>
      </c>
      <c r="E98" s="5">
        <v>104.0</v>
      </c>
      <c r="F98" s="5">
        <v>72.0</v>
      </c>
      <c r="G98" s="5">
        <v>3.0</v>
      </c>
      <c r="H98" s="5">
        <v>2.0</v>
      </c>
    </row>
    <row r="99" ht="15.75" customHeight="1">
      <c r="A99" s="5" t="s">
        <v>153</v>
      </c>
      <c r="B99" s="5" t="s">
        <v>143</v>
      </c>
      <c r="C99" s="37">
        <v>46001.0</v>
      </c>
      <c r="D99" s="28" t="s">
        <v>41</v>
      </c>
      <c r="E99" s="5">
        <v>126.0</v>
      </c>
      <c r="F99" s="5">
        <v>72.0</v>
      </c>
      <c r="G99" s="5">
        <v>1.0</v>
      </c>
      <c r="H99" s="5">
        <v>3.0</v>
      </c>
    </row>
    <row r="100" ht="15.75" customHeight="1">
      <c r="A100" s="5" t="s">
        <v>153</v>
      </c>
      <c r="B100" s="5" t="s">
        <v>143</v>
      </c>
      <c r="C100" s="37">
        <v>46001.0</v>
      </c>
      <c r="D100" s="28" t="s">
        <v>65</v>
      </c>
      <c r="E100" s="5">
        <v>77.0</v>
      </c>
      <c r="F100" s="5">
        <v>62.0</v>
      </c>
      <c r="G100" s="5">
        <v>3.0</v>
      </c>
      <c r="H100" s="5">
        <v>3.0</v>
      </c>
    </row>
    <row r="101" ht="15.75" customHeight="1">
      <c r="A101" s="5" t="s">
        <v>153</v>
      </c>
      <c r="B101" s="5" t="s">
        <v>143</v>
      </c>
      <c r="C101" s="37">
        <v>46001.0</v>
      </c>
      <c r="D101" s="28" t="s">
        <v>66</v>
      </c>
      <c r="E101" s="5">
        <v>128.0</v>
      </c>
      <c r="F101" s="5">
        <v>112.0</v>
      </c>
      <c r="G101" s="5">
        <v>0.0</v>
      </c>
      <c r="H101" s="5">
        <v>1.0</v>
      </c>
    </row>
    <row r="102" ht="15.75" customHeight="1">
      <c r="A102" s="5" t="s">
        <v>153</v>
      </c>
      <c r="B102" s="5" t="s">
        <v>143</v>
      </c>
      <c r="C102" s="37">
        <v>46001.0</v>
      </c>
      <c r="D102" s="28" t="s">
        <v>67</v>
      </c>
      <c r="E102" s="5">
        <v>86.0</v>
      </c>
      <c r="F102" s="5">
        <v>59.0</v>
      </c>
      <c r="G102" s="5">
        <v>0.0</v>
      </c>
      <c r="H102" s="5">
        <v>4.0</v>
      </c>
    </row>
    <row r="103" ht="15.75" customHeight="1">
      <c r="A103" s="5" t="s">
        <v>153</v>
      </c>
      <c r="B103" s="5" t="s">
        <v>143</v>
      </c>
      <c r="C103" s="37">
        <v>46001.0</v>
      </c>
      <c r="D103" s="5" t="s">
        <v>89</v>
      </c>
      <c r="E103" s="5">
        <v>125.0</v>
      </c>
      <c r="F103" s="5">
        <v>43.0</v>
      </c>
      <c r="G103" s="5">
        <v>0.0</v>
      </c>
      <c r="H103" s="5">
        <v>0.0</v>
      </c>
    </row>
    <row r="104" ht="15.75" customHeight="1">
      <c r="A104" s="5" t="s">
        <v>153</v>
      </c>
      <c r="B104" s="5" t="s">
        <v>143</v>
      </c>
      <c r="C104" s="37">
        <v>46001.0</v>
      </c>
      <c r="D104" s="5" t="s">
        <v>90</v>
      </c>
      <c r="E104" s="5">
        <v>188.0</v>
      </c>
      <c r="F104" s="5">
        <v>97.0</v>
      </c>
      <c r="G104" s="5">
        <v>0.0</v>
      </c>
      <c r="H104" s="5">
        <v>0.0</v>
      </c>
    </row>
    <row r="105" ht="15.75" customHeight="1">
      <c r="A105" s="5" t="s">
        <v>153</v>
      </c>
      <c r="B105" s="5" t="s">
        <v>143</v>
      </c>
      <c r="C105" s="37">
        <v>46001.0</v>
      </c>
      <c r="D105" s="5" t="s">
        <v>93</v>
      </c>
      <c r="E105" s="5">
        <v>101.0</v>
      </c>
      <c r="F105" s="5">
        <v>68.0</v>
      </c>
      <c r="G105" s="5">
        <v>0.0</v>
      </c>
      <c r="H105" s="5">
        <v>0.0</v>
      </c>
    </row>
    <row r="106" ht="15.75" customHeight="1">
      <c r="A106" s="5" t="s">
        <v>155</v>
      </c>
      <c r="B106" s="5" t="s">
        <v>143</v>
      </c>
      <c r="C106" s="37">
        <v>46002.0</v>
      </c>
      <c r="D106" s="28" t="s">
        <v>58</v>
      </c>
      <c r="E106" s="5">
        <v>83.0</v>
      </c>
      <c r="F106" s="5">
        <v>49.0</v>
      </c>
      <c r="G106" s="5">
        <v>8.0</v>
      </c>
      <c r="H106" s="5">
        <v>7.0</v>
      </c>
    </row>
    <row r="107" ht="15.75" customHeight="1">
      <c r="A107" s="5" t="s">
        <v>155</v>
      </c>
      <c r="B107" s="5" t="s">
        <v>143</v>
      </c>
      <c r="C107" s="37">
        <v>46002.0</v>
      </c>
      <c r="D107" s="28" t="s">
        <v>42</v>
      </c>
      <c r="E107" s="5">
        <v>52.0</v>
      </c>
      <c r="F107" s="5">
        <v>41.0</v>
      </c>
      <c r="G107" s="5">
        <v>7.0</v>
      </c>
      <c r="H107" s="5">
        <v>4.0</v>
      </c>
    </row>
    <row r="108" ht="15.75" customHeight="1">
      <c r="A108" s="5" t="s">
        <v>155</v>
      </c>
      <c r="B108" s="5" t="s">
        <v>143</v>
      </c>
      <c r="C108" s="37">
        <v>46002.0</v>
      </c>
      <c r="D108" s="28" t="s">
        <v>41</v>
      </c>
      <c r="E108" s="5">
        <v>129.0</v>
      </c>
      <c r="F108" s="5">
        <v>92.0</v>
      </c>
      <c r="G108" s="5">
        <v>3.0</v>
      </c>
      <c r="H108" s="5">
        <v>11.0</v>
      </c>
    </row>
    <row r="109" ht="15.75" customHeight="1">
      <c r="A109" s="5" t="s">
        <v>155</v>
      </c>
      <c r="B109" s="5" t="s">
        <v>143</v>
      </c>
      <c r="C109" s="37">
        <v>46002.0</v>
      </c>
      <c r="D109" s="28" t="s">
        <v>51</v>
      </c>
      <c r="E109" s="5">
        <v>51.0</v>
      </c>
      <c r="F109" s="5">
        <v>33.0</v>
      </c>
      <c r="G109" s="5">
        <v>3.0</v>
      </c>
      <c r="H109" s="5">
        <v>18.0</v>
      </c>
    </row>
    <row r="110" ht="15.75" customHeight="1">
      <c r="A110" s="5" t="s">
        <v>155</v>
      </c>
      <c r="B110" s="5" t="s">
        <v>143</v>
      </c>
      <c r="C110" s="37">
        <v>46002.0</v>
      </c>
      <c r="D110" s="28" t="s">
        <v>53</v>
      </c>
      <c r="E110" s="5">
        <v>153.0</v>
      </c>
      <c r="F110" s="5">
        <v>106.0</v>
      </c>
      <c r="G110" s="5">
        <v>0.0</v>
      </c>
      <c r="H110" s="5">
        <v>8.0</v>
      </c>
    </row>
    <row r="111" ht="15.75" customHeight="1">
      <c r="A111" s="5" t="s">
        <v>155</v>
      </c>
      <c r="B111" s="5" t="s">
        <v>143</v>
      </c>
      <c r="C111" s="37">
        <v>46002.0</v>
      </c>
      <c r="D111" s="28" t="s">
        <v>65</v>
      </c>
      <c r="E111" s="5">
        <v>67.0</v>
      </c>
      <c r="F111" s="5">
        <v>58.0</v>
      </c>
      <c r="G111" s="5">
        <v>2.0</v>
      </c>
      <c r="H111" s="5">
        <v>6.0</v>
      </c>
    </row>
    <row r="112" ht="15.75" customHeight="1">
      <c r="A112" s="5" t="s">
        <v>155</v>
      </c>
      <c r="B112" s="5" t="s">
        <v>143</v>
      </c>
      <c r="C112" s="37">
        <v>46002.0</v>
      </c>
      <c r="D112" s="28" t="s">
        <v>66</v>
      </c>
      <c r="E112" s="5">
        <v>119.0</v>
      </c>
      <c r="F112" s="5">
        <v>106.0</v>
      </c>
      <c r="G112" s="5">
        <v>0.0</v>
      </c>
      <c r="H112" s="5">
        <v>0.0</v>
      </c>
    </row>
    <row r="113" ht="15.75" customHeight="1">
      <c r="A113" s="5" t="s">
        <v>155</v>
      </c>
      <c r="B113" s="5" t="s">
        <v>143</v>
      </c>
      <c r="C113" s="37">
        <v>46002.0</v>
      </c>
      <c r="D113" s="28" t="s">
        <v>67</v>
      </c>
      <c r="E113" s="5">
        <v>67.0</v>
      </c>
      <c r="F113" s="5">
        <v>60.0</v>
      </c>
      <c r="G113" s="5">
        <v>2.0</v>
      </c>
      <c r="H113" s="5">
        <v>4.0</v>
      </c>
    </row>
    <row r="114" ht="15.75" customHeight="1">
      <c r="A114" s="5" t="s">
        <v>155</v>
      </c>
      <c r="B114" s="5" t="s">
        <v>143</v>
      </c>
      <c r="C114" s="37">
        <v>46002.0</v>
      </c>
      <c r="D114" s="5" t="s">
        <v>117</v>
      </c>
      <c r="E114" s="5">
        <v>225.0</v>
      </c>
      <c r="F114" s="5">
        <v>77.0</v>
      </c>
      <c r="G114" s="5">
        <v>0.0</v>
      </c>
      <c r="H114" s="5">
        <v>0.0</v>
      </c>
    </row>
    <row r="115" ht="15.75" customHeight="1">
      <c r="A115" s="5" t="s">
        <v>155</v>
      </c>
      <c r="B115" s="5" t="s">
        <v>143</v>
      </c>
      <c r="C115" s="37">
        <v>46002.0</v>
      </c>
      <c r="D115" s="5" t="s">
        <v>107</v>
      </c>
      <c r="E115" s="5">
        <v>145.0</v>
      </c>
      <c r="F115" s="5">
        <v>45.0</v>
      </c>
      <c r="G115" s="5">
        <v>0.0</v>
      </c>
      <c r="H115" s="5">
        <v>0.0</v>
      </c>
    </row>
    <row r="116" ht="15.75" customHeight="1">
      <c r="A116" s="5" t="s">
        <v>160</v>
      </c>
      <c r="B116" s="5" t="s">
        <v>143</v>
      </c>
      <c r="C116" s="37">
        <v>46003.0</v>
      </c>
      <c r="D116" s="28" t="s">
        <v>39</v>
      </c>
      <c r="E116" s="5">
        <v>66.0</v>
      </c>
      <c r="F116" s="5">
        <v>53.0</v>
      </c>
      <c r="G116" s="5">
        <v>1.0</v>
      </c>
      <c r="H116" s="5">
        <v>11.0</v>
      </c>
    </row>
    <row r="117" ht="15.75" customHeight="1">
      <c r="A117" s="5" t="s">
        <v>160</v>
      </c>
      <c r="B117" s="5" t="s">
        <v>143</v>
      </c>
      <c r="C117" s="37">
        <v>46003.0</v>
      </c>
      <c r="D117" s="28" t="s">
        <v>51</v>
      </c>
      <c r="E117" s="5">
        <v>52.0</v>
      </c>
      <c r="F117" s="5">
        <v>40.0</v>
      </c>
      <c r="G117" s="5">
        <v>3.0</v>
      </c>
      <c r="H117" s="5">
        <v>20.0</v>
      </c>
    </row>
    <row r="118" ht="15.75" customHeight="1">
      <c r="A118" s="5" t="s">
        <v>160</v>
      </c>
      <c r="B118" s="5" t="s">
        <v>143</v>
      </c>
      <c r="C118" s="37">
        <v>46003.0</v>
      </c>
      <c r="D118" s="28" t="s">
        <v>58</v>
      </c>
      <c r="E118" s="5">
        <v>40.0</v>
      </c>
      <c r="F118" s="5">
        <v>24.0</v>
      </c>
      <c r="G118" s="5">
        <v>9.0</v>
      </c>
      <c r="H118" s="5">
        <v>3.0</v>
      </c>
    </row>
    <row r="119" ht="15.75" customHeight="1">
      <c r="A119" s="5" t="s">
        <v>160</v>
      </c>
      <c r="B119" s="5" t="s">
        <v>143</v>
      </c>
      <c r="C119" s="37">
        <v>46003.0</v>
      </c>
      <c r="D119" s="28" t="s">
        <v>52</v>
      </c>
      <c r="E119" s="5">
        <v>53.0</v>
      </c>
      <c r="F119" s="5">
        <v>37.0</v>
      </c>
      <c r="G119" s="5">
        <v>7.0</v>
      </c>
      <c r="H119" s="5">
        <v>6.0</v>
      </c>
    </row>
    <row r="120" ht="15.75" customHeight="1">
      <c r="A120" s="5" t="s">
        <v>160</v>
      </c>
      <c r="B120" s="5" t="s">
        <v>143</v>
      </c>
      <c r="C120" s="37">
        <v>46003.0</v>
      </c>
      <c r="D120" s="28" t="s">
        <v>53</v>
      </c>
      <c r="E120" s="5">
        <v>70.0</v>
      </c>
      <c r="F120" s="5">
        <v>45.0</v>
      </c>
      <c r="G120" s="5">
        <v>2.0</v>
      </c>
      <c r="H120" s="5">
        <v>4.0</v>
      </c>
    </row>
    <row r="121" ht="15.75" customHeight="1">
      <c r="A121" s="5" t="s">
        <v>160</v>
      </c>
      <c r="B121" s="5" t="s">
        <v>143</v>
      </c>
      <c r="C121" s="37">
        <v>46003.0</v>
      </c>
      <c r="D121" s="28" t="s">
        <v>64</v>
      </c>
      <c r="E121" s="5">
        <v>117.0</v>
      </c>
      <c r="F121" s="5">
        <v>66.0</v>
      </c>
      <c r="G121" s="5">
        <v>8.0</v>
      </c>
      <c r="H121" s="5">
        <v>13.0</v>
      </c>
    </row>
    <row r="122" ht="15.75" customHeight="1">
      <c r="A122" s="5" t="s">
        <v>160</v>
      </c>
      <c r="B122" s="5" t="s">
        <v>143</v>
      </c>
      <c r="C122" s="37">
        <v>46003.0</v>
      </c>
      <c r="D122" s="28" t="s">
        <v>65</v>
      </c>
      <c r="E122" s="5">
        <v>50.0</v>
      </c>
      <c r="F122" s="5">
        <v>44.0</v>
      </c>
      <c r="G122" s="5">
        <v>3.0</v>
      </c>
      <c r="H122" s="5">
        <v>4.0</v>
      </c>
    </row>
    <row r="123" ht="15.75" customHeight="1">
      <c r="A123" s="5" t="s">
        <v>160</v>
      </c>
      <c r="B123" s="5" t="s">
        <v>143</v>
      </c>
      <c r="C123" s="37">
        <v>46003.0</v>
      </c>
      <c r="D123" s="28" t="s">
        <v>66</v>
      </c>
      <c r="E123" s="5">
        <v>112.0</v>
      </c>
      <c r="F123" s="5">
        <v>100.0</v>
      </c>
      <c r="G123" s="5">
        <v>0.0</v>
      </c>
      <c r="H123" s="5">
        <v>4.0</v>
      </c>
    </row>
    <row r="124" ht="15.75" customHeight="1">
      <c r="A124" s="5" t="s">
        <v>163</v>
      </c>
      <c r="B124" s="5" t="s">
        <v>143</v>
      </c>
      <c r="C124" s="37">
        <v>46004.0</v>
      </c>
      <c r="D124" s="5" t="s">
        <v>43</v>
      </c>
      <c r="E124" s="5">
        <v>66.0</v>
      </c>
      <c r="F124" s="5">
        <v>38.0</v>
      </c>
      <c r="G124" s="5">
        <v>1.0</v>
      </c>
      <c r="H124" s="5">
        <v>3.0</v>
      </c>
    </row>
    <row r="125" ht="15.75" customHeight="1">
      <c r="A125" s="5" t="s">
        <v>163</v>
      </c>
      <c r="B125" s="5" t="s">
        <v>143</v>
      </c>
      <c r="C125" s="37">
        <v>46004.0</v>
      </c>
      <c r="D125" s="28" t="s">
        <v>51</v>
      </c>
      <c r="E125" s="5">
        <v>57.0</v>
      </c>
      <c r="F125" s="5">
        <v>36.0</v>
      </c>
      <c r="G125" s="5">
        <v>5.0</v>
      </c>
      <c r="H125" s="5">
        <v>7.0</v>
      </c>
    </row>
    <row r="126" ht="15.75" customHeight="1">
      <c r="A126" s="5" t="s">
        <v>163</v>
      </c>
      <c r="B126" s="5" t="s">
        <v>143</v>
      </c>
      <c r="C126" s="37">
        <v>46004.0</v>
      </c>
      <c r="D126" s="28" t="s">
        <v>59</v>
      </c>
      <c r="E126" s="5">
        <v>205.0</v>
      </c>
      <c r="F126" s="5">
        <v>188.0</v>
      </c>
      <c r="G126" s="5">
        <v>0.0</v>
      </c>
      <c r="H126" s="5">
        <v>1.0</v>
      </c>
    </row>
    <row r="127" ht="15.75" customHeight="1">
      <c r="A127" s="5" t="s">
        <v>163</v>
      </c>
      <c r="B127" s="5" t="s">
        <v>143</v>
      </c>
      <c r="C127" s="37">
        <v>46004.0</v>
      </c>
      <c r="D127" s="28" t="s">
        <v>52</v>
      </c>
      <c r="E127" s="5">
        <v>54.0</v>
      </c>
      <c r="F127" s="5">
        <v>37.0</v>
      </c>
      <c r="G127" s="5">
        <v>2.0</v>
      </c>
      <c r="H127" s="5">
        <v>3.0</v>
      </c>
    </row>
    <row r="128" ht="15.75" customHeight="1">
      <c r="A128" s="5" t="s">
        <v>163</v>
      </c>
      <c r="B128" s="5" t="s">
        <v>143</v>
      </c>
      <c r="C128" s="37">
        <v>46004.0</v>
      </c>
      <c r="D128" s="28" t="s">
        <v>53</v>
      </c>
      <c r="E128" s="5">
        <v>129.0</v>
      </c>
      <c r="F128" s="5">
        <v>84.0</v>
      </c>
      <c r="G128" s="5">
        <v>2.0</v>
      </c>
      <c r="H128" s="5">
        <v>13.0</v>
      </c>
    </row>
    <row r="129" ht="15.75" customHeight="1">
      <c r="A129" s="5" t="s">
        <v>166</v>
      </c>
      <c r="B129" s="5" t="s">
        <v>143</v>
      </c>
      <c r="C129" s="37">
        <v>46005.0</v>
      </c>
      <c r="D129" s="5" t="s">
        <v>116</v>
      </c>
      <c r="E129" s="5">
        <v>93.0</v>
      </c>
      <c r="F129" s="5">
        <v>71.0</v>
      </c>
      <c r="G129" s="5">
        <v>11.0</v>
      </c>
      <c r="H129" s="5">
        <v>13.0</v>
      </c>
    </row>
    <row r="130" ht="15.75" customHeight="1">
      <c r="A130" s="5" t="s">
        <v>166</v>
      </c>
      <c r="B130" s="5" t="s">
        <v>143</v>
      </c>
      <c r="C130" s="37">
        <v>46005.0</v>
      </c>
      <c r="D130" s="5" t="s">
        <v>43</v>
      </c>
      <c r="E130" s="5">
        <v>87.0</v>
      </c>
      <c r="F130" s="5">
        <v>56.0</v>
      </c>
      <c r="G130" s="5">
        <v>1.0</v>
      </c>
      <c r="H130" s="5">
        <v>7.0</v>
      </c>
    </row>
    <row r="131" ht="15.75" customHeight="1">
      <c r="A131" s="5" t="s">
        <v>166</v>
      </c>
      <c r="B131" s="5" t="s">
        <v>143</v>
      </c>
      <c r="C131" s="37">
        <v>46005.0</v>
      </c>
      <c r="D131" s="28" t="s">
        <v>59</v>
      </c>
      <c r="E131" s="5">
        <v>170.0</v>
      </c>
      <c r="F131" s="5">
        <v>163.0</v>
      </c>
      <c r="G131" s="5">
        <v>2.0</v>
      </c>
      <c r="H131" s="5">
        <v>1.0</v>
      </c>
    </row>
    <row r="132" ht="15.75" customHeight="1">
      <c r="A132" s="5" t="s">
        <v>166</v>
      </c>
      <c r="B132" s="5" t="s">
        <v>143</v>
      </c>
      <c r="C132" s="37">
        <v>46005.0</v>
      </c>
      <c r="D132" s="28" t="s">
        <v>52</v>
      </c>
      <c r="E132" s="5">
        <v>61.0</v>
      </c>
      <c r="F132" s="5">
        <v>43.0</v>
      </c>
      <c r="G132" s="5">
        <v>4.0</v>
      </c>
      <c r="H132" s="5">
        <v>8.0</v>
      </c>
    </row>
    <row r="133" ht="15.75" customHeight="1">
      <c r="A133" s="5" t="s">
        <v>166</v>
      </c>
      <c r="B133" s="5" t="s">
        <v>143</v>
      </c>
      <c r="C133" s="37">
        <v>46005.0</v>
      </c>
      <c r="D133" s="28" t="s">
        <v>53</v>
      </c>
      <c r="E133" s="5">
        <v>148.0</v>
      </c>
      <c r="F133" s="5">
        <v>115.0</v>
      </c>
      <c r="G133" s="5">
        <v>5.0</v>
      </c>
      <c r="H133" s="5">
        <v>13.0</v>
      </c>
    </row>
    <row r="134" ht="15.75" customHeight="1">
      <c r="A134" s="5" t="s">
        <v>142</v>
      </c>
      <c r="B134" s="5" t="s">
        <v>143</v>
      </c>
      <c r="C134" s="37">
        <v>46006.0</v>
      </c>
      <c r="D134" s="28" t="s">
        <v>64</v>
      </c>
      <c r="E134" s="5">
        <v>100.0</v>
      </c>
      <c r="F134" s="5">
        <v>59.0</v>
      </c>
      <c r="G134" s="5">
        <v>12.0</v>
      </c>
      <c r="H134" s="5">
        <v>12.0</v>
      </c>
    </row>
    <row r="135" ht="15.75" customHeight="1">
      <c r="A135" s="5" t="s">
        <v>142</v>
      </c>
      <c r="B135" s="5" t="s">
        <v>143</v>
      </c>
      <c r="C135" s="37">
        <v>46006.0</v>
      </c>
      <c r="D135" s="28" t="s">
        <v>58</v>
      </c>
      <c r="E135" s="5">
        <v>66.0</v>
      </c>
      <c r="F135" s="5">
        <v>55.0</v>
      </c>
      <c r="G135" s="5">
        <v>4.0</v>
      </c>
      <c r="H135" s="5">
        <v>4.0</v>
      </c>
    </row>
    <row r="136" ht="15.75" customHeight="1">
      <c r="A136" s="5" t="s">
        <v>142</v>
      </c>
      <c r="B136" s="5" t="s">
        <v>143</v>
      </c>
      <c r="C136" s="37">
        <v>46006.0</v>
      </c>
      <c r="D136" s="28" t="s">
        <v>42</v>
      </c>
      <c r="E136" s="5">
        <v>118.0</v>
      </c>
      <c r="F136" s="5">
        <v>65.0</v>
      </c>
      <c r="G136" s="5">
        <v>7.0</v>
      </c>
      <c r="H136" s="5">
        <v>13.0</v>
      </c>
    </row>
    <row r="137" ht="15.75" customHeight="1">
      <c r="A137" s="5" t="s">
        <v>142</v>
      </c>
      <c r="B137" s="5" t="s">
        <v>143</v>
      </c>
      <c r="C137" s="37">
        <v>46006.0</v>
      </c>
      <c r="D137" s="28" t="s">
        <v>41</v>
      </c>
      <c r="E137" s="5">
        <v>85.0</v>
      </c>
      <c r="F137" s="5">
        <v>73.0</v>
      </c>
      <c r="G137" s="5">
        <v>3.0</v>
      </c>
      <c r="H137" s="5">
        <v>9.0</v>
      </c>
    </row>
    <row r="138" ht="15.75" customHeight="1">
      <c r="A138" s="5" t="s">
        <v>142</v>
      </c>
      <c r="B138" s="5" t="s">
        <v>143</v>
      </c>
      <c r="C138" s="37">
        <v>46006.0</v>
      </c>
      <c r="D138" s="28" t="s">
        <v>39</v>
      </c>
      <c r="E138" s="5">
        <v>65.0</v>
      </c>
      <c r="F138" s="5">
        <v>42.0</v>
      </c>
      <c r="G138" s="5">
        <v>1.0</v>
      </c>
      <c r="H138" s="5">
        <v>13.0</v>
      </c>
    </row>
    <row r="139" ht="15.75" customHeight="1">
      <c r="A139" s="5" t="s">
        <v>142</v>
      </c>
      <c r="B139" s="5" t="s">
        <v>143</v>
      </c>
      <c r="C139" s="37">
        <v>46006.0</v>
      </c>
      <c r="D139" s="28" t="s">
        <v>66</v>
      </c>
      <c r="E139" s="5">
        <v>120.0</v>
      </c>
      <c r="F139" s="5">
        <v>112.0</v>
      </c>
      <c r="G139" s="5">
        <v>0.0</v>
      </c>
      <c r="H139" s="5">
        <v>0.0</v>
      </c>
    </row>
    <row r="140" ht="15.75" customHeight="1">
      <c r="A140" s="5" t="s">
        <v>142</v>
      </c>
      <c r="B140" s="5" t="s">
        <v>143</v>
      </c>
      <c r="C140" s="37">
        <v>46006.0</v>
      </c>
      <c r="D140" s="28" t="s">
        <v>44</v>
      </c>
      <c r="E140" s="5">
        <v>70.0</v>
      </c>
      <c r="F140" s="5">
        <v>70.0</v>
      </c>
      <c r="G140" s="5">
        <v>0.0</v>
      </c>
      <c r="H140" s="5">
        <v>0.0</v>
      </c>
    </row>
    <row r="141" ht="15.75" customHeight="1">
      <c r="A141" s="5" t="s">
        <v>142</v>
      </c>
      <c r="B141" s="5" t="s">
        <v>143</v>
      </c>
      <c r="C141" s="37">
        <v>46006.0</v>
      </c>
      <c r="D141" s="28" t="s">
        <v>67</v>
      </c>
      <c r="E141" s="5">
        <v>64.0</v>
      </c>
      <c r="F141" s="5">
        <v>17.0</v>
      </c>
      <c r="G141" s="5">
        <v>2.0</v>
      </c>
      <c r="H141" s="5">
        <v>0.0</v>
      </c>
    </row>
    <row r="142" ht="15.75" customHeight="1">
      <c r="A142" s="5" t="s">
        <v>142</v>
      </c>
      <c r="B142" s="5" t="s">
        <v>143</v>
      </c>
      <c r="C142" s="37">
        <v>46006.0</v>
      </c>
      <c r="D142" s="28" t="s">
        <v>65</v>
      </c>
      <c r="E142" s="5">
        <v>41.0</v>
      </c>
      <c r="F142" s="5">
        <v>33.0</v>
      </c>
      <c r="G142" s="5">
        <v>3.0</v>
      </c>
      <c r="H142" s="5">
        <v>0.0</v>
      </c>
    </row>
    <row r="143" ht="15.75" customHeight="1">
      <c r="A143" s="5" t="s">
        <v>142</v>
      </c>
      <c r="B143" s="5" t="s">
        <v>143</v>
      </c>
      <c r="C143" s="37">
        <v>46006.0</v>
      </c>
      <c r="D143" s="28" t="s">
        <v>59</v>
      </c>
      <c r="E143" s="5">
        <v>80.0</v>
      </c>
      <c r="F143" s="5">
        <v>58.0</v>
      </c>
      <c r="G143" s="5">
        <v>0.0</v>
      </c>
      <c r="H143" s="5">
        <v>0.0</v>
      </c>
    </row>
    <row r="144" ht="15.75" customHeight="1">
      <c r="A144" s="5" t="s">
        <v>142</v>
      </c>
      <c r="B144" s="5" t="s">
        <v>143</v>
      </c>
      <c r="C144" s="37">
        <v>46006.0</v>
      </c>
      <c r="D144" s="5" t="s">
        <v>90</v>
      </c>
      <c r="E144" s="5">
        <v>208.0</v>
      </c>
      <c r="F144" s="5">
        <v>60.0</v>
      </c>
      <c r="G144" s="5">
        <v>0.0</v>
      </c>
      <c r="H144" s="5">
        <v>0.0</v>
      </c>
    </row>
    <row r="145" ht="15.75" customHeight="1">
      <c r="A145" s="5" t="s">
        <v>142</v>
      </c>
      <c r="B145" s="5" t="s">
        <v>143</v>
      </c>
      <c r="C145" s="37">
        <v>46006.0</v>
      </c>
      <c r="D145" s="5" t="s">
        <v>93</v>
      </c>
      <c r="E145" s="5">
        <v>113.0</v>
      </c>
      <c r="F145" s="5">
        <v>72.0</v>
      </c>
      <c r="G145" s="5">
        <v>0.0</v>
      </c>
      <c r="H145" s="5">
        <v>0.0</v>
      </c>
    </row>
    <row r="146" ht="15.75" customHeight="1">
      <c r="A146" s="5" t="s">
        <v>142</v>
      </c>
      <c r="B146" s="5" t="s">
        <v>143</v>
      </c>
      <c r="C146" s="37">
        <v>46006.0</v>
      </c>
      <c r="D146" s="5" t="s">
        <v>89</v>
      </c>
      <c r="E146" s="5">
        <v>180.0</v>
      </c>
      <c r="F146" s="5">
        <v>39.0</v>
      </c>
      <c r="G146" s="5">
        <v>0.0</v>
      </c>
      <c r="H146" s="5">
        <v>0.0</v>
      </c>
    </row>
    <row r="147" ht="15.75" customHeight="1">
      <c r="A147" s="5" t="s">
        <v>150</v>
      </c>
      <c r="B147" s="5" t="s">
        <v>143</v>
      </c>
      <c r="C147" s="37">
        <v>46007.0</v>
      </c>
      <c r="D147" s="28" t="s">
        <v>39</v>
      </c>
      <c r="E147" s="5">
        <v>96.0</v>
      </c>
      <c r="F147" s="5">
        <v>78.0</v>
      </c>
      <c r="G147" s="5">
        <v>1.0</v>
      </c>
      <c r="H147" s="5">
        <v>21.0</v>
      </c>
    </row>
    <row r="148" ht="15.75" customHeight="1">
      <c r="A148" s="5" t="s">
        <v>150</v>
      </c>
      <c r="B148" s="5" t="s">
        <v>143</v>
      </c>
      <c r="C148" s="37">
        <v>46007.0</v>
      </c>
      <c r="D148" s="28" t="s">
        <v>41</v>
      </c>
      <c r="E148" s="5">
        <v>85.0</v>
      </c>
      <c r="F148" s="5">
        <v>70.0</v>
      </c>
      <c r="G148" s="5">
        <v>3.0</v>
      </c>
      <c r="H148" s="5">
        <v>7.0</v>
      </c>
    </row>
    <row r="149" ht="15.75" customHeight="1">
      <c r="A149" s="5" t="s">
        <v>150</v>
      </c>
      <c r="B149" s="5" t="s">
        <v>143</v>
      </c>
      <c r="C149" s="37">
        <v>46007.0</v>
      </c>
      <c r="D149" s="28" t="s">
        <v>42</v>
      </c>
      <c r="E149" s="5">
        <v>122.0</v>
      </c>
      <c r="F149" s="5">
        <v>84.0</v>
      </c>
      <c r="G149" s="5">
        <v>5.0</v>
      </c>
      <c r="H149" s="5">
        <v>7.0</v>
      </c>
    </row>
    <row r="150" ht="15.75" customHeight="1">
      <c r="A150" s="5" t="s">
        <v>150</v>
      </c>
      <c r="B150" s="5" t="s">
        <v>143</v>
      </c>
      <c r="C150" s="37">
        <v>46007.0</v>
      </c>
      <c r="D150" s="5" t="s">
        <v>89</v>
      </c>
      <c r="E150" s="5">
        <v>113.0</v>
      </c>
      <c r="F150" s="5">
        <v>23.0</v>
      </c>
      <c r="G150" s="5">
        <v>0.0</v>
      </c>
      <c r="H150" s="5">
        <v>0.0</v>
      </c>
    </row>
    <row r="151" ht="15.75" customHeight="1">
      <c r="A151" s="5" t="s">
        <v>150</v>
      </c>
      <c r="B151" s="5" t="s">
        <v>143</v>
      </c>
      <c r="C151" s="37">
        <v>46007.0</v>
      </c>
      <c r="D151" s="5" t="s">
        <v>90</v>
      </c>
      <c r="E151" s="5">
        <v>186.0</v>
      </c>
      <c r="F151" s="5">
        <v>67.0</v>
      </c>
      <c r="G151" s="5">
        <v>0.0</v>
      </c>
      <c r="H151" s="5">
        <v>0.0</v>
      </c>
    </row>
    <row r="152" ht="15.75" customHeight="1">
      <c r="A152" s="5" t="s">
        <v>150</v>
      </c>
      <c r="B152" s="5" t="s">
        <v>143</v>
      </c>
      <c r="C152" s="37">
        <v>46007.0</v>
      </c>
      <c r="D152" s="28" t="s">
        <v>59</v>
      </c>
      <c r="E152" s="5">
        <v>50.0</v>
      </c>
      <c r="F152" s="5">
        <v>38.0</v>
      </c>
      <c r="G152" s="5">
        <v>0.0</v>
      </c>
      <c r="H152" s="5">
        <v>0.0</v>
      </c>
    </row>
    <row r="153" ht="15.75" customHeight="1">
      <c r="A153" s="5" t="s">
        <v>150</v>
      </c>
      <c r="B153" s="5" t="s">
        <v>143</v>
      </c>
      <c r="C153" s="37">
        <v>46007.0</v>
      </c>
      <c r="D153" s="28" t="s">
        <v>67</v>
      </c>
      <c r="E153" s="5">
        <v>73.0</v>
      </c>
      <c r="F153" s="5">
        <v>58.0</v>
      </c>
      <c r="G153" s="5">
        <v>4.0</v>
      </c>
      <c r="H153" s="5">
        <v>3.0</v>
      </c>
    </row>
    <row r="154" ht="15.75" customHeight="1">
      <c r="A154" s="5" t="s">
        <v>150</v>
      </c>
      <c r="B154" s="5" t="s">
        <v>143</v>
      </c>
      <c r="C154" s="37">
        <v>46007.0</v>
      </c>
      <c r="D154" s="5" t="s">
        <v>93</v>
      </c>
      <c r="E154" s="5">
        <v>107.0</v>
      </c>
      <c r="F154" s="5">
        <v>66.0</v>
      </c>
      <c r="G154" s="5">
        <v>0.0</v>
      </c>
      <c r="H154" s="5">
        <v>0.0</v>
      </c>
    </row>
    <row r="155" ht="15.75" customHeight="1">
      <c r="A155" s="5" t="s">
        <v>150</v>
      </c>
      <c r="B155" s="5" t="s">
        <v>143</v>
      </c>
      <c r="C155" s="37">
        <v>46007.0</v>
      </c>
      <c r="D155" s="28" t="s">
        <v>58</v>
      </c>
      <c r="E155" s="5">
        <v>55.0</v>
      </c>
      <c r="F155" s="5">
        <v>36.0</v>
      </c>
      <c r="G155" s="5">
        <v>4.0</v>
      </c>
      <c r="H155" s="5">
        <v>2.0</v>
      </c>
    </row>
    <row r="156" ht="15.75" customHeight="1">
      <c r="A156" s="5" t="s">
        <v>150</v>
      </c>
      <c r="B156" s="5" t="s">
        <v>143</v>
      </c>
      <c r="C156" s="37">
        <v>46007.0</v>
      </c>
      <c r="D156" s="28" t="s">
        <v>64</v>
      </c>
      <c r="E156" s="5">
        <v>156.0</v>
      </c>
      <c r="F156" s="5">
        <v>102.0</v>
      </c>
      <c r="G156" s="5">
        <v>2.0</v>
      </c>
      <c r="H156" s="5">
        <v>22.0</v>
      </c>
    </row>
    <row r="157" ht="15.75" customHeight="1">
      <c r="A157" s="5" t="s">
        <v>150</v>
      </c>
      <c r="B157" s="5" t="s">
        <v>143</v>
      </c>
      <c r="C157" s="37">
        <v>46007.0</v>
      </c>
      <c r="D157" s="28" t="s">
        <v>65</v>
      </c>
      <c r="E157" s="5">
        <v>75.0</v>
      </c>
      <c r="F157" s="5">
        <v>58.0</v>
      </c>
      <c r="G157" s="5">
        <v>3.0</v>
      </c>
      <c r="H157" s="5">
        <v>0.0</v>
      </c>
    </row>
    <row r="158" ht="15.75" customHeight="1">
      <c r="A158" s="5" t="s">
        <v>150</v>
      </c>
      <c r="B158" s="5" t="s">
        <v>143</v>
      </c>
      <c r="C158" s="37">
        <v>46007.0</v>
      </c>
      <c r="D158" s="28" t="s">
        <v>66</v>
      </c>
      <c r="E158" s="5">
        <v>110.0</v>
      </c>
      <c r="F158" s="5">
        <v>108.0</v>
      </c>
      <c r="G158" s="5">
        <v>0.0</v>
      </c>
      <c r="H158" s="5">
        <v>1.0</v>
      </c>
    </row>
    <row r="159" ht="15.75" customHeight="1">
      <c r="A159" s="5" t="s">
        <v>153</v>
      </c>
      <c r="B159" s="5" t="s">
        <v>143</v>
      </c>
      <c r="C159" s="37">
        <v>46008.0</v>
      </c>
      <c r="D159" s="28" t="s">
        <v>39</v>
      </c>
      <c r="E159" s="5">
        <v>63.0</v>
      </c>
      <c r="F159" s="5">
        <v>52.0</v>
      </c>
      <c r="G159" s="5">
        <v>0.0</v>
      </c>
      <c r="H159" s="5">
        <v>2.0</v>
      </c>
    </row>
    <row r="160" ht="15.75" customHeight="1">
      <c r="A160" s="5" t="s">
        <v>153</v>
      </c>
      <c r="B160" s="5" t="s">
        <v>143</v>
      </c>
      <c r="C160" s="37">
        <v>46008.0</v>
      </c>
      <c r="D160" s="5" t="s">
        <v>107</v>
      </c>
      <c r="E160" s="5">
        <v>69.0</v>
      </c>
      <c r="F160" s="5">
        <v>51.0</v>
      </c>
      <c r="G160" s="5">
        <v>0.0</v>
      </c>
      <c r="H160" s="5">
        <v>9.0</v>
      </c>
    </row>
    <row r="161" ht="15.75" customHeight="1">
      <c r="A161" s="5" t="s">
        <v>153</v>
      </c>
      <c r="B161" s="5" t="s">
        <v>143</v>
      </c>
      <c r="C161" s="37">
        <v>46008.0</v>
      </c>
      <c r="D161" s="28" t="s">
        <v>41</v>
      </c>
      <c r="E161" s="5">
        <v>97.0</v>
      </c>
      <c r="F161" s="5">
        <v>77.0</v>
      </c>
      <c r="G161" s="5">
        <v>3.0</v>
      </c>
      <c r="H161" s="5">
        <v>3.0</v>
      </c>
    </row>
    <row r="162" ht="15.75" customHeight="1">
      <c r="A162" s="5" t="s">
        <v>153</v>
      </c>
      <c r="B162" s="5" t="s">
        <v>143</v>
      </c>
      <c r="C162" s="37">
        <v>46008.0</v>
      </c>
      <c r="D162" s="5" t="s">
        <v>108</v>
      </c>
      <c r="E162" s="5">
        <v>86.0</v>
      </c>
      <c r="F162" s="5">
        <v>45.0</v>
      </c>
      <c r="G162" s="5">
        <v>0.0</v>
      </c>
      <c r="H162" s="5">
        <v>5.0</v>
      </c>
    </row>
    <row r="163" ht="15.75" customHeight="1">
      <c r="A163" s="5" t="s">
        <v>153</v>
      </c>
      <c r="B163" s="5" t="s">
        <v>143</v>
      </c>
      <c r="C163" s="37">
        <v>46008.0</v>
      </c>
      <c r="D163" s="28" t="s">
        <v>42</v>
      </c>
      <c r="E163" s="5">
        <v>105.0</v>
      </c>
      <c r="F163" s="5">
        <v>78.0</v>
      </c>
      <c r="G163" s="5">
        <v>4.0</v>
      </c>
      <c r="H163" s="5">
        <v>7.0</v>
      </c>
    </row>
    <row r="164" ht="15.75" customHeight="1">
      <c r="A164" s="5" t="s">
        <v>153</v>
      </c>
      <c r="B164" s="5" t="s">
        <v>143</v>
      </c>
      <c r="C164" s="37">
        <v>46008.0</v>
      </c>
      <c r="D164" s="28" t="s">
        <v>51</v>
      </c>
      <c r="E164" s="5">
        <v>67.0</v>
      </c>
      <c r="F164" s="5">
        <v>62.0</v>
      </c>
      <c r="G164" s="5">
        <v>1.0</v>
      </c>
      <c r="H164" s="5">
        <v>7.0</v>
      </c>
    </row>
    <row r="165" ht="15.75" customHeight="1">
      <c r="A165" s="5" t="s">
        <v>153</v>
      </c>
      <c r="B165" s="5" t="s">
        <v>143</v>
      </c>
      <c r="C165" s="37">
        <v>46008.0</v>
      </c>
      <c r="D165" s="5" t="s">
        <v>89</v>
      </c>
      <c r="E165" s="5">
        <v>130.0</v>
      </c>
      <c r="F165" s="5">
        <v>39.0</v>
      </c>
      <c r="G165" s="5">
        <v>0.0</v>
      </c>
      <c r="H165" s="5">
        <v>0.0</v>
      </c>
    </row>
    <row r="166" ht="15.75" customHeight="1">
      <c r="A166" s="5" t="s">
        <v>153</v>
      </c>
      <c r="B166" s="5" t="s">
        <v>143</v>
      </c>
      <c r="C166" s="37">
        <v>46008.0</v>
      </c>
      <c r="D166" s="28" t="s">
        <v>67</v>
      </c>
      <c r="E166" s="5">
        <v>66.0</v>
      </c>
      <c r="F166" s="5">
        <v>48.0</v>
      </c>
      <c r="G166" s="5">
        <v>3.0</v>
      </c>
      <c r="H166" s="5">
        <v>6.0</v>
      </c>
    </row>
    <row r="167" ht="15.75" customHeight="1">
      <c r="A167" s="5" t="s">
        <v>153</v>
      </c>
      <c r="B167" s="5" t="s">
        <v>143</v>
      </c>
      <c r="C167" s="37">
        <v>46008.0</v>
      </c>
      <c r="D167" s="5" t="s">
        <v>93</v>
      </c>
      <c r="E167" s="5">
        <v>91.0</v>
      </c>
      <c r="F167" s="5">
        <v>66.0</v>
      </c>
      <c r="G167" s="5">
        <v>0.0</v>
      </c>
      <c r="H167" s="5">
        <v>0.0</v>
      </c>
    </row>
    <row r="168" ht="15.75" customHeight="1">
      <c r="A168" s="5" t="s">
        <v>153</v>
      </c>
      <c r="B168" s="5" t="s">
        <v>143</v>
      </c>
      <c r="C168" s="37">
        <v>46008.0</v>
      </c>
      <c r="D168" s="28" t="s">
        <v>58</v>
      </c>
      <c r="E168" s="5">
        <v>68.0</v>
      </c>
      <c r="F168" s="5">
        <v>50.0</v>
      </c>
      <c r="G168" s="5">
        <v>2.0</v>
      </c>
      <c r="H168" s="5">
        <v>3.0</v>
      </c>
    </row>
    <row r="169" ht="15.75" customHeight="1">
      <c r="A169" s="5" t="s">
        <v>153</v>
      </c>
      <c r="B169" s="5" t="s">
        <v>143</v>
      </c>
      <c r="C169" s="37">
        <v>46008.0</v>
      </c>
      <c r="D169" s="28" t="s">
        <v>64</v>
      </c>
      <c r="E169" s="5">
        <v>169.0</v>
      </c>
      <c r="F169" s="5">
        <v>102.0</v>
      </c>
      <c r="G169" s="5">
        <v>4.0</v>
      </c>
      <c r="H169" s="5">
        <v>18.0</v>
      </c>
    </row>
    <row r="170" ht="15.75" customHeight="1">
      <c r="A170" s="5" t="s">
        <v>153</v>
      </c>
      <c r="B170" s="5" t="s">
        <v>143</v>
      </c>
      <c r="C170" s="37">
        <v>46008.0</v>
      </c>
      <c r="D170" s="28" t="s">
        <v>65</v>
      </c>
      <c r="E170" s="5">
        <v>56.0</v>
      </c>
      <c r="F170" s="5">
        <v>40.0</v>
      </c>
      <c r="G170" s="5">
        <v>4.0</v>
      </c>
      <c r="H170" s="5">
        <v>4.0</v>
      </c>
    </row>
    <row r="171" ht="15.75" customHeight="1">
      <c r="A171" s="5" t="s">
        <v>153</v>
      </c>
      <c r="B171" s="5" t="s">
        <v>143</v>
      </c>
      <c r="C171" s="37">
        <v>46008.0</v>
      </c>
      <c r="D171" s="28" t="s">
        <v>66</v>
      </c>
      <c r="E171" s="5">
        <v>144.0</v>
      </c>
      <c r="F171" s="5">
        <v>135.0</v>
      </c>
      <c r="G171" s="5">
        <v>0.0</v>
      </c>
      <c r="H171" s="5">
        <v>1.0</v>
      </c>
    </row>
    <row r="172" ht="15.75" customHeight="1">
      <c r="A172" s="5" t="s">
        <v>155</v>
      </c>
      <c r="B172" s="5" t="s">
        <v>143</v>
      </c>
      <c r="C172" s="37">
        <v>46009.0</v>
      </c>
      <c r="D172" s="5" t="s">
        <v>107</v>
      </c>
      <c r="E172" s="5">
        <v>132.0</v>
      </c>
      <c r="F172" s="5">
        <v>48.0</v>
      </c>
      <c r="G172" s="5">
        <v>0.0</v>
      </c>
      <c r="H172" s="5">
        <v>1.0</v>
      </c>
    </row>
    <row r="173" ht="15.75" customHeight="1">
      <c r="A173" s="5" t="s">
        <v>155</v>
      </c>
      <c r="B173" s="5" t="s">
        <v>143</v>
      </c>
      <c r="C173" s="37">
        <v>46009.0</v>
      </c>
      <c r="D173" s="28" t="s">
        <v>42</v>
      </c>
      <c r="E173" s="5">
        <v>92.0</v>
      </c>
      <c r="F173" s="5">
        <v>62.0</v>
      </c>
      <c r="G173" s="5">
        <v>3.0</v>
      </c>
      <c r="H173" s="5">
        <v>12.0</v>
      </c>
    </row>
    <row r="174" ht="15.75" customHeight="1">
      <c r="A174" s="5" t="s">
        <v>155</v>
      </c>
      <c r="B174" s="5" t="s">
        <v>143</v>
      </c>
      <c r="C174" s="37">
        <v>46009.0</v>
      </c>
      <c r="D174" s="5" t="s">
        <v>117</v>
      </c>
      <c r="E174" s="5">
        <v>154.0</v>
      </c>
      <c r="F174" s="5">
        <v>40.0</v>
      </c>
      <c r="G174" s="5">
        <v>0.0</v>
      </c>
      <c r="H174" s="5">
        <v>0.0</v>
      </c>
    </row>
    <row r="175" ht="15.75" customHeight="1">
      <c r="A175" s="5" t="s">
        <v>155</v>
      </c>
      <c r="B175" s="5" t="s">
        <v>143</v>
      </c>
      <c r="C175" s="37">
        <v>46009.0</v>
      </c>
      <c r="D175" s="28" t="s">
        <v>51</v>
      </c>
      <c r="E175" s="5">
        <v>51.0</v>
      </c>
      <c r="F175" s="5">
        <v>48.0</v>
      </c>
      <c r="G175" s="5">
        <v>1.0</v>
      </c>
      <c r="H175" s="5">
        <v>13.0</v>
      </c>
    </row>
    <row r="176" ht="15.75" customHeight="1">
      <c r="A176" s="5" t="s">
        <v>155</v>
      </c>
      <c r="B176" s="5" t="s">
        <v>143</v>
      </c>
      <c r="C176" s="37">
        <v>46009.0</v>
      </c>
      <c r="D176" s="5" t="s">
        <v>89</v>
      </c>
      <c r="E176" s="5">
        <v>66.0</v>
      </c>
      <c r="F176" s="5">
        <v>18.0</v>
      </c>
      <c r="G176" s="5">
        <v>0.0</v>
      </c>
      <c r="H176" s="5">
        <v>0.0</v>
      </c>
    </row>
    <row r="177" ht="15.75" customHeight="1">
      <c r="A177" s="5" t="s">
        <v>155</v>
      </c>
      <c r="B177" s="5" t="s">
        <v>143</v>
      </c>
      <c r="C177" s="37">
        <v>46009.0</v>
      </c>
      <c r="D177" s="28" t="s">
        <v>67</v>
      </c>
      <c r="E177" s="5">
        <v>66.0</v>
      </c>
      <c r="F177" s="5">
        <v>46.0</v>
      </c>
      <c r="G177" s="5">
        <v>1.0</v>
      </c>
      <c r="H177" s="5">
        <v>1.0</v>
      </c>
    </row>
    <row r="178" ht="15.75" customHeight="1">
      <c r="A178" s="5" t="s">
        <v>155</v>
      </c>
      <c r="B178" s="5" t="s">
        <v>143</v>
      </c>
      <c r="C178" s="37">
        <v>46009.0</v>
      </c>
      <c r="D178" s="28" t="s">
        <v>58</v>
      </c>
      <c r="E178" s="5">
        <v>63.0</v>
      </c>
      <c r="F178" s="5">
        <v>32.0</v>
      </c>
      <c r="G178" s="5">
        <v>3.0</v>
      </c>
      <c r="H178" s="5">
        <v>6.0</v>
      </c>
    </row>
    <row r="179" ht="15.75" customHeight="1">
      <c r="A179" s="5" t="s">
        <v>155</v>
      </c>
      <c r="B179" s="5" t="s">
        <v>143</v>
      </c>
      <c r="C179" s="37">
        <v>46009.0</v>
      </c>
      <c r="D179" s="28" t="s">
        <v>52</v>
      </c>
      <c r="E179" s="5">
        <v>50.0</v>
      </c>
      <c r="F179" s="5">
        <v>35.0</v>
      </c>
      <c r="G179" s="5">
        <v>2.0</v>
      </c>
      <c r="H179" s="5">
        <v>2.0</v>
      </c>
    </row>
    <row r="180" ht="15.75" customHeight="1">
      <c r="A180" s="5" t="s">
        <v>155</v>
      </c>
      <c r="B180" s="5" t="s">
        <v>143</v>
      </c>
      <c r="C180" s="37">
        <v>46009.0</v>
      </c>
      <c r="D180" s="28" t="s">
        <v>53</v>
      </c>
      <c r="E180" s="5">
        <v>91.0</v>
      </c>
      <c r="F180" s="5">
        <v>72.0</v>
      </c>
      <c r="G180" s="5">
        <v>0.0</v>
      </c>
      <c r="H180" s="5">
        <v>11.0</v>
      </c>
    </row>
    <row r="181" ht="15.75" customHeight="1">
      <c r="A181" s="5" t="s">
        <v>155</v>
      </c>
      <c r="B181" s="5" t="s">
        <v>143</v>
      </c>
      <c r="C181" s="37">
        <v>46009.0</v>
      </c>
      <c r="D181" s="28" t="s">
        <v>64</v>
      </c>
      <c r="E181" s="5">
        <v>160.0</v>
      </c>
      <c r="F181" s="5">
        <v>88.0</v>
      </c>
      <c r="G181" s="5">
        <v>1.0</v>
      </c>
      <c r="H181" s="5">
        <v>20.0</v>
      </c>
    </row>
    <row r="182" ht="15.75" customHeight="1">
      <c r="A182" s="5" t="s">
        <v>155</v>
      </c>
      <c r="B182" s="5" t="s">
        <v>143</v>
      </c>
      <c r="C182" s="37">
        <v>46009.0</v>
      </c>
      <c r="D182" s="28" t="s">
        <v>65</v>
      </c>
      <c r="E182" s="5">
        <v>56.0</v>
      </c>
      <c r="F182" s="5">
        <v>50.0</v>
      </c>
      <c r="G182" s="5">
        <v>1.0</v>
      </c>
      <c r="H182" s="5">
        <v>0.0</v>
      </c>
    </row>
    <row r="183" ht="15.75" customHeight="1">
      <c r="A183" s="5" t="s">
        <v>155</v>
      </c>
      <c r="B183" s="5" t="s">
        <v>143</v>
      </c>
      <c r="C183" s="37">
        <v>46009.0</v>
      </c>
      <c r="D183" s="28" t="s">
        <v>66</v>
      </c>
      <c r="E183" s="5">
        <v>134.0</v>
      </c>
      <c r="F183" s="5">
        <v>123.0</v>
      </c>
      <c r="G183" s="5">
        <v>0.0</v>
      </c>
      <c r="H183" s="5">
        <v>2.0</v>
      </c>
    </row>
    <row r="184" ht="15.75" customHeight="1">
      <c r="A184" s="5" t="s">
        <v>160</v>
      </c>
      <c r="B184" s="5" t="s">
        <v>143</v>
      </c>
      <c r="C184" s="37">
        <v>46010.0</v>
      </c>
      <c r="D184" s="28" t="s">
        <v>39</v>
      </c>
      <c r="E184" s="5">
        <v>39.0</v>
      </c>
      <c r="F184" s="5">
        <v>30.0</v>
      </c>
      <c r="G184" s="5">
        <v>1.0</v>
      </c>
      <c r="H184" s="5">
        <v>15.0</v>
      </c>
    </row>
    <row r="185" ht="15.75" customHeight="1">
      <c r="A185" s="5" t="s">
        <v>160</v>
      </c>
      <c r="B185" s="5" t="s">
        <v>143</v>
      </c>
      <c r="C185" s="37">
        <v>46010.0</v>
      </c>
      <c r="D185" s="5" t="s">
        <v>116</v>
      </c>
      <c r="E185" s="5">
        <v>49.0</v>
      </c>
      <c r="F185" s="5">
        <v>32.0</v>
      </c>
      <c r="G185" s="5">
        <v>8.0</v>
      </c>
      <c r="H185" s="5">
        <v>8.0</v>
      </c>
    </row>
    <row r="186" ht="15.75" customHeight="1">
      <c r="A186" s="5" t="s">
        <v>160</v>
      </c>
      <c r="B186" s="5" t="s">
        <v>143</v>
      </c>
      <c r="C186" s="37">
        <v>46010.0</v>
      </c>
      <c r="D186" s="5" t="s">
        <v>108</v>
      </c>
      <c r="E186" s="5">
        <v>73.0</v>
      </c>
      <c r="F186" s="5">
        <v>47.0</v>
      </c>
      <c r="G186" s="5">
        <v>2.0</v>
      </c>
      <c r="H186" s="5">
        <v>4.0</v>
      </c>
    </row>
    <row r="187" ht="15.75" customHeight="1">
      <c r="A187" s="5" t="s">
        <v>160</v>
      </c>
      <c r="B187" s="5" t="s">
        <v>143</v>
      </c>
      <c r="C187" s="37">
        <v>46010.0</v>
      </c>
      <c r="D187" s="28" t="s">
        <v>51</v>
      </c>
      <c r="E187" s="5">
        <v>54.0</v>
      </c>
      <c r="F187" s="5">
        <v>45.0</v>
      </c>
      <c r="G187" s="5">
        <v>4.0</v>
      </c>
      <c r="H187" s="5">
        <v>10.0</v>
      </c>
    </row>
    <row r="188" ht="15.75" customHeight="1">
      <c r="A188" s="5" t="s">
        <v>160</v>
      </c>
      <c r="B188" s="5" t="s">
        <v>143</v>
      </c>
      <c r="C188" s="37">
        <v>46010.0</v>
      </c>
      <c r="D188" s="28" t="s">
        <v>58</v>
      </c>
      <c r="E188" s="5">
        <v>42.0</v>
      </c>
      <c r="F188" s="5">
        <v>27.0</v>
      </c>
      <c r="G188" s="5">
        <v>3.0</v>
      </c>
      <c r="H188" s="5">
        <v>3.0</v>
      </c>
    </row>
    <row r="189" ht="15.75" customHeight="1">
      <c r="A189" s="5" t="s">
        <v>160</v>
      </c>
      <c r="B189" s="5" t="s">
        <v>143</v>
      </c>
      <c r="C189" s="37">
        <v>46010.0</v>
      </c>
      <c r="D189" s="28" t="s">
        <v>52</v>
      </c>
      <c r="E189" s="5">
        <v>41.0</v>
      </c>
      <c r="F189" s="5">
        <v>28.0</v>
      </c>
      <c r="G189" s="5">
        <v>5.0</v>
      </c>
      <c r="H189" s="5">
        <v>6.0</v>
      </c>
    </row>
    <row r="190" ht="15.75" customHeight="1">
      <c r="A190" s="5" t="s">
        <v>160</v>
      </c>
      <c r="B190" s="5" t="s">
        <v>143</v>
      </c>
      <c r="C190" s="37">
        <v>46010.0</v>
      </c>
      <c r="D190" s="28" t="s">
        <v>53</v>
      </c>
      <c r="E190" s="5">
        <v>79.0</v>
      </c>
      <c r="F190" s="5">
        <v>50.0</v>
      </c>
      <c r="G190" s="5">
        <v>2.0</v>
      </c>
      <c r="H190" s="5">
        <v>8.0</v>
      </c>
    </row>
    <row r="191" ht="15.75" customHeight="1">
      <c r="A191" s="5" t="s">
        <v>160</v>
      </c>
      <c r="B191" s="5" t="s">
        <v>143</v>
      </c>
      <c r="C191" s="37">
        <v>46010.0</v>
      </c>
      <c r="D191" s="28" t="s">
        <v>64</v>
      </c>
      <c r="E191" s="5">
        <v>125.0</v>
      </c>
      <c r="F191" s="5">
        <v>59.0</v>
      </c>
      <c r="G191" s="5">
        <v>5.0</v>
      </c>
      <c r="H191" s="5">
        <v>20.0</v>
      </c>
    </row>
    <row r="192" ht="15.75" customHeight="1">
      <c r="A192" s="5" t="s">
        <v>160</v>
      </c>
      <c r="B192" s="5" t="s">
        <v>143</v>
      </c>
      <c r="C192" s="37">
        <v>46010.0</v>
      </c>
      <c r="D192" s="28" t="s">
        <v>65</v>
      </c>
      <c r="E192" s="5">
        <v>50.0</v>
      </c>
      <c r="F192" s="5">
        <v>39.0</v>
      </c>
      <c r="G192" s="5">
        <v>4.0</v>
      </c>
      <c r="H192" s="5">
        <v>0.0</v>
      </c>
    </row>
    <row r="193" ht="15.75" customHeight="1">
      <c r="A193" s="5" t="s">
        <v>160</v>
      </c>
      <c r="B193" s="5" t="s">
        <v>143</v>
      </c>
      <c r="C193" s="37">
        <v>46010.0</v>
      </c>
      <c r="D193" s="28" t="s">
        <v>66</v>
      </c>
      <c r="E193" s="5">
        <v>105.0</v>
      </c>
      <c r="F193" s="5">
        <v>88.0</v>
      </c>
      <c r="G193" s="5">
        <v>0.0</v>
      </c>
      <c r="H193" s="5">
        <v>10.0</v>
      </c>
    </row>
    <row r="194" ht="15.75" customHeight="1">
      <c r="A194" s="5" t="s">
        <v>163</v>
      </c>
      <c r="B194" s="5" t="s">
        <v>143</v>
      </c>
      <c r="C194" s="37">
        <v>46011.0</v>
      </c>
      <c r="D194" s="5" t="s">
        <v>116</v>
      </c>
      <c r="E194" s="5">
        <v>44.0</v>
      </c>
      <c r="F194" s="5">
        <v>38.0</v>
      </c>
      <c r="G194" s="5">
        <v>9.0</v>
      </c>
      <c r="H194" s="5">
        <v>2.0</v>
      </c>
    </row>
    <row r="195" ht="15.75" customHeight="1">
      <c r="A195" s="5" t="s">
        <v>163</v>
      </c>
      <c r="B195" s="5" t="s">
        <v>143</v>
      </c>
      <c r="C195" s="37">
        <v>46011.0</v>
      </c>
      <c r="D195" s="5" t="s">
        <v>43</v>
      </c>
      <c r="E195" s="5">
        <v>67.0</v>
      </c>
      <c r="F195" s="5">
        <v>50.0</v>
      </c>
      <c r="G195" s="5">
        <v>4.0</v>
      </c>
      <c r="H195" s="5">
        <v>9.0</v>
      </c>
    </row>
    <row r="196" ht="15.75" customHeight="1">
      <c r="A196" s="5" t="s">
        <v>163</v>
      </c>
      <c r="B196" s="5" t="s">
        <v>143</v>
      </c>
      <c r="C196" s="37">
        <v>46011.0</v>
      </c>
      <c r="D196" s="28" t="s">
        <v>51</v>
      </c>
      <c r="E196" s="5">
        <v>45.0</v>
      </c>
      <c r="F196" s="5">
        <v>35.0</v>
      </c>
      <c r="G196" s="5">
        <v>3.0</v>
      </c>
      <c r="H196" s="5">
        <v>7.0</v>
      </c>
    </row>
    <row r="197" ht="15.75" customHeight="1">
      <c r="A197" s="5" t="s">
        <v>163</v>
      </c>
      <c r="B197" s="5" t="s">
        <v>143</v>
      </c>
      <c r="C197" s="37">
        <v>46011.0</v>
      </c>
      <c r="D197" s="28" t="s">
        <v>59</v>
      </c>
      <c r="E197" s="5">
        <v>170.0</v>
      </c>
      <c r="F197" s="5">
        <v>158.0</v>
      </c>
      <c r="G197" s="5">
        <v>1.0</v>
      </c>
      <c r="H197" s="5">
        <v>0.0</v>
      </c>
    </row>
    <row r="198" ht="15.75" customHeight="1">
      <c r="A198" s="5" t="s">
        <v>163</v>
      </c>
      <c r="B198" s="5" t="s">
        <v>143</v>
      </c>
      <c r="C198" s="37">
        <v>46011.0</v>
      </c>
      <c r="D198" s="28" t="s">
        <v>52</v>
      </c>
      <c r="E198" s="5">
        <v>52.0</v>
      </c>
      <c r="F198" s="5">
        <v>28.0</v>
      </c>
      <c r="G198" s="5">
        <v>2.0</v>
      </c>
      <c r="H198" s="5">
        <v>11.0</v>
      </c>
    </row>
    <row r="199" ht="15.75" customHeight="1">
      <c r="A199" s="5" t="s">
        <v>163</v>
      </c>
      <c r="B199" s="5" t="s">
        <v>143</v>
      </c>
      <c r="C199" s="37">
        <v>46011.0</v>
      </c>
      <c r="D199" s="28" t="s">
        <v>53</v>
      </c>
      <c r="E199" s="5">
        <v>113.0</v>
      </c>
      <c r="F199" s="5">
        <v>90.0</v>
      </c>
      <c r="G199" s="5">
        <v>1.0</v>
      </c>
      <c r="H199" s="5">
        <v>10.0</v>
      </c>
    </row>
    <row r="200" ht="15.75" customHeight="1">
      <c r="A200" s="5" t="s">
        <v>166</v>
      </c>
      <c r="B200" s="5" t="s">
        <v>143</v>
      </c>
      <c r="C200" s="37">
        <v>46012.0</v>
      </c>
      <c r="D200" s="28" t="s">
        <v>39</v>
      </c>
      <c r="E200" s="5">
        <v>58.0</v>
      </c>
      <c r="F200" s="5">
        <v>34.0</v>
      </c>
      <c r="G200" s="5">
        <v>1.0</v>
      </c>
      <c r="H200" s="5">
        <v>7.0</v>
      </c>
    </row>
    <row r="201" ht="15.75" customHeight="1">
      <c r="A201" s="5" t="s">
        <v>166</v>
      </c>
      <c r="B201" s="5" t="s">
        <v>143</v>
      </c>
      <c r="C201" s="37">
        <v>46012.0</v>
      </c>
      <c r="D201" s="5" t="s">
        <v>116</v>
      </c>
      <c r="E201" s="5">
        <v>56.0</v>
      </c>
      <c r="F201" s="5">
        <v>32.0</v>
      </c>
      <c r="G201" s="5">
        <v>10.0</v>
      </c>
      <c r="H201" s="5">
        <v>3.0</v>
      </c>
    </row>
    <row r="202" ht="15.75" customHeight="1">
      <c r="A202" s="5" t="s">
        <v>166</v>
      </c>
      <c r="B202" s="5" t="s">
        <v>143</v>
      </c>
      <c r="C202" s="37">
        <v>46012.0</v>
      </c>
      <c r="D202" s="5" t="s">
        <v>43</v>
      </c>
      <c r="E202" s="5">
        <v>44.0</v>
      </c>
      <c r="F202" s="5">
        <v>35.0</v>
      </c>
      <c r="G202" s="5">
        <v>3.0</v>
      </c>
      <c r="H202" s="5">
        <v>12.0</v>
      </c>
    </row>
    <row r="203" ht="15.75" customHeight="1">
      <c r="A203" s="5" t="s">
        <v>166</v>
      </c>
      <c r="B203" s="5" t="s">
        <v>143</v>
      </c>
      <c r="C203" s="37">
        <v>46012.0</v>
      </c>
      <c r="D203" s="28" t="s">
        <v>59</v>
      </c>
      <c r="E203" s="5">
        <v>152.0</v>
      </c>
      <c r="F203" s="5">
        <v>134.0</v>
      </c>
      <c r="G203" s="5">
        <v>2.0</v>
      </c>
      <c r="H203" s="5">
        <v>0.0</v>
      </c>
    </row>
    <row r="204" ht="15.75" customHeight="1">
      <c r="A204" s="5" t="s">
        <v>166</v>
      </c>
      <c r="B204" s="5" t="s">
        <v>143</v>
      </c>
      <c r="C204" s="37">
        <v>46012.0</v>
      </c>
      <c r="D204" s="28" t="s">
        <v>52</v>
      </c>
      <c r="E204" s="5">
        <v>55.0</v>
      </c>
      <c r="F204" s="5">
        <v>31.0</v>
      </c>
      <c r="G204" s="5">
        <v>3.0</v>
      </c>
      <c r="H204" s="5">
        <v>5.0</v>
      </c>
    </row>
    <row r="205" ht="15.75" customHeight="1">
      <c r="A205" s="5" t="s">
        <v>166</v>
      </c>
      <c r="B205" s="5" t="s">
        <v>143</v>
      </c>
      <c r="C205" s="37">
        <v>46012.0</v>
      </c>
      <c r="D205" s="28" t="s">
        <v>53</v>
      </c>
      <c r="E205" s="5">
        <v>101.0</v>
      </c>
      <c r="F205" s="5">
        <v>71.0</v>
      </c>
      <c r="G205" s="5">
        <v>1.0</v>
      </c>
      <c r="H205" s="5">
        <v>8.0</v>
      </c>
    </row>
    <row r="206" ht="15.75" customHeight="1">
      <c r="A206" s="5" t="s">
        <v>142</v>
      </c>
      <c r="B206" s="5" t="s">
        <v>143</v>
      </c>
      <c r="C206" s="37">
        <v>46013.0</v>
      </c>
      <c r="D206" s="28" t="s">
        <v>39</v>
      </c>
      <c r="E206" s="5">
        <v>73.0</v>
      </c>
      <c r="F206" s="5">
        <v>62.0</v>
      </c>
      <c r="G206" s="5">
        <v>3.0</v>
      </c>
      <c r="H206" s="5">
        <v>11.0</v>
      </c>
    </row>
    <row r="207" ht="15.75" customHeight="1">
      <c r="A207" s="5" t="s">
        <v>142</v>
      </c>
      <c r="B207" s="5" t="s">
        <v>143</v>
      </c>
      <c r="C207" s="37">
        <v>46013.0</v>
      </c>
      <c r="D207" s="28" t="s">
        <v>41</v>
      </c>
      <c r="E207" s="5">
        <v>81.0</v>
      </c>
      <c r="F207" s="5">
        <v>76.0</v>
      </c>
      <c r="G207" s="5">
        <v>4.0</v>
      </c>
      <c r="H207" s="5">
        <v>2.0</v>
      </c>
    </row>
    <row r="208" ht="15.75" customHeight="1">
      <c r="A208" s="5" t="s">
        <v>142</v>
      </c>
      <c r="B208" s="5" t="s">
        <v>143</v>
      </c>
      <c r="C208" s="37">
        <v>46013.0</v>
      </c>
      <c r="D208" s="28" t="s">
        <v>42</v>
      </c>
      <c r="E208" s="5">
        <v>188.0</v>
      </c>
      <c r="F208" s="5">
        <v>135.0</v>
      </c>
      <c r="G208" s="5">
        <v>5.0</v>
      </c>
      <c r="H208" s="5">
        <v>27.0</v>
      </c>
    </row>
    <row r="209" ht="15.75" customHeight="1">
      <c r="A209" s="5" t="s">
        <v>142</v>
      </c>
      <c r="B209" s="5" t="s">
        <v>143</v>
      </c>
      <c r="C209" s="37">
        <v>46013.0</v>
      </c>
      <c r="D209" s="28" t="s">
        <v>44</v>
      </c>
      <c r="E209" s="5">
        <v>69.0</v>
      </c>
      <c r="F209" s="5">
        <v>74.0</v>
      </c>
      <c r="G209" s="5">
        <v>0.0</v>
      </c>
      <c r="H209" s="5">
        <v>0.0</v>
      </c>
    </row>
    <row r="210" ht="15.75" customHeight="1">
      <c r="A210" s="5" t="s">
        <v>142</v>
      </c>
      <c r="B210" s="5" t="s">
        <v>143</v>
      </c>
      <c r="C210" s="37">
        <v>46013.0</v>
      </c>
      <c r="D210" s="5" t="s">
        <v>89</v>
      </c>
      <c r="E210" s="5">
        <v>115.0</v>
      </c>
      <c r="F210" s="5">
        <v>150.0</v>
      </c>
      <c r="G210" s="5">
        <v>0.0</v>
      </c>
      <c r="H210" s="5">
        <v>0.0</v>
      </c>
    </row>
    <row r="211" ht="15.75" customHeight="1">
      <c r="A211" s="5" t="s">
        <v>142</v>
      </c>
      <c r="B211" s="5" t="s">
        <v>143</v>
      </c>
      <c r="C211" s="37">
        <v>46013.0</v>
      </c>
      <c r="D211" s="5" t="s">
        <v>90</v>
      </c>
      <c r="E211" s="5">
        <v>131.0</v>
      </c>
      <c r="F211" s="5">
        <v>51.0</v>
      </c>
      <c r="G211" s="5">
        <v>0.0</v>
      </c>
      <c r="H211" s="5">
        <v>0.0</v>
      </c>
    </row>
    <row r="212" ht="15.75" customHeight="1">
      <c r="A212" s="5" t="s">
        <v>142</v>
      </c>
      <c r="B212" s="5" t="s">
        <v>143</v>
      </c>
      <c r="C212" s="37">
        <v>46013.0</v>
      </c>
      <c r="D212" s="28" t="s">
        <v>59</v>
      </c>
      <c r="E212" s="5">
        <v>69.0</v>
      </c>
      <c r="F212" s="5">
        <v>53.0</v>
      </c>
      <c r="G212" s="5">
        <v>1.0</v>
      </c>
      <c r="H212" s="5">
        <v>0.0</v>
      </c>
    </row>
    <row r="213" ht="15.75" customHeight="1">
      <c r="A213" s="5" t="s">
        <v>142</v>
      </c>
      <c r="B213" s="5" t="s">
        <v>143</v>
      </c>
      <c r="C213" s="37">
        <v>46013.0</v>
      </c>
      <c r="D213" s="28" t="s">
        <v>67</v>
      </c>
      <c r="E213" s="5">
        <v>57.0</v>
      </c>
      <c r="F213" s="5">
        <v>50.0</v>
      </c>
      <c r="G213" s="5">
        <v>4.0</v>
      </c>
      <c r="H213" s="5">
        <v>2.0</v>
      </c>
    </row>
    <row r="214" ht="15.75" customHeight="1">
      <c r="A214" s="5" t="s">
        <v>142</v>
      </c>
      <c r="B214" s="5" t="s">
        <v>143</v>
      </c>
      <c r="C214" s="37">
        <v>46013.0</v>
      </c>
      <c r="D214" s="5" t="s">
        <v>93</v>
      </c>
      <c r="E214" s="5">
        <v>102.0</v>
      </c>
      <c r="F214" s="5">
        <v>68.0</v>
      </c>
      <c r="G214" s="5">
        <v>0.0</v>
      </c>
      <c r="H214" s="5">
        <v>0.0</v>
      </c>
    </row>
    <row r="215" ht="15.75" customHeight="1">
      <c r="A215" s="5" t="s">
        <v>142</v>
      </c>
      <c r="B215" s="5" t="s">
        <v>143</v>
      </c>
      <c r="C215" s="37">
        <v>46013.0</v>
      </c>
      <c r="D215" s="28" t="s">
        <v>58</v>
      </c>
      <c r="E215" s="5">
        <v>40.0</v>
      </c>
      <c r="F215" s="5">
        <v>23.0</v>
      </c>
      <c r="G215" s="5">
        <v>8.0</v>
      </c>
      <c r="H215" s="5">
        <v>6.0</v>
      </c>
    </row>
    <row r="216" ht="15.75" customHeight="1">
      <c r="A216" s="5" t="s">
        <v>142</v>
      </c>
      <c r="B216" s="5" t="s">
        <v>143</v>
      </c>
      <c r="C216" s="37">
        <v>46013.0</v>
      </c>
      <c r="D216" s="28" t="s">
        <v>64</v>
      </c>
      <c r="E216" s="5">
        <v>113.0</v>
      </c>
      <c r="F216" s="5">
        <v>80.0</v>
      </c>
      <c r="G216" s="5">
        <v>11.0</v>
      </c>
      <c r="H216" s="5">
        <v>18.0</v>
      </c>
    </row>
    <row r="217" ht="15.75" customHeight="1">
      <c r="A217" s="5" t="s">
        <v>142</v>
      </c>
      <c r="B217" s="5" t="s">
        <v>143</v>
      </c>
      <c r="C217" s="37">
        <v>46013.0</v>
      </c>
      <c r="D217" s="28" t="s">
        <v>65</v>
      </c>
      <c r="E217" s="5">
        <v>44.0</v>
      </c>
      <c r="F217" s="5">
        <v>34.0</v>
      </c>
      <c r="G217" s="5">
        <v>4.0</v>
      </c>
      <c r="H217" s="5">
        <v>2.0</v>
      </c>
    </row>
    <row r="218" ht="15.75" customHeight="1">
      <c r="A218" s="5" t="s">
        <v>142</v>
      </c>
      <c r="B218" s="5" t="s">
        <v>143</v>
      </c>
      <c r="C218" s="37">
        <v>46013.0</v>
      </c>
      <c r="D218" s="28" t="s">
        <v>66</v>
      </c>
      <c r="E218" s="5">
        <v>84.0</v>
      </c>
      <c r="F218" s="5">
        <v>81.0</v>
      </c>
      <c r="G218" s="5">
        <v>0.0</v>
      </c>
      <c r="H218" s="5">
        <v>1.0</v>
      </c>
    </row>
    <row r="219" ht="15.75" customHeight="1">
      <c r="A219" s="5" t="s">
        <v>150</v>
      </c>
      <c r="B219" s="5" t="s">
        <v>143</v>
      </c>
      <c r="C219" s="37">
        <v>46014.0</v>
      </c>
      <c r="D219" s="28" t="s">
        <v>39</v>
      </c>
      <c r="E219" s="5">
        <v>66.0</v>
      </c>
      <c r="F219" s="5">
        <v>43.0</v>
      </c>
      <c r="G219" s="5">
        <v>0.0</v>
      </c>
      <c r="H219" s="5">
        <v>19.0</v>
      </c>
    </row>
    <row r="220" ht="15.75" customHeight="1">
      <c r="A220" s="5" t="s">
        <v>150</v>
      </c>
      <c r="B220" s="5" t="s">
        <v>143</v>
      </c>
      <c r="C220" s="37">
        <v>46014.0</v>
      </c>
      <c r="D220" s="28" t="s">
        <v>41</v>
      </c>
      <c r="E220" s="5">
        <v>63.0</v>
      </c>
      <c r="F220" s="5">
        <v>46.0</v>
      </c>
      <c r="G220" s="5">
        <v>2.0</v>
      </c>
      <c r="H220" s="5">
        <v>7.0</v>
      </c>
    </row>
    <row r="221" ht="15.75" customHeight="1">
      <c r="A221" s="5" t="s">
        <v>150</v>
      </c>
      <c r="B221" s="5" t="s">
        <v>143</v>
      </c>
      <c r="C221" s="37">
        <v>46014.0</v>
      </c>
      <c r="D221" s="5" t="s">
        <v>89</v>
      </c>
      <c r="E221" s="5">
        <v>84.0</v>
      </c>
      <c r="F221" s="5">
        <v>28.0</v>
      </c>
      <c r="G221" s="5">
        <v>0.0</v>
      </c>
      <c r="H221" s="5">
        <v>0.0</v>
      </c>
    </row>
    <row r="222" ht="15.75" customHeight="1">
      <c r="A222" s="5" t="s">
        <v>150</v>
      </c>
      <c r="B222" s="5" t="s">
        <v>143</v>
      </c>
      <c r="C222" s="37">
        <v>46014.0</v>
      </c>
      <c r="D222" s="5" t="s">
        <v>90</v>
      </c>
      <c r="E222" s="5">
        <v>110.0</v>
      </c>
      <c r="F222" s="5">
        <v>66.0</v>
      </c>
      <c r="G222" s="5">
        <v>0.0</v>
      </c>
      <c r="H222" s="5">
        <v>0.0</v>
      </c>
    </row>
    <row r="223" ht="15.75" customHeight="1">
      <c r="A223" s="5" t="s">
        <v>150</v>
      </c>
      <c r="B223" s="5" t="s">
        <v>143</v>
      </c>
      <c r="C223" s="37">
        <v>46014.0</v>
      </c>
      <c r="D223" s="28" t="s">
        <v>59</v>
      </c>
      <c r="E223" s="5">
        <v>28.0</v>
      </c>
      <c r="F223" s="5">
        <v>21.0</v>
      </c>
      <c r="G223" s="5">
        <v>0.0</v>
      </c>
      <c r="H223" s="5">
        <v>1.0</v>
      </c>
    </row>
    <row r="224" ht="15.75" customHeight="1">
      <c r="A224" s="5" t="s">
        <v>150</v>
      </c>
      <c r="B224" s="5" t="s">
        <v>143</v>
      </c>
      <c r="C224" s="37">
        <v>46014.0</v>
      </c>
      <c r="D224" s="28" t="s">
        <v>67</v>
      </c>
      <c r="E224" s="5">
        <v>73.0</v>
      </c>
      <c r="F224" s="5">
        <v>60.0</v>
      </c>
      <c r="G224" s="5">
        <v>2.0</v>
      </c>
      <c r="H224" s="5">
        <v>5.0</v>
      </c>
    </row>
    <row r="225" ht="15.75" customHeight="1">
      <c r="A225" s="5" t="s">
        <v>150</v>
      </c>
      <c r="B225" s="5" t="s">
        <v>143</v>
      </c>
      <c r="C225" s="37">
        <v>46014.0</v>
      </c>
      <c r="D225" s="5" t="s">
        <v>93</v>
      </c>
      <c r="E225" s="5">
        <v>65.0</v>
      </c>
      <c r="F225" s="5">
        <v>45.0</v>
      </c>
      <c r="G225" s="5">
        <v>0.0</v>
      </c>
      <c r="H225" s="5">
        <v>0.0</v>
      </c>
    </row>
    <row r="226" ht="15.75" customHeight="1">
      <c r="A226" s="5" t="s">
        <v>150</v>
      </c>
      <c r="B226" s="5" t="s">
        <v>143</v>
      </c>
      <c r="C226" s="37">
        <v>46014.0</v>
      </c>
      <c r="D226" s="28" t="s">
        <v>58</v>
      </c>
      <c r="E226" s="5">
        <v>37.0</v>
      </c>
      <c r="F226" s="5">
        <v>30.0</v>
      </c>
      <c r="G226" s="5">
        <v>8.0</v>
      </c>
      <c r="H226" s="5">
        <v>9.0</v>
      </c>
    </row>
    <row r="227" ht="15.75" customHeight="1">
      <c r="A227" s="5" t="s">
        <v>150</v>
      </c>
      <c r="B227" s="5" t="s">
        <v>143</v>
      </c>
      <c r="C227" s="37">
        <v>46014.0</v>
      </c>
      <c r="D227" s="28" t="s">
        <v>64</v>
      </c>
      <c r="E227" s="5">
        <v>87.0</v>
      </c>
      <c r="F227" s="5">
        <v>57.0</v>
      </c>
      <c r="G227" s="5">
        <v>6.0</v>
      </c>
      <c r="H227" s="5">
        <v>12.0</v>
      </c>
    </row>
    <row r="228" ht="15.75" customHeight="1">
      <c r="A228" s="5" t="s">
        <v>150</v>
      </c>
      <c r="B228" s="5" t="s">
        <v>143</v>
      </c>
      <c r="C228" s="37">
        <v>46014.0</v>
      </c>
      <c r="D228" s="28" t="s">
        <v>65</v>
      </c>
      <c r="E228" s="5">
        <v>50.0</v>
      </c>
      <c r="F228" s="5">
        <v>41.0</v>
      </c>
      <c r="G228" s="5">
        <v>2.0</v>
      </c>
      <c r="H228" s="5">
        <v>0.0</v>
      </c>
    </row>
    <row r="229" ht="15.75" customHeight="1">
      <c r="A229" s="5" t="s">
        <v>150</v>
      </c>
      <c r="B229" s="5" t="s">
        <v>143</v>
      </c>
      <c r="C229" s="37">
        <v>46014.0</v>
      </c>
      <c r="D229" s="28" t="s">
        <v>66</v>
      </c>
      <c r="E229" s="5">
        <v>109.0</v>
      </c>
      <c r="F229" s="5">
        <v>100.0</v>
      </c>
      <c r="G229" s="5">
        <v>1.0</v>
      </c>
      <c r="H229" s="5">
        <v>2.0</v>
      </c>
    </row>
    <row r="230" ht="15.75" customHeight="1">
      <c r="A230" s="5" t="s">
        <v>153</v>
      </c>
      <c r="B230" s="5" t="s">
        <v>143</v>
      </c>
      <c r="C230" s="37">
        <v>46015.0</v>
      </c>
      <c r="D230" s="5" t="s">
        <v>77</v>
      </c>
      <c r="E230" s="5" t="s">
        <v>77</v>
      </c>
      <c r="F230" s="5" t="s">
        <v>77</v>
      </c>
      <c r="G230" s="5" t="s">
        <v>77</v>
      </c>
      <c r="H230" s="5" t="s">
        <v>77</v>
      </c>
      <c r="I230" s="5" t="s">
        <v>174</v>
      </c>
    </row>
    <row r="231" ht="15.75" customHeight="1">
      <c r="A231" s="5" t="s">
        <v>155</v>
      </c>
      <c r="B231" s="5" t="s">
        <v>143</v>
      </c>
      <c r="C231" s="37">
        <v>46016.0</v>
      </c>
      <c r="D231" s="5" t="s">
        <v>77</v>
      </c>
      <c r="E231" s="5" t="s">
        <v>77</v>
      </c>
      <c r="F231" s="5" t="s">
        <v>77</v>
      </c>
      <c r="G231" s="5" t="s">
        <v>77</v>
      </c>
      <c r="H231" s="5" t="s">
        <v>77</v>
      </c>
      <c r="I231" s="5" t="s">
        <v>174</v>
      </c>
    </row>
    <row r="232" ht="15.75" customHeight="1">
      <c r="A232" s="5" t="s">
        <v>160</v>
      </c>
      <c r="B232" s="5" t="s">
        <v>143</v>
      </c>
      <c r="C232" s="37">
        <v>46017.0</v>
      </c>
      <c r="D232" s="5" t="s">
        <v>77</v>
      </c>
      <c r="E232" s="5" t="s">
        <v>77</v>
      </c>
      <c r="F232" s="5" t="s">
        <v>77</v>
      </c>
      <c r="G232" s="5" t="s">
        <v>77</v>
      </c>
      <c r="H232" s="5" t="s">
        <v>77</v>
      </c>
      <c r="I232" s="28" t="s">
        <v>175</v>
      </c>
    </row>
    <row r="233" ht="15.75" customHeight="1">
      <c r="A233" s="5" t="s">
        <v>163</v>
      </c>
      <c r="B233" s="5" t="s">
        <v>143</v>
      </c>
      <c r="C233" s="37">
        <v>46018.0</v>
      </c>
      <c r="D233" s="5" t="s">
        <v>77</v>
      </c>
      <c r="E233" s="5" t="s">
        <v>77</v>
      </c>
      <c r="F233" s="5" t="s">
        <v>77</v>
      </c>
      <c r="G233" s="5" t="s">
        <v>77</v>
      </c>
      <c r="H233" s="5" t="s">
        <v>77</v>
      </c>
      <c r="I233" s="28" t="s">
        <v>175</v>
      </c>
    </row>
    <row r="234" ht="15.75" customHeight="1">
      <c r="A234" s="5" t="s">
        <v>166</v>
      </c>
      <c r="B234" s="5" t="s">
        <v>143</v>
      </c>
      <c r="C234" s="37">
        <v>46019.0</v>
      </c>
      <c r="D234" s="5" t="s">
        <v>77</v>
      </c>
      <c r="E234" s="5" t="s">
        <v>77</v>
      </c>
      <c r="F234" s="5" t="s">
        <v>77</v>
      </c>
      <c r="G234" s="5" t="s">
        <v>77</v>
      </c>
      <c r="H234" s="5" t="s">
        <v>77</v>
      </c>
      <c r="I234" s="28" t="s">
        <v>175</v>
      </c>
    </row>
    <row r="235" ht="15.75" customHeight="1">
      <c r="A235" s="5" t="s">
        <v>142</v>
      </c>
      <c r="B235" s="5" t="s">
        <v>143</v>
      </c>
      <c r="C235" s="37">
        <v>46020.0</v>
      </c>
      <c r="D235" s="28" t="s">
        <v>39</v>
      </c>
      <c r="E235" s="5">
        <v>84.0</v>
      </c>
      <c r="F235" s="5">
        <v>47.0</v>
      </c>
      <c r="G235" s="5">
        <v>1.0</v>
      </c>
      <c r="H235" s="5">
        <v>13.0</v>
      </c>
    </row>
    <row r="236" ht="15.75" customHeight="1">
      <c r="A236" s="5" t="s">
        <v>142</v>
      </c>
      <c r="B236" s="5" t="s">
        <v>143</v>
      </c>
      <c r="C236" s="37">
        <v>46020.0</v>
      </c>
      <c r="D236" s="28" t="s">
        <v>42</v>
      </c>
      <c r="E236" s="5">
        <v>82.0</v>
      </c>
      <c r="F236" s="5">
        <v>53.0</v>
      </c>
      <c r="G236" s="5">
        <v>5.0</v>
      </c>
      <c r="H236" s="5">
        <v>6.0</v>
      </c>
    </row>
    <row r="237" ht="15.75" customHeight="1">
      <c r="A237" s="5" t="s">
        <v>142</v>
      </c>
      <c r="B237" s="5" t="s">
        <v>143</v>
      </c>
      <c r="C237" s="37">
        <v>46020.0</v>
      </c>
      <c r="D237" s="28" t="s">
        <v>44</v>
      </c>
      <c r="E237" s="5">
        <v>35.0</v>
      </c>
      <c r="F237" s="5">
        <v>42.0</v>
      </c>
      <c r="G237" s="5">
        <v>0.0</v>
      </c>
      <c r="H237" s="5">
        <v>0.0</v>
      </c>
    </row>
    <row r="238" ht="15.75" customHeight="1">
      <c r="A238" s="5" t="s">
        <v>142</v>
      </c>
      <c r="B238" s="5" t="s">
        <v>143</v>
      </c>
      <c r="C238" s="37">
        <v>46020.0</v>
      </c>
      <c r="D238" s="5" t="s">
        <v>89</v>
      </c>
      <c r="E238" s="5">
        <v>69.0</v>
      </c>
      <c r="F238" s="5">
        <v>29.0</v>
      </c>
      <c r="G238" s="5">
        <v>0.0</v>
      </c>
      <c r="H238" s="5">
        <v>0.0</v>
      </c>
    </row>
    <row r="239" ht="15.75" customHeight="1">
      <c r="A239" s="5" t="s">
        <v>142</v>
      </c>
      <c r="B239" s="5" t="s">
        <v>143</v>
      </c>
      <c r="C239" s="37">
        <v>46020.0</v>
      </c>
      <c r="D239" s="28" t="s">
        <v>59</v>
      </c>
      <c r="E239" s="5">
        <v>13.0</v>
      </c>
      <c r="F239" s="5">
        <v>8.0</v>
      </c>
      <c r="G239" s="5">
        <v>0.0</v>
      </c>
      <c r="H239" s="5">
        <v>0.0</v>
      </c>
    </row>
    <row r="240" ht="15.75" customHeight="1">
      <c r="A240" s="5" t="s">
        <v>142</v>
      </c>
      <c r="B240" s="5" t="s">
        <v>143</v>
      </c>
      <c r="C240" s="37">
        <v>46020.0</v>
      </c>
      <c r="D240" s="5" t="s">
        <v>90</v>
      </c>
      <c r="E240" s="5">
        <v>62.0</v>
      </c>
      <c r="F240" s="5">
        <v>22.0</v>
      </c>
      <c r="G240" s="5">
        <v>0.0</v>
      </c>
      <c r="H240" s="5">
        <v>0.0</v>
      </c>
    </row>
    <row r="241" ht="15.75" customHeight="1">
      <c r="A241" s="5" t="s">
        <v>142</v>
      </c>
      <c r="B241" s="5" t="s">
        <v>143</v>
      </c>
      <c r="C241" s="37">
        <v>46020.0</v>
      </c>
      <c r="D241" s="5" t="s">
        <v>93</v>
      </c>
      <c r="E241" s="5">
        <v>65.0</v>
      </c>
      <c r="F241" s="5">
        <v>46.0</v>
      </c>
      <c r="G241" s="5">
        <v>0.0</v>
      </c>
      <c r="H241" s="5">
        <v>0.0</v>
      </c>
    </row>
    <row r="242" ht="15.75" customHeight="1">
      <c r="A242" s="5" t="s">
        <v>142</v>
      </c>
      <c r="B242" s="5" t="s">
        <v>143</v>
      </c>
      <c r="C242" s="37">
        <v>46020.0</v>
      </c>
      <c r="D242" s="28" t="s">
        <v>58</v>
      </c>
      <c r="E242" s="5">
        <v>48.0</v>
      </c>
      <c r="F242" s="5">
        <v>30.0</v>
      </c>
      <c r="G242" s="5">
        <v>7.0</v>
      </c>
      <c r="H242" s="5">
        <v>3.0</v>
      </c>
    </row>
    <row r="243" ht="15.75" customHeight="1">
      <c r="A243" s="5" t="s">
        <v>142</v>
      </c>
      <c r="B243" s="5" t="s">
        <v>143</v>
      </c>
      <c r="C243" s="37">
        <v>46020.0</v>
      </c>
      <c r="D243" s="28" t="s">
        <v>64</v>
      </c>
      <c r="E243" s="5">
        <v>126.0</v>
      </c>
      <c r="F243" s="5">
        <v>90.0</v>
      </c>
      <c r="G243" s="5">
        <v>12.0</v>
      </c>
      <c r="H243" s="5">
        <v>8.0</v>
      </c>
    </row>
    <row r="244" ht="15.75" customHeight="1">
      <c r="A244" s="5" t="s">
        <v>142</v>
      </c>
      <c r="B244" s="5" t="s">
        <v>143</v>
      </c>
      <c r="C244" s="37">
        <v>46020.0</v>
      </c>
      <c r="D244" s="28" t="s">
        <v>65</v>
      </c>
      <c r="E244" s="5">
        <v>63.0</v>
      </c>
      <c r="F244" s="5">
        <v>51.0</v>
      </c>
      <c r="G244" s="5">
        <v>3.0</v>
      </c>
      <c r="H244" s="5">
        <v>0.0</v>
      </c>
    </row>
    <row r="245" ht="15.75" customHeight="1">
      <c r="A245" s="5" t="s">
        <v>142</v>
      </c>
      <c r="B245" s="5" t="s">
        <v>143</v>
      </c>
      <c r="C245" s="37">
        <v>46020.0</v>
      </c>
      <c r="D245" s="28" t="s">
        <v>66</v>
      </c>
      <c r="E245" s="5">
        <v>58.0</v>
      </c>
      <c r="F245" s="5">
        <v>46.0</v>
      </c>
      <c r="G245" s="5">
        <v>0.0</v>
      </c>
      <c r="H245" s="5">
        <v>6.0</v>
      </c>
    </row>
    <row r="246" ht="15.75" customHeight="1">
      <c r="A246" s="5" t="s">
        <v>150</v>
      </c>
      <c r="B246" s="5" t="s">
        <v>143</v>
      </c>
      <c r="C246" s="37">
        <v>46021.0</v>
      </c>
      <c r="D246" s="28" t="s">
        <v>39</v>
      </c>
      <c r="E246" s="5">
        <v>86.0</v>
      </c>
      <c r="F246" s="5">
        <v>52.0</v>
      </c>
      <c r="G246" s="5">
        <v>0.0</v>
      </c>
      <c r="H246" s="5">
        <v>21.0</v>
      </c>
    </row>
    <row r="247" ht="15.75" customHeight="1">
      <c r="A247" s="5" t="s">
        <v>150</v>
      </c>
      <c r="B247" s="5" t="s">
        <v>143</v>
      </c>
      <c r="C247" s="37">
        <v>46021.0</v>
      </c>
      <c r="D247" s="5" t="s">
        <v>89</v>
      </c>
      <c r="E247" s="5">
        <v>37.0</v>
      </c>
      <c r="F247" s="5">
        <v>10.0</v>
      </c>
      <c r="G247" s="5">
        <v>0.0</v>
      </c>
      <c r="H247" s="5">
        <v>0.0</v>
      </c>
    </row>
    <row r="248" ht="15.75" customHeight="1">
      <c r="A248" s="5" t="s">
        <v>150</v>
      </c>
      <c r="B248" s="5" t="s">
        <v>143</v>
      </c>
      <c r="C248" s="37">
        <v>46021.0</v>
      </c>
      <c r="D248" s="5" t="s">
        <v>90</v>
      </c>
      <c r="E248" s="5">
        <v>53.0</v>
      </c>
      <c r="F248" s="5">
        <v>24.0</v>
      </c>
      <c r="G248" s="5">
        <v>0.0</v>
      </c>
      <c r="H248" s="5">
        <v>0.0</v>
      </c>
    </row>
    <row r="249" ht="15.75" customHeight="1">
      <c r="A249" s="5" t="s">
        <v>150</v>
      </c>
      <c r="B249" s="5" t="s">
        <v>143</v>
      </c>
      <c r="C249" s="37">
        <v>46021.0</v>
      </c>
      <c r="D249" s="28" t="s">
        <v>59</v>
      </c>
      <c r="E249" s="5">
        <v>30.0</v>
      </c>
      <c r="F249" s="5">
        <v>17.0</v>
      </c>
      <c r="G249" s="5">
        <v>0.0</v>
      </c>
      <c r="H249" s="5">
        <v>0.0</v>
      </c>
    </row>
    <row r="250" ht="15.75" customHeight="1">
      <c r="A250" s="5" t="s">
        <v>150</v>
      </c>
      <c r="B250" s="5" t="s">
        <v>143</v>
      </c>
      <c r="C250" s="37">
        <v>46021.0</v>
      </c>
      <c r="D250" s="5" t="s">
        <v>93</v>
      </c>
      <c r="E250" s="5">
        <v>60.0</v>
      </c>
      <c r="F250" s="5">
        <v>29.0</v>
      </c>
      <c r="G250" s="5">
        <v>0.0</v>
      </c>
      <c r="H250" s="5">
        <v>0.0</v>
      </c>
    </row>
    <row r="251" ht="15.75" customHeight="1">
      <c r="A251" s="5" t="s">
        <v>150</v>
      </c>
      <c r="B251" s="5" t="s">
        <v>143</v>
      </c>
      <c r="C251" s="37">
        <v>46021.0</v>
      </c>
      <c r="D251" s="28" t="s">
        <v>58</v>
      </c>
      <c r="E251" s="5">
        <v>67.0</v>
      </c>
      <c r="F251" s="5">
        <v>48.0</v>
      </c>
      <c r="G251" s="5">
        <v>3.0</v>
      </c>
      <c r="H251" s="5">
        <v>3.0</v>
      </c>
    </row>
    <row r="252" ht="15.75" customHeight="1">
      <c r="A252" s="5" t="s">
        <v>150</v>
      </c>
      <c r="B252" s="5" t="s">
        <v>143</v>
      </c>
      <c r="C252" s="37">
        <v>46021.0</v>
      </c>
      <c r="D252" s="28" t="s">
        <v>64</v>
      </c>
      <c r="E252" s="5">
        <v>167.0</v>
      </c>
      <c r="F252" s="5">
        <v>111.0</v>
      </c>
      <c r="G252" s="5">
        <v>5.0</v>
      </c>
      <c r="H252" s="5">
        <v>19.0</v>
      </c>
    </row>
    <row r="253" ht="15.75" customHeight="1">
      <c r="A253" s="5" t="s">
        <v>150</v>
      </c>
      <c r="B253" s="5" t="s">
        <v>143</v>
      </c>
      <c r="C253" s="37">
        <v>46021.0</v>
      </c>
      <c r="D253" s="28" t="s">
        <v>65</v>
      </c>
      <c r="E253" s="5">
        <v>41.0</v>
      </c>
      <c r="F253" s="5">
        <v>33.0</v>
      </c>
      <c r="G253" s="5">
        <v>5.0</v>
      </c>
      <c r="H253" s="5">
        <v>1.0</v>
      </c>
    </row>
    <row r="254" ht="15.75" customHeight="1">
      <c r="A254" s="5" t="s">
        <v>150</v>
      </c>
      <c r="B254" s="5" t="s">
        <v>143</v>
      </c>
      <c r="C254" s="37">
        <v>46021.0</v>
      </c>
      <c r="D254" s="28" t="s">
        <v>66</v>
      </c>
      <c r="E254" s="5">
        <v>69.0</v>
      </c>
      <c r="F254" s="5">
        <v>62.0</v>
      </c>
      <c r="G254" s="5">
        <v>0.0</v>
      </c>
      <c r="H254" s="5">
        <v>2.0</v>
      </c>
    </row>
    <row r="255" ht="15.75" customHeight="1">
      <c r="A255" s="5" t="s">
        <v>153</v>
      </c>
      <c r="B255" s="5" t="s">
        <v>143</v>
      </c>
      <c r="C255" s="37">
        <v>46022.0</v>
      </c>
      <c r="D255" s="28" t="s">
        <v>39</v>
      </c>
      <c r="E255" s="5">
        <v>68.0</v>
      </c>
      <c r="F255" s="5">
        <v>43.0</v>
      </c>
      <c r="G255" s="5">
        <v>0.0</v>
      </c>
      <c r="H255" s="5">
        <v>0.0</v>
      </c>
    </row>
    <row r="256" ht="15.75" customHeight="1">
      <c r="A256" s="5" t="s">
        <v>153</v>
      </c>
      <c r="B256" s="5" t="s">
        <v>143</v>
      </c>
      <c r="C256" s="37">
        <v>46022.0</v>
      </c>
      <c r="D256" s="5" t="s">
        <v>107</v>
      </c>
      <c r="E256" s="5">
        <v>16.0</v>
      </c>
      <c r="F256" s="5">
        <v>2.0</v>
      </c>
      <c r="G256" s="5">
        <v>0.0</v>
      </c>
      <c r="H256" s="5">
        <v>0.0</v>
      </c>
    </row>
    <row r="257" ht="15.75" customHeight="1">
      <c r="A257" s="5" t="s">
        <v>153</v>
      </c>
      <c r="B257" s="5" t="s">
        <v>143</v>
      </c>
      <c r="C257" s="37">
        <v>46022.0</v>
      </c>
      <c r="D257" s="28" t="s">
        <v>41</v>
      </c>
      <c r="E257" s="5">
        <v>84.0</v>
      </c>
      <c r="F257" s="5">
        <v>59.0</v>
      </c>
      <c r="G257" s="5">
        <v>0.0</v>
      </c>
      <c r="H257" s="5">
        <v>4.0</v>
      </c>
    </row>
    <row r="258" ht="15.75" customHeight="1">
      <c r="A258" s="5" t="s">
        <v>153</v>
      </c>
      <c r="B258" s="5" t="s">
        <v>143</v>
      </c>
      <c r="C258" s="37">
        <v>46022.0</v>
      </c>
      <c r="D258" s="5" t="s">
        <v>108</v>
      </c>
      <c r="E258" s="5">
        <v>26.0</v>
      </c>
      <c r="F258" s="5">
        <v>9.0</v>
      </c>
      <c r="G258" s="5">
        <v>0.0</v>
      </c>
      <c r="H258" s="5">
        <v>0.0</v>
      </c>
    </row>
    <row r="259" ht="15.75" customHeight="1">
      <c r="A259" s="5" t="s">
        <v>153</v>
      </c>
      <c r="B259" s="5" t="s">
        <v>143</v>
      </c>
      <c r="C259" s="37">
        <v>46022.0</v>
      </c>
      <c r="D259" s="28" t="s">
        <v>51</v>
      </c>
      <c r="E259" s="5">
        <v>24.0</v>
      </c>
      <c r="F259" s="5">
        <v>19.0</v>
      </c>
      <c r="G259" s="5">
        <v>0.0</v>
      </c>
      <c r="H259" s="5">
        <v>2.0</v>
      </c>
    </row>
    <row r="260" ht="15.75" customHeight="1">
      <c r="A260" s="5" t="s">
        <v>153</v>
      </c>
      <c r="B260" s="5" t="s">
        <v>143</v>
      </c>
      <c r="C260" s="37">
        <v>46022.0</v>
      </c>
      <c r="D260" s="5" t="s">
        <v>93</v>
      </c>
      <c r="E260" s="5">
        <v>44.0</v>
      </c>
      <c r="F260" s="5">
        <v>13.0</v>
      </c>
      <c r="G260" s="5">
        <v>0.0</v>
      </c>
      <c r="H260" s="5">
        <v>0.0</v>
      </c>
    </row>
    <row r="261" ht="15.75" customHeight="1">
      <c r="A261" s="5" t="s">
        <v>153</v>
      </c>
      <c r="B261" s="5" t="s">
        <v>143</v>
      </c>
      <c r="C261" s="37">
        <v>46022.0</v>
      </c>
      <c r="D261" s="28" t="s">
        <v>58</v>
      </c>
      <c r="E261" s="5">
        <v>68.0</v>
      </c>
      <c r="F261" s="5">
        <v>47.0</v>
      </c>
      <c r="G261" s="5">
        <v>0.0</v>
      </c>
      <c r="H261" s="5">
        <v>1.0</v>
      </c>
    </row>
    <row r="262" ht="15.75" customHeight="1">
      <c r="A262" s="5" t="s">
        <v>153</v>
      </c>
      <c r="B262" s="5" t="s">
        <v>143</v>
      </c>
      <c r="C262" s="37">
        <v>46022.0</v>
      </c>
      <c r="D262" s="28" t="s">
        <v>64</v>
      </c>
      <c r="E262" s="5">
        <v>48.0</v>
      </c>
      <c r="F262" s="5">
        <v>29.0</v>
      </c>
      <c r="G262" s="5">
        <v>4.0</v>
      </c>
      <c r="H262" s="5">
        <v>3.0</v>
      </c>
    </row>
    <row r="263" ht="15.75" customHeight="1">
      <c r="A263" s="5" t="s">
        <v>153</v>
      </c>
      <c r="B263" s="5" t="s">
        <v>143</v>
      </c>
      <c r="C263" s="37">
        <v>46022.0</v>
      </c>
      <c r="D263" s="28" t="s">
        <v>65</v>
      </c>
      <c r="E263" s="5">
        <v>43.0</v>
      </c>
      <c r="F263" s="5">
        <v>31.0</v>
      </c>
      <c r="G263" s="5">
        <v>0.0</v>
      </c>
      <c r="H263" s="5">
        <v>0.0</v>
      </c>
    </row>
    <row r="264" ht="15.75" customHeight="1">
      <c r="A264" s="5" t="s">
        <v>153</v>
      </c>
      <c r="B264" s="5" t="s">
        <v>143</v>
      </c>
      <c r="C264" s="37">
        <v>46022.0</v>
      </c>
      <c r="D264" s="28" t="s">
        <v>66</v>
      </c>
      <c r="E264" s="5">
        <v>69.0</v>
      </c>
      <c r="F264" s="5">
        <v>64.0</v>
      </c>
      <c r="G264" s="5">
        <v>0.0</v>
      </c>
      <c r="H264" s="5">
        <v>3.0</v>
      </c>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5:$R$58"/>
  <mergeCells count="12">
    <mergeCell ref="O23:P23"/>
    <mergeCell ref="Q23:R23"/>
    <mergeCell ref="J44:N44"/>
    <mergeCell ref="O44:P44"/>
    <mergeCell ref="Q44:R44"/>
    <mergeCell ref="Z1:AA1"/>
    <mergeCell ref="J2:N2"/>
    <mergeCell ref="O2:P2"/>
    <mergeCell ref="Q2:R2"/>
    <mergeCell ref="S2:S3"/>
    <mergeCell ref="J22:R22"/>
    <mergeCell ref="K23:N23"/>
  </mergeCells>
  <conditionalFormatting sqref="M4:M16">
    <cfRule type="colorScale" priority="1">
      <colorScale>
        <cfvo type="min"/>
        <cfvo type="percentile" val="50"/>
        <cfvo type="max"/>
        <color rgb="FFEA9999"/>
        <color rgb="FFFFD666"/>
        <color rgb="FF6AA84F"/>
      </colorScale>
    </cfRule>
  </conditionalFormatting>
  <conditionalFormatting sqref="N4:N16">
    <cfRule type="colorScale" priority="2">
      <colorScale>
        <cfvo type="min"/>
        <cfvo type="percentile" val="50"/>
        <cfvo type="max"/>
        <color rgb="FFEA9999"/>
        <color rgb="FFFFD666"/>
        <color rgb="FF6AA84F"/>
      </colorScale>
    </cfRule>
  </conditionalFormatting>
  <conditionalFormatting sqref="O4:O16">
    <cfRule type="colorScale" priority="3">
      <colorScale>
        <cfvo type="min"/>
        <cfvo type="percentile" val="50"/>
        <cfvo type="max"/>
        <color rgb="FFEA9999"/>
        <color rgb="FFFFD666"/>
        <color rgb="FF6AA84F"/>
      </colorScale>
    </cfRule>
  </conditionalFormatting>
  <conditionalFormatting sqref="P4:P16">
    <cfRule type="colorScale" priority="4">
      <colorScale>
        <cfvo type="min"/>
        <cfvo type="percentile" val="50"/>
        <cfvo type="max"/>
        <color rgb="FFEA9999"/>
        <color rgb="FFFFD666"/>
        <color rgb="FF6AA84F"/>
      </colorScale>
    </cfRule>
  </conditionalFormatting>
  <conditionalFormatting sqref="Q4:Q16">
    <cfRule type="colorScale" priority="5">
      <colorScale>
        <cfvo type="min"/>
        <cfvo type="percentile" val="50"/>
        <cfvo type="max"/>
        <color rgb="FFEA9999"/>
        <color rgb="FFFFD666"/>
        <color rgb="FF6AA84F"/>
      </colorScale>
    </cfRule>
  </conditionalFormatting>
  <conditionalFormatting sqref="R4:R16">
    <cfRule type="colorScale" priority="6">
      <colorScale>
        <cfvo type="min"/>
        <cfvo type="percentile" val="50"/>
        <cfvo type="max"/>
        <color rgb="FFEA9999"/>
        <color rgb="FFFFD666"/>
        <color rgb="FF6AA84F"/>
      </colorScale>
    </cfRule>
  </conditionalFormatting>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C1" s="5" t="s">
        <v>138</v>
      </c>
      <c r="D1" s="6" t="s">
        <v>113</v>
      </c>
      <c r="J1" s="71">
        <v>45962.0</v>
      </c>
    </row>
    <row r="2" ht="15.75" customHeight="1">
      <c r="D2" s="6" t="s">
        <v>140</v>
      </c>
      <c r="J2" s="12" t="s">
        <v>141</v>
      </c>
      <c r="O2" s="13" t="s">
        <v>18</v>
      </c>
      <c r="Q2" s="13" t="s">
        <v>19</v>
      </c>
      <c r="S2" s="14" t="s">
        <v>20</v>
      </c>
      <c r="Z2" s="10" t="s">
        <v>9</v>
      </c>
    </row>
    <row r="3" ht="15.75" customHeight="1">
      <c r="A3" s="70" t="s">
        <v>21</v>
      </c>
      <c r="B3" s="70" t="s">
        <v>22</v>
      </c>
      <c r="C3" s="70" t="s">
        <v>139</v>
      </c>
      <c r="D3" s="70" t="s">
        <v>24</v>
      </c>
      <c r="E3" s="70" t="s">
        <v>25</v>
      </c>
      <c r="F3" s="70" t="s">
        <v>26</v>
      </c>
      <c r="G3" s="70" t="s">
        <v>30</v>
      </c>
      <c r="H3" s="70" t="s">
        <v>31</v>
      </c>
      <c r="J3" s="17" t="s">
        <v>29</v>
      </c>
      <c r="K3" s="17" t="s">
        <v>25</v>
      </c>
      <c r="L3" s="17" t="s">
        <v>26</v>
      </c>
      <c r="M3" s="17" t="s">
        <v>30</v>
      </c>
      <c r="N3" s="17" t="s">
        <v>31</v>
      </c>
      <c r="O3" s="18" t="s">
        <v>25</v>
      </c>
      <c r="P3" s="18" t="s">
        <v>26</v>
      </c>
      <c r="Q3" s="17" t="s">
        <v>25</v>
      </c>
      <c r="R3" s="17" t="s">
        <v>26</v>
      </c>
      <c r="T3" s="5" t="s">
        <v>32</v>
      </c>
      <c r="Z3" s="20" t="s">
        <v>25</v>
      </c>
      <c r="AA3" s="20" t="s">
        <v>37</v>
      </c>
    </row>
    <row r="4" ht="15.75" customHeight="1">
      <c r="A4" s="5" t="str">
        <f t="shared" ref="A4:A270" si="2">TEXT(C4,"dddd")</f>
        <v>sábado</v>
      </c>
      <c r="B4" s="5" t="s">
        <v>144</v>
      </c>
      <c r="C4" s="37">
        <v>45962.0</v>
      </c>
      <c r="D4" s="5" t="s">
        <v>116</v>
      </c>
      <c r="E4" s="5">
        <v>64.0</v>
      </c>
      <c r="F4" s="5">
        <v>45.0</v>
      </c>
      <c r="G4" s="5">
        <v>6.0</v>
      </c>
      <c r="H4" s="5">
        <v>6.0</v>
      </c>
      <c r="J4" s="28" t="s">
        <v>39</v>
      </c>
      <c r="K4" s="23">
        <f t="shared" ref="K4:K15" si="3">AVERAGEIF($D$4:$D$350,J4,$E$4:$E$350)</f>
        <v>58.1875</v>
      </c>
      <c r="L4" s="23">
        <f t="shared" ref="L4:L15" si="4">AVERAGEIF($D$4:$D$350,J4,$F$4:$F$350)</f>
        <v>42.75</v>
      </c>
      <c r="M4" s="23">
        <f t="shared" ref="M4:M15" si="5">AVERAGEIF($D$4:$D$350,J4,$G$4:$G$350)</f>
        <v>1.3125</v>
      </c>
      <c r="N4" s="23">
        <f t="shared" ref="N4:N15" si="6">AVERAGEIF($D$4:$D$350,J4,$H$4:$H$350)</f>
        <v>12.3125</v>
      </c>
      <c r="O4" s="23">
        <f t="shared" ref="O4:O15" si="7">K4/S4</f>
        <v>7.2734375</v>
      </c>
      <c r="P4" s="23">
        <f t="shared" ref="P4:P15" si="8">L4/S4</f>
        <v>5.34375</v>
      </c>
      <c r="Q4" s="23">
        <f t="shared" ref="Q4:Q15" si="9">K4*T4</f>
        <v>290.9375</v>
      </c>
      <c r="R4" s="23">
        <f t="shared" ref="R4:R15" si="10">L4*T4</f>
        <v>213.75</v>
      </c>
      <c r="S4" s="30">
        <v>8.0</v>
      </c>
      <c r="T4" s="30">
        <v>5.0</v>
      </c>
      <c r="Z4" s="23">
        <f t="shared" ref="Z4:AA4" si="1">V4/4</f>
        <v>0</v>
      </c>
      <c r="AA4" s="23">
        <f t="shared" si="1"/>
        <v>0</v>
      </c>
    </row>
    <row r="5" ht="15.75" customHeight="1">
      <c r="A5" s="5" t="str">
        <f t="shared" si="2"/>
        <v>sábado</v>
      </c>
      <c r="B5" s="5" t="s">
        <v>144</v>
      </c>
      <c r="C5" s="37">
        <v>45962.0</v>
      </c>
      <c r="D5" s="5" t="s">
        <v>145</v>
      </c>
      <c r="E5" s="5">
        <v>51.0</v>
      </c>
      <c r="F5" s="5">
        <v>53.0</v>
      </c>
      <c r="G5" s="5">
        <v>16.0</v>
      </c>
      <c r="H5" s="5">
        <v>9.0</v>
      </c>
      <c r="J5" s="28" t="s">
        <v>44</v>
      </c>
      <c r="K5" s="23">
        <f t="shared" si="3"/>
        <v>67</v>
      </c>
      <c r="L5" s="23">
        <f t="shared" si="4"/>
        <v>67.75</v>
      </c>
      <c r="M5" s="23">
        <f t="shared" si="5"/>
        <v>0</v>
      </c>
      <c r="N5" s="23">
        <f t="shared" si="6"/>
        <v>0</v>
      </c>
      <c r="O5" s="23">
        <f t="shared" si="7"/>
        <v>6.090909091</v>
      </c>
      <c r="P5" s="23">
        <f t="shared" si="8"/>
        <v>6.159090909</v>
      </c>
      <c r="Q5" s="23">
        <f t="shared" si="9"/>
        <v>268</v>
      </c>
      <c r="R5" s="23">
        <f t="shared" si="10"/>
        <v>271</v>
      </c>
      <c r="S5" s="30">
        <v>11.0</v>
      </c>
      <c r="T5" s="30">
        <v>4.0</v>
      </c>
      <c r="Z5" s="23">
        <f t="shared" ref="Z5:AA5" si="11">V5/4</f>
        <v>0</v>
      </c>
      <c r="AA5" s="23">
        <f t="shared" si="11"/>
        <v>0</v>
      </c>
    </row>
    <row r="6" ht="15.75" customHeight="1">
      <c r="A6" s="5" t="str">
        <f t="shared" si="2"/>
        <v>sábado</v>
      </c>
      <c r="B6" s="5" t="s">
        <v>144</v>
      </c>
      <c r="C6" s="37">
        <v>45962.0</v>
      </c>
      <c r="D6" s="28" t="s">
        <v>58</v>
      </c>
      <c r="E6" s="5">
        <v>65.0</v>
      </c>
      <c r="F6" s="5">
        <v>51.0</v>
      </c>
      <c r="G6" s="5">
        <v>6.0</v>
      </c>
      <c r="H6" s="5">
        <v>11.0</v>
      </c>
      <c r="J6" s="28" t="s">
        <v>59</v>
      </c>
      <c r="K6" s="23">
        <f t="shared" si="3"/>
        <v>104.2666667</v>
      </c>
      <c r="L6" s="23">
        <f t="shared" si="4"/>
        <v>88.93333333</v>
      </c>
      <c r="M6" s="23">
        <f t="shared" si="5"/>
        <v>0.3333333333</v>
      </c>
      <c r="N6" s="23">
        <f t="shared" si="6"/>
        <v>0.3333333333</v>
      </c>
      <c r="O6" s="23">
        <f t="shared" si="7"/>
        <v>9.478787879</v>
      </c>
      <c r="P6" s="23">
        <f t="shared" si="8"/>
        <v>8.084848485</v>
      </c>
      <c r="Q6" s="23">
        <f t="shared" si="9"/>
        <v>417.0666667</v>
      </c>
      <c r="R6" s="23">
        <f t="shared" si="10"/>
        <v>355.7333333</v>
      </c>
      <c r="S6" s="30">
        <v>11.0</v>
      </c>
      <c r="T6" s="30">
        <v>4.0</v>
      </c>
      <c r="Z6" s="23">
        <f t="shared" ref="Z6:AA6" si="12">V6/4</f>
        <v>0</v>
      </c>
      <c r="AA6" s="23">
        <f t="shared" si="12"/>
        <v>0</v>
      </c>
    </row>
    <row r="7" ht="15.75" customHeight="1">
      <c r="A7" s="5" t="str">
        <f t="shared" si="2"/>
        <v>sábado</v>
      </c>
      <c r="B7" s="5" t="s">
        <v>144</v>
      </c>
      <c r="C7" s="37">
        <v>45962.0</v>
      </c>
      <c r="D7" s="5" t="s">
        <v>146</v>
      </c>
      <c r="E7" s="5">
        <v>120.0</v>
      </c>
      <c r="F7" s="5">
        <v>78.0</v>
      </c>
      <c r="G7" s="5">
        <v>0.0</v>
      </c>
      <c r="H7" s="5">
        <v>5.0</v>
      </c>
      <c r="J7" s="28" t="s">
        <v>52</v>
      </c>
      <c r="K7" s="23">
        <f t="shared" si="3"/>
        <v>41.4</v>
      </c>
      <c r="L7" s="23">
        <f t="shared" si="4"/>
        <v>25.7</v>
      </c>
      <c r="M7" s="23">
        <f t="shared" si="5"/>
        <v>1.4</v>
      </c>
      <c r="N7" s="23">
        <f t="shared" si="6"/>
        <v>5.1</v>
      </c>
      <c r="O7" s="23">
        <f t="shared" si="7"/>
        <v>4.14</v>
      </c>
      <c r="P7" s="23">
        <f t="shared" si="8"/>
        <v>2.57</v>
      </c>
      <c r="Q7" s="23">
        <f t="shared" si="9"/>
        <v>165.6</v>
      </c>
      <c r="R7" s="23">
        <f t="shared" si="10"/>
        <v>102.8</v>
      </c>
      <c r="S7" s="30">
        <v>10.0</v>
      </c>
      <c r="T7" s="30">
        <v>4.0</v>
      </c>
      <c r="Z7" s="23">
        <f t="shared" ref="Z7:AA7" si="13">V7/4</f>
        <v>0</v>
      </c>
      <c r="AA7" s="23">
        <f t="shared" si="13"/>
        <v>0</v>
      </c>
    </row>
    <row r="8" ht="15.75" customHeight="1">
      <c r="A8" s="5" t="str">
        <f t="shared" si="2"/>
        <v>sábado</v>
      </c>
      <c r="B8" s="5" t="s">
        <v>144</v>
      </c>
      <c r="C8" s="37">
        <v>45962.0</v>
      </c>
      <c r="D8" s="28" t="s">
        <v>64</v>
      </c>
      <c r="E8" s="5">
        <v>104.0</v>
      </c>
      <c r="F8" s="5">
        <v>74.0</v>
      </c>
      <c r="G8" s="5">
        <v>2.0</v>
      </c>
      <c r="H8" s="5">
        <v>12.0</v>
      </c>
      <c r="J8" s="28" t="s">
        <v>41</v>
      </c>
      <c r="K8" s="23">
        <f t="shared" si="3"/>
        <v>77.73333333</v>
      </c>
      <c r="L8" s="23">
        <f t="shared" si="4"/>
        <v>53.8</v>
      </c>
      <c r="M8" s="23">
        <f t="shared" si="5"/>
        <v>1.933333333</v>
      </c>
      <c r="N8" s="23">
        <f t="shared" si="6"/>
        <v>2.466666667</v>
      </c>
      <c r="O8" s="23">
        <f t="shared" si="7"/>
        <v>7.066666667</v>
      </c>
      <c r="P8" s="23">
        <f t="shared" si="8"/>
        <v>4.890909091</v>
      </c>
      <c r="Q8" s="23">
        <f t="shared" si="9"/>
        <v>310.9333333</v>
      </c>
      <c r="R8" s="23">
        <f t="shared" si="10"/>
        <v>215.2</v>
      </c>
      <c r="S8" s="30">
        <v>11.0</v>
      </c>
      <c r="T8" s="30">
        <v>4.0</v>
      </c>
      <c r="Z8" s="23">
        <f t="shared" ref="Z8:AA8" si="14">V8/4</f>
        <v>0</v>
      </c>
      <c r="AA8" s="23">
        <f t="shared" si="14"/>
        <v>0</v>
      </c>
    </row>
    <row r="9" ht="15.75" customHeight="1">
      <c r="A9" s="5" t="str">
        <f t="shared" si="2"/>
        <v>sábado</v>
      </c>
      <c r="B9" s="5" t="s">
        <v>144</v>
      </c>
      <c r="C9" s="37">
        <v>45962.0</v>
      </c>
      <c r="D9" s="28" t="s">
        <v>65</v>
      </c>
      <c r="E9" s="5">
        <v>74.0</v>
      </c>
      <c r="F9" s="5">
        <v>59.0</v>
      </c>
      <c r="G9" s="5">
        <v>2.0</v>
      </c>
      <c r="H9" s="5">
        <v>4.0</v>
      </c>
      <c r="J9" s="28" t="s">
        <v>42</v>
      </c>
      <c r="K9" s="23">
        <f t="shared" si="3"/>
        <v>68.07142857</v>
      </c>
      <c r="L9" s="23">
        <f t="shared" si="4"/>
        <v>40.78571429</v>
      </c>
      <c r="M9" s="23">
        <f t="shared" si="5"/>
        <v>4.642857143</v>
      </c>
      <c r="N9" s="23">
        <f t="shared" si="6"/>
        <v>11.78571429</v>
      </c>
      <c r="O9" s="23">
        <f t="shared" si="7"/>
        <v>6.807142857</v>
      </c>
      <c r="P9" s="23">
        <f t="shared" si="8"/>
        <v>4.078571429</v>
      </c>
      <c r="Q9" s="23">
        <f t="shared" si="9"/>
        <v>272.2857143</v>
      </c>
      <c r="R9" s="23">
        <f t="shared" si="10"/>
        <v>163.1428571</v>
      </c>
      <c r="S9" s="30">
        <v>10.0</v>
      </c>
      <c r="T9" s="30">
        <v>4.0</v>
      </c>
      <c r="Z9" s="23">
        <f t="shared" ref="Z9:AA9" si="15">V9/4</f>
        <v>0</v>
      </c>
      <c r="AA9" s="23">
        <f t="shared" si="15"/>
        <v>0</v>
      </c>
    </row>
    <row r="10" ht="15.75" customHeight="1">
      <c r="A10" s="5" t="str">
        <f t="shared" si="2"/>
        <v>sábado</v>
      </c>
      <c r="B10" s="5" t="s">
        <v>144</v>
      </c>
      <c r="C10" s="37">
        <v>45962.0</v>
      </c>
      <c r="D10" s="28" t="s">
        <v>66</v>
      </c>
      <c r="E10" s="5">
        <v>130.0</v>
      </c>
      <c r="F10" s="5">
        <v>106.0</v>
      </c>
      <c r="G10" s="5">
        <v>0.0</v>
      </c>
      <c r="H10" s="5">
        <v>17.0</v>
      </c>
      <c r="J10" s="28" t="s">
        <v>67</v>
      </c>
      <c r="K10" s="23">
        <f t="shared" si="3"/>
        <v>69.30769231</v>
      </c>
      <c r="L10" s="23">
        <f t="shared" si="4"/>
        <v>57.84615385</v>
      </c>
      <c r="M10" s="23">
        <f t="shared" si="5"/>
        <v>1</v>
      </c>
      <c r="N10" s="23">
        <f t="shared" si="6"/>
        <v>1</v>
      </c>
      <c r="O10" s="23">
        <f t="shared" si="7"/>
        <v>6.930769231</v>
      </c>
      <c r="P10" s="23">
        <f t="shared" si="8"/>
        <v>5.784615385</v>
      </c>
      <c r="Q10" s="23">
        <f t="shared" si="9"/>
        <v>277.2307692</v>
      </c>
      <c r="R10" s="23">
        <f t="shared" si="10"/>
        <v>231.3846154</v>
      </c>
      <c r="S10" s="30">
        <v>10.0</v>
      </c>
      <c r="T10" s="30">
        <v>4.0</v>
      </c>
      <c r="Z10" s="23">
        <f t="shared" ref="Z10:AA10" si="16">V10/4</f>
        <v>0</v>
      </c>
      <c r="AA10" s="23">
        <f t="shared" si="16"/>
        <v>0</v>
      </c>
    </row>
    <row r="11" ht="15.75" customHeight="1">
      <c r="A11" s="5" t="str">
        <f t="shared" si="2"/>
        <v>domingo</v>
      </c>
      <c r="B11" s="5" t="s">
        <v>143</v>
      </c>
      <c r="C11" s="37">
        <v>45963.0</v>
      </c>
      <c r="D11" s="5" t="s">
        <v>116</v>
      </c>
      <c r="E11" s="5">
        <v>80.0</v>
      </c>
      <c r="F11" s="5">
        <v>58.0</v>
      </c>
      <c r="G11" s="5">
        <v>2.0</v>
      </c>
      <c r="H11" s="5">
        <v>8.0</v>
      </c>
      <c r="J11" s="28" t="s">
        <v>58</v>
      </c>
      <c r="K11" s="23">
        <f t="shared" si="3"/>
        <v>55.16666667</v>
      </c>
      <c r="L11" s="23">
        <f t="shared" si="4"/>
        <v>34.88888889</v>
      </c>
      <c r="M11" s="23">
        <f t="shared" si="5"/>
        <v>4.055555556</v>
      </c>
      <c r="N11" s="23">
        <f t="shared" si="6"/>
        <v>4.833333333</v>
      </c>
      <c r="O11" s="23">
        <f t="shared" si="7"/>
        <v>6.895833333</v>
      </c>
      <c r="P11" s="23">
        <f t="shared" si="8"/>
        <v>4.361111111</v>
      </c>
      <c r="Q11" s="23">
        <f t="shared" si="9"/>
        <v>275.8333333</v>
      </c>
      <c r="R11" s="23">
        <f t="shared" si="10"/>
        <v>174.4444444</v>
      </c>
      <c r="S11" s="30">
        <v>8.0</v>
      </c>
      <c r="T11" s="30">
        <v>5.0</v>
      </c>
      <c r="Z11" s="23">
        <f t="shared" ref="Z11:AA11" si="17">V11/4</f>
        <v>0</v>
      </c>
      <c r="AA11" s="23">
        <f t="shared" si="17"/>
        <v>0</v>
      </c>
    </row>
    <row r="12" ht="15.75" customHeight="1">
      <c r="A12" s="5" t="str">
        <f t="shared" si="2"/>
        <v>domingo</v>
      </c>
      <c r="B12" s="5" t="s">
        <v>143</v>
      </c>
      <c r="C12" s="37">
        <v>45963.0</v>
      </c>
      <c r="D12" s="28" t="s">
        <v>59</v>
      </c>
      <c r="E12" s="5">
        <v>200.0</v>
      </c>
      <c r="F12" s="5">
        <v>178.0</v>
      </c>
      <c r="G12" s="5">
        <v>1.0</v>
      </c>
      <c r="H12" s="5">
        <v>0.0</v>
      </c>
      <c r="J12" s="28" t="s">
        <v>64</v>
      </c>
      <c r="K12" s="23">
        <f t="shared" si="3"/>
        <v>116.8421053</v>
      </c>
      <c r="L12" s="23">
        <f t="shared" si="4"/>
        <v>78.47368421</v>
      </c>
      <c r="M12" s="23">
        <f t="shared" si="5"/>
        <v>4.105263158</v>
      </c>
      <c r="N12" s="23">
        <f t="shared" si="6"/>
        <v>13.63157895</v>
      </c>
      <c r="O12" s="23">
        <f t="shared" si="7"/>
        <v>14.60526316</v>
      </c>
      <c r="P12" s="23">
        <f t="shared" si="8"/>
        <v>9.809210526</v>
      </c>
      <c r="Q12" s="23">
        <f t="shared" si="9"/>
        <v>584.2105263</v>
      </c>
      <c r="R12" s="23">
        <f t="shared" si="10"/>
        <v>392.3684211</v>
      </c>
      <c r="S12" s="30">
        <v>8.0</v>
      </c>
      <c r="T12" s="30">
        <v>5.0</v>
      </c>
      <c r="Z12" s="23">
        <f t="shared" ref="Z12:AA12" si="18">V12/4</f>
        <v>0</v>
      </c>
      <c r="AA12" s="23">
        <f t="shared" si="18"/>
        <v>0</v>
      </c>
    </row>
    <row r="13" ht="15.75" customHeight="1">
      <c r="A13" s="5" t="str">
        <f t="shared" si="2"/>
        <v>domingo</v>
      </c>
      <c r="B13" s="5" t="s">
        <v>143</v>
      </c>
      <c r="C13" s="37">
        <v>45963.0</v>
      </c>
      <c r="D13" s="5" t="s">
        <v>145</v>
      </c>
      <c r="E13" s="5">
        <v>56.0</v>
      </c>
      <c r="F13" s="5">
        <v>41.0</v>
      </c>
      <c r="G13" s="5">
        <v>5.0</v>
      </c>
      <c r="H13" s="5">
        <v>4.0</v>
      </c>
      <c r="J13" s="28" t="s">
        <v>65</v>
      </c>
      <c r="K13" s="23">
        <f t="shared" si="3"/>
        <v>71.94736842</v>
      </c>
      <c r="L13" s="23">
        <f t="shared" si="4"/>
        <v>59</v>
      </c>
      <c r="M13" s="23">
        <f t="shared" si="5"/>
        <v>1.736842105</v>
      </c>
      <c r="N13" s="23">
        <f t="shared" si="6"/>
        <v>1.578947368</v>
      </c>
      <c r="O13" s="23">
        <f t="shared" si="7"/>
        <v>8.993421053</v>
      </c>
      <c r="P13" s="23">
        <f t="shared" si="8"/>
        <v>7.375</v>
      </c>
      <c r="Q13" s="23">
        <f t="shared" si="9"/>
        <v>359.7368421</v>
      </c>
      <c r="R13" s="23">
        <f t="shared" si="10"/>
        <v>295</v>
      </c>
      <c r="S13" s="30">
        <v>8.0</v>
      </c>
      <c r="T13" s="30">
        <v>5.0</v>
      </c>
      <c r="Z13" s="23">
        <f t="shared" ref="Z13:AA13" si="19">V13/4</f>
        <v>0</v>
      </c>
      <c r="AA13" s="23">
        <f t="shared" si="19"/>
        <v>0</v>
      </c>
    </row>
    <row r="14" ht="15.75" customHeight="1">
      <c r="A14" s="5" t="str">
        <f t="shared" si="2"/>
        <v>domingo</v>
      </c>
      <c r="B14" s="5" t="s">
        <v>143</v>
      </c>
      <c r="C14" s="37">
        <v>45963.0</v>
      </c>
      <c r="D14" s="28" t="s">
        <v>52</v>
      </c>
      <c r="E14" s="5">
        <v>54.0</v>
      </c>
      <c r="F14" s="5">
        <v>36.0</v>
      </c>
      <c r="G14" s="5">
        <v>1.0</v>
      </c>
      <c r="H14" s="5">
        <v>10.0</v>
      </c>
      <c r="J14" s="28" t="s">
        <v>51</v>
      </c>
      <c r="K14" s="23">
        <f t="shared" si="3"/>
        <v>57.23076923</v>
      </c>
      <c r="L14" s="23">
        <f t="shared" si="4"/>
        <v>42.92307692</v>
      </c>
      <c r="M14" s="23">
        <f t="shared" si="5"/>
        <v>1.461538462</v>
      </c>
      <c r="N14" s="23">
        <f t="shared" si="6"/>
        <v>10.38461538</v>
      </c>
      <c r="O14" s="23">
        <f t="shared" si="7"/>
        <v>5.202797203</v>
      </c>
      <c r="P14" s="23">
        <f t="shared" si="8"/>
        <v>3.902097902</v>
      </c>
      <c r="Q14" s="23">
        <f t="shared" si="9"/>
        <v>228.9230769</v>
      </c>
      <c r="R14" s="23">
        <f t="shared" si="10"/>
        <v>171.6923077</v>
      </c>
      <c r="S14" s="30">
        <v>11.0</v>
      </c>
      <c r="T14" s="30">
        <v>4.0</v>
      </c>
      <c r="Z14" s="23">
        <f t="shared" ref="Z14:AA14" si="20">V14/4</f>
        <v>0</v>
      </c>
      <c r="AA14" s="23">
        <f t="shared" si="20"/>
        <v>0</v>
      </c>
    </row>
    <row r="15" ht="15.75" customHeight="1">
      <c r="A15" s="5" t="str">
        <f t="shared" si="2"/>
        <v>domingo</v>
      </c>
      <c r="B15" s="5" t="s">
        <v>143</v>
      </c>
      <c r="C15" s="37">
        <v>45963.0</v>
      </c>
      <c r="D15" s="5" t="s">
        <v>146</v>
      </c>
      <c r="E15" s="5">
        <v>154.0</v>
      </c>
      <c r="F15" s="5">
        <v>87.0</v>
      </c>
      <c r="G15" s="5">
        <v>0.0</v>
      </c>
      <c r="H15" s="5">
        <v>2.0</v>
      </c>
      <c r="J15" s="28" t="s">
        <v>66</v>
      </c>
      <c r="K15" s="23">
        <f t="shared" si="3"/>
        <v>115.1578947</v>
      </c>
      <c r="L15" s="23">
        <f t="shared" si="4"/>
        <v>104.5263158</v>
      </c>
      <c r="M15" s="23">
        <f t="shared" si="5"/>
        <v>0.1052631579</v>
      </c>
      <c r="N15" s="23">
        <f t="shared" si="6"/>
        <v>2.842105263</v>
      </c>
      <c r="O15" s="23">
        <f t="shared" si="7"/>
        <v>14.39473684</v>
      </c>
      <c r="P15" s="23">
        <f t="shared" si="8"/>
        <v>13.06578947</v>
      </c>
      <c r="Q15" s="23">
        <f t="shared" si="9"/>
        <v>575.7894737</v>
      </c>
      <c r="R15" s="23">
        <f t="shared" si="10"/>
        <v>522.6315789</v>
      </c>
      <c r="S15" s="30">
        <v>8.0</v>
      </c>
      <c r="T15" s="30">
        <v>5.0</v>
      </c>
      <c r="Z15" s="23">
        <f t="shared" ref="Z15:AA15" si="21">V15/4</f>
        <v>0</v>
      </c>
      <c r="AA15" s="23">
        <f t="shared" si="21"/>
        <v>0</v>
      </c>
    </row>
    <row r="16" ht="15.75" customHeight="1">
      <c r="A16" s="5" t="str">
        <f t="shared" si="2"/>
        <v>lunes</v>
      </c>
      <c r="B16" s="5" t="s">
        <v>144</v>
      </c>
      <c r="C16" s="37">
        <v>45964.0</v>
      </c>
      <c r="D16" s="28" t="s">
        <v>64</v>
      </c>
      <c r="E16" s="5">
        <v>98.0</v>
      </c>
      <c r="F16" s="5">
        <v>72.0</v>
      </c>
      <c r="G16" s="5">
        <v>5.0</v>
      </c>
      <c r="H16" s="5">
        <v>19.0</v>
      </c>
    </row>
    <row r="17" ht="15.75" customHeight="1">
      <c r="A17" s="5" t="str">
        <f t="shared" si="2"/>
        <v>lunes</v>
      </c>
      <c r="B17" s="5" t="s">
        <v>144</v>
      </c>
      <c r="C17" s="37">
        <v>45964.0</v>
      </c>
      <c r="D17" s="28" t="s">
        <v>42</v>
      </c>
      <c r="E17" s="5">
        <v>72.0</v>
      </c>
      <c r="F17" s="5">
        <v>32.0</v>
      </c>
      <c r="G17" s="5">
        <v>5.0</v>
      </c>
      <c r="H17" s="5">
        <v>13.0</v>
      </c>
    </row>
    <row r="18" ht="15.75" customHeight="1">
      <c r="A18" s="5" t="str">
        <f t="shared" si="2"/>
        <v>lunes</v>
      </c>
      <c r="B18" s="5" t="s">
        <v>144</v>
      </c>
      <c r="C18" s="37">
        <v>45964.0</v>
      </c>
      <c r="D18" s="28" t="s">
        <v>41</v>
      </c>
      <c r="E18" s="5">
        <v>70.0</v>
      </c>
      <c r="F18" s="5">
        <v>39.0</v>
      </c>
      <c r="G18" s="5">
        <v>2.0</v>
      </c>
      <c r="H18" s="5">
        <v>0.0</v>
      </c>
    </row>
    <row r="19" ht="15.75" customHeight="1">
      <c r="A19" s="5" t="str">
        <f t="shared" si="2"/>
        <v>lunes</v>
      </c>
      <c r="B19" s="5" t="s">
        <v>144</v>
      </c>
      <c r="C19" s="37">
        <v>45964.0</v>
      </c>
      <c r="D19" s="28" t="s">
        <v>39</v>
      </c>
      <c r="E19" s="5">
        <v>56.0</v>
      </c>
      <c r="F19" s="5">
        <v>32.0</v>
      </c>
      <c r="G19" s="5">
        <v>1.0</v>
      </c>
      <c r="H19" s="5">
        <v>5.0</v>
      </c>
    </row>
    <row r="20" ht="15.75" customHeight="1">
      <c r="A20" s="5" t="str">
        <f t="shared" si="2"/>
        <v>lunes</v>
      </c>
      <c r="B20" s="5" t="s">
        <v>144</v>
      </c>
      <c r="C20" s="37">
        <v>45964.0</v>
      </c>
      <c r="D20" s="28" t="s">
        <v>66</v>
      </c>
      <c r="E20" s="5">
        <v>76.0</v>
      </c>
      <c r="F20" s="5">
        <v>58.0</v>
      </c>
      <c r="G20" s="5">
        <v>0.0</v>
      </c>
      <c r="H20" s="5">
        <v>0.0</v>
      </c>
      <c r="J20" s="39" t="s">
        <v>69</v>
      </c>
      <c r="K20" s="40">
        <f t="shared" ref="K20:R20" si="22">AVERAGE(K4:K15)</f>
        <v>75.19261877</v>
      </c>
      <c r="L20" s="40">
        <f t="shared" si="22"/>
        <v>58.11476394</v>
      </c>
      <c r="M20" s="40">
        <f t="shared" si="22"/>
        <v>1.840540521</v>
      </c>
      <c r="N20" s="40">
        <f t="shared" si="22"/>
        <v>5.522399549</v>
      </c>
      <c r="O20" s="39">
        <f t="shared" si="22"/>
        <v>8.156647068</v>
      </c>
      <c r="P20" s="39">
        <f t="shared" si="22"/>
        <v>6.285416193</v>
      </c>
      <c r="Q20" s="39">
        <f t="shared" si="22"/>
        <v>335.545603</v>
      </c>
      <c r="R20" s="39">
        <f t="shared" si="22"/>
        <v>259.0956298</v>
      </c>
    </row>
    <row r="21" ht="15.75" customHeight="1">
      <c r="A21" s="5" t="str">
        <f t="shared" si="2"/>
        <v>lunes</v>
      </c>
      <c r="B21" s="5" t="s">
        <v>144</v>
      </c>
      <c r="C21" s="37">
        <v>45964.0</v>
      </c>
      <c r="D21" s="28" t="s">
        <v>44</v>
      </c>
      <c r="E21" s="5">
        <v>59.0</v>
      </c>
      <c r="F21" s="5">
        <v>54.0</v>
      </c>
      <c r="G21" s="5">
        <v>0.0</v>
      </c>
      <c r="H21" s="5">
        <v>0.0</v>
      </c>
      <c r="J21" s="5" t="s">
        <v>151</v>
      </c>
    </row>
    <row r="22" ht="15.75" customHeight="1">
      <c r="A22" s="5" t="str">
        <f t="shared" si="2"/>
        <v>lunes</v>
      </c>
      <c r="B22" s="5" t="s">
        <v>144</v>
      </c>
      <c r="C22" s="37">
        <v>45964.0</v>
      </c>
      <c r="D22" s="28" t="s">
        <v>67</v>
      </c>
      <c r="E22" s="5">
        <v>71.0</v>
      </c>
      <c r="F22" s="5">
        <v>53.0</v>
      </c>
      <c r="G22" s="5">
        <v>0.0</v>
      </c>
      <c r="H22" s="5">
        <v>0.0</v>
      </c>
      <c r="J22" s="42" t="s">
        <v>73</v>
      </c>
    </row>
    <row r="23" ht="15.75" customHeight="1">
      <c r="A23" s="5" t="str">
        <f t="shared" si="2"/>
        <v>lunes</v>
      </c>
      <c r="B23" s="5" t="s">
        <v>144</v>
      </c>
      <c r="C23" s="37">
        <v>45964.0</v>
      </c>
      <c r="D23" s="28" t="s">
        <v>65</v>
      </c>
      <c r="E23" s="5">
        <v>47.0</v>
      </c>
      <c r="F23" s="5">
        <v>31.0</v>
      </c>
      <c r="G23" s="5">
        <v>3.0</v>
      </c>
      <c r="H23" s="5">
        <v>0.0</v>
      </c>
      <c r="K23" s="44" t="s">
        <v>74</v>
      </c>
      <c r="O23" s="45" t="s">
        <v>75</v>
      </c>
      <c r="Q23" s="45" t="s">
        <v>76</v>
      </c>
    </row>
    <row r="24" ht="15.75" customHeight="1">
      <c r="A24" s="5" t="str">
        <f t="shared" si="2"/>
        <v>lunes</v>
      </c>
      <c r="B24" s="5" t="s">
        <v>144</v>
      </c>
      <c r="C24" s="37">
        <v>45964.0</v>
      </c>
      <c r="D24" s="28" t="s">
        <v>59</v>
      </c>
      <c r="E24" s="5">
        <v>41.0</v>
      </c>
      <c r="F24" s="5">
        <v>19.0</v>
      </c>
      <c r="G24" s="5">
        <v>0.0</v>
      </c>
      <c r="H24" s="5">
        <v>0.0</v>
      </c>
      <c r="K24" s="47" t="s">
        <v>25</v>
      </c>
      <c r="L24" s="47" t="s">
        <v>26</v>
      </c>
      <c r="M24" s="48" t="s">
        <v>79</v>
      </c>
      <c r="N24" s="47" t="s">
        <v>31</v>
      </c>
      <c r="O24" s="47" t="s">
        <v>25</v>
      </c>
      <c r="P24" s="47" t="s">
        <v>26</v>
      </c>
      <c r="Q24" s="47" t="s">
        <v>25</v>
      </c>
      <c r="R24" s="47" t="s">
        <v>26</v>
      </c>
    </row>
    <row r="25" ht="15.75" customHeight="1">
      <c r="A25" s="5" t="str">
        <f t="shared" si="2"/>
        <v>lunes</v>
      </c>
      <c r="B25" s="5" t="s">
        <v>144</v>
      </c>
      <c r="C25" s="37">
        <v>45964.0</v>
      </c>
      <c r="D25" s="5" t="s">
        <v>90</v>
      </c>
      <c r="E25" s="5">
        <v>136.0</v>
      </c>
      <c r="F25" s="5">
        <v>55.0</v>
      </c>
      <c r="G25" s="5">
        <v>0.0</v>
      </c>
      <c r="H25" s="5">
        <v>0.0</v>
      </c>
      <c r="J25" s="16"/>
      <c r="K25" s="49" t="s">
        <v>64</v>
      </c>
      <c r="L25" s="49" t="s">
        <v>66</v>
      </c>
      <c r="M25" s="49" t="s">
        <v>42</v>
      </c>
      <c r="N25" s="49" t="s">
        <v>64</v>
      </c>
      <c r="O25" s="49" t="s">
        <v>64</v>
      </c>
      <c r="P25" s="49" t="s">
        <v>66</v>
      </c>
      <c r="Q25" s="49" t="s">
        <v>64</v>
      </c>
      <c r="R25" s="50" t="s">
        <v>66</v>
      </c>
    </row>
    <row r="26" ht="15.75" customHeight="1">
      <c r="A26" s="5" t="str">
        <f t="shared" si="2"/>
        <v>lunes</v>
      </c>
      <c r="B26" s="5" t="s">
        <v>144</v>
      </c>
      <c r="C26" s="37">
        <v>45964.0</v>
      </c>
      <c r="D26" s="5" t="s">
        <v>93</v>
      </c>
      <c r="E26" s="5">
        <v>89.0</v>
      </c>
      <c r="F26" s="5">
        <v>61.0</v>
      </c>
      <c r="G26" s="5">
        <v>0.0</v>
      </c>
      <c r="H26" s="5">
        <v>0.0</v>
      </c>
      <c r="J26" s="16"/>
      <c r="K26" s="49" t="s">
        <v>66</v>
      </c>
      <c r="L26" s="49" t="s">
        <v>59</v>
      </c>
      <c r="M26" s="49" t="s">
        <v>64</v>
      </c>
      <c r="N26" s="49" t="s">
        <v>39</v>
      </c>
      <c r="O26" s="49" t="s">
        <v>66</v>
      </c>
      <c r="P26" s="49" t="s">
        <v>64</v>
      </c>
      <c r="Q26" s="49" t="s">
        <v>66</v>
      </c>
      <c r="R26" s="50" t="s">
        <v>64</v>
      </c>
    </row>
    <row r="27" ht="15.75" customHeight="1">
      <c r="A27" s="5" t="str">
        <f t="shared" si="2"/>
        <v>lunes</v>
      </c>
      <c r="B27" s="5" t="s">
        <v>144</v>
      </c>
      <c r="C27" s="37">
        <v>45964.0</v>
      </c>
      <c r="D27" s="5" t="s">
        <v>89</v>
      </c>
      <c r="E27" s="5">
        <v>125.0</v>
      </c>
      <c r="F27" s="5">
        <v>74.0</v>
      </c>
      <c r="G27" s="5">
        <v>1.0</v>
      </c>
      <c r="H27" s="5">
        <v>11.0</v>
      </c>
      <c r="J27" s="16"/>
      <c r="K27" s="49" t="s">
        <v>59</v>
      </c>
      <c r="L27" s="49" t="s">
        <v>64</v>
      </c>
      <c r="M27" s="49" t="s">
        <v>58</v>
      </c>
      <c r="N27" s="49" t="s">
        <v>42</v>
      </c>
      <c r="O27" s="49" t="s">
        <v>59</v>
      </c>
      <c r="P27" s="49" t="s">
        <v>59</v>
      </c>
      <c r="Q27" s="49" t="s">
        <v>59</v>
      </c>
      <c r="R27" s="50" t="s">
        <v>59</v>
      </c>
    </row>
    <row r="28" ht="15.75" customHeight="1">
      <c r="A28" s="5" t="str">
        <f t="shared" si="2"/>
        <v>martes</v>
      </c>
      <c r="B28" s="5" t="s">
        <v>144</v>
      </c>
      <c r="C28" s="37">
        <v>45965.0</v>
      </c>
      <c r="D28" s="28" t="s">
        <v>64</v>
      </c>
      <c r="E28" s="5">
        <v>114.0</v>
      </c>
      <c r="F28" s="5">
        <v>82.0</v>
      </c>
      <c r="G28" s="5">
        <v>5.0</v>
      </c>
      <c r="H28" s="5">
        <v>4.0</v>
      </c>
      <c r="J28" s="53"/>
      <c r="K28" s="49" t="s">
        <v>41</v>
      </c>
      <c r="L28" s="49" t="s">
        <v>44</v>
      </c>
      <c r="M28" s="49" t="s">
        <v>41</v>
      </c>
      <c r="N28" s="49" t="s">
        <v>51</v>
      </c>
      <c r="O28" s="49" t="s">
        <v>65</v>
      </c>
      <c r="P28" s="49" t="s">
        <v>65</v>
      </c>
      <c r="Q28" s="49" t="s">
        <v>65</v>
      </c>
      <c r="R28" s="50" t="s">
        <v>65</v>
      </c>
    </row>
    <row r="29" ht="15.75" customHeight="1">
      <c r="A29" s="5" t="str">
        <f t="shared" si="2"/>
        <v>martes</v>
      </c>
      <c r="B29" s="5" t="s">
        <v>144</v>
      </c>
      <c r="C29" s="37">
        <v>45965.0</v>
      </c>
      <c r="D29" s="28" t="s">
        <v>58</v>
      </c>
      <c r="E29" s="5">
        <v>54.0</v>
      </c>
      <c r="F29" s="5">
        <v>37.0</v>
      </c>
      <c r="G29" s="5">
        <v>3.0</v>
      </c>
      <c r="H29" s="5">
        <v>3.0</v>
      </c>
      <c r="J29" s="53"/>
      <c r="K29" s="49" t="s">
        <v>65</v>
      </c>
      <c r="L29" s="49" t="s">
        <v>65</v>
      </c>
      <c r="M29" s="49" t="s">
        <v>65</v>
      </c>
      <c r="N29" s="49" t="s">
        <v>52</v>
      </c>
      <c r="O29" s="49" t="s">
        <v>39</v>
      </c>
      <c r="P29" s="49" t="s">
        <v>44</v>
      </c>
      <c r="Q29" s="49" t="s">
        <v>41</v>
      </c>
      <c r="R29" s="50" t="s">
        <v>44</v>
      </c>
    </row>
    <row r="30" ht="15.75" customHeight="1">
      <c r="A30" s="5" t="str">
        <f t="shared" si="2"/>
        <v>martes</v>
      </c>
      <c r="B30" s="5" t="s">
        <v>144</v>
      </c>
      <c r="C30" s="37">
        <v>45965.0</v>
      </c>
      <c r="D30" s="28" t="s">
        <v>39</v>
      </c>
      <c r="E30" s="5">
        <v>54.0</v>
      </c>
      <c r="F30" s="5">
        <v>30.0</v>
      </c>
      <c r="G30" s="5">
        <v>2.0</v>
      </c>
      <c r="H30" s="5">
        <v>7.0</v>
      </c>
      <c r="J30" s="53"/>
      <c r="K30" s="52" t="s">
        <v>67</v>
      </c>
      <c r="L30" s="52" t="s">
        <v>67</v>
      </c>
      <c r="M30" s="52" t="s">
        <v>51</v>
      </c>
      <c r="N30" s="52" t="s">
        <v>58</v>
      </c>
      <c r="O30" s="52" t="s">
        <v>41</v>
      </c>
      <c r="P30" s="52" t="s">
        <v>67</v>
      </c>
      <c r="Q30" s="52" t="s">
        <v>39</v>
      </c>
      <c r="R30" s="52" t="s">
        <v>67</v>
      </c>
    </row>
    <row r="31" ht="15.75" customHeight="1">
      <c r="A31" s="5" t="str">
        <f t="shared" si="2"/>
        <v>martes</v>
      </c>
      <c r="B31" s="5" t="s">
        <v>144</v>
      </c>
      <c r="C31" s="37">
        <v>45965.0</v>
      </c>
      <c r="D31" s="28" t="s">
        <v>42</v>
      </c>
      <c r="E31" s="5">
        <v>68.0</v>
      </c>
      <c r="F31" s="5">
        <v>43.0</v>
      </c>
      <c r="G31" s="5">
        <v>5.0</v>
      </c>
      <c r="H31" s="5">
        <v>11.0</v>
      </c>
      <c r="J31" s="53"/>
      <c r="K31" s="52" t="s">
        <v>42</v>
      </c>
      <c r="L31" s="52" t="s">
        <v>41</v>
      </c>
      <c r="M31" s="52" t="s">
        <v>52</v>
      </c>
      <c r="N31" s="52" t="s">
        <v>66</v>
      </c>
      <c r="O31" s="52" t="s">
        <v>67</v>
      </c>
      <c r="P31" s="52" t="s">
        <v>39</v>
      </c>
      <c r="Q31" s="52" t="s">
        <v>67</v>
      </c>
      <c r="R31" s="52" t="s">
        <v>41</v>
      </c>
    </row>
    <row r="32" ht="15.75" customHeight="1">
      <c r="A32" s="5" t="str">
        <f t="shared" si="2"/>
        <v>martes</v>
      </c>
      <c r="B32" s="5" t="s">
        <v>144</v>
      </c>
      <c r="C32" s="37">
        <v>45965.0</v>
      </c>
      <c r="D32" s="28" t="s">
        <v>41</v>
      </c>
      <c r="E32" s="5">
        <v>74.0</v>
      </c>
      <c r="F32" s="5">
        <v>30.0</v>
      </c>
      <c r="G32" s="5">
        <v>1.0</v>
      </c>
      <c r="H32" s="5">
        <v>0.0</v>
      </c>
      <c r="J32" s="53"/>
      <c r="K32" s="52" t="s">
        <v>44</v>
      </c>
      <c r="L32" s="52" t="s">
        <v>51</v>
      </c>
      <c r="M32" s="52" t="s">
        <v>39</v>
      </c>
      <c r="N32" s="52" t="s">
        <v>41</v>
      </c>
      <c r="O32" s="52" t="s">
        <v>58</v>
      </c>
      <c r="P32" s="52" t="s">
        <v>41</v>
      </c>
      <c r="Q32" s="52" t="s">
        <v>58</v>
      </c>
      <c r="R32" s="52" t="s">
        <v>39</v>
      </c>
    </row>
    <row r="33" ht="15.75" customHeight="1">
      <c r="A33" s="5" t="str">
        <f t="shared" si="2"/>
        <v>martes</v>
      </c>
      <c r="B33" s="5" t="s">
        <v>144</v>
      </c>
      <c r="C33" s="37">
        <v>45965.0</v>
      </c>
      <c r="D33" s="28" t="s">
        <v>65</v>
      </c>
      <c r="E33" s="5">
        <v>83.0</v>
      </c>
      <c r="F33" s="5">
        <v>68.0</v>
      </c>
      <c r="G33" s="5">
        <v>2.0</v>
      </c>
      <c r="H33" s="5">
        <v>1.0</v>
      </c>
      <c r="J33" s="53"/>
      <c r="K33" s="52" t="s">
        <v>39</v>
      </c>
      <c r="L33" s="52" t="s">
        <v>39</v>
      </c>
      <c r="M33" s="52" t="s">
        <v>67</v>
      </c>
      <c r="N33" s="52" t="s">
        <v>65</v>
      </c>
      <c r="O33" s="52" t="s">
        <v>42</v>
      </c>
      <c r="P33" s="52" t="s">
        <v>58</v>
      </c>
      <c r="Q33" s="52" t="s">
        <v>42</v>
      </c>
      <c r="R33" s="52" t="s">
        <v>58</v>
      </c>
    </row>
    <row r="34" ht="15.75" customHeight="1">
      <c r="A34" s="5" t="str">
        <f t="shared" si="2"/>
        <v>martes</v>
      </c>
      <c r="B34" s="5" t="s">
        <v>144</v>
      </c>
      <c r="C34" s="37">
        <v>45965.0</v>
      </c>
      <c r="D34" s="28" t="s">
        <v>66</v>
      </c>
      <c r="E34" s="5">
        <v>86.0</v>
      </c>
      <c r="F34" s="5">
        <v>81.0</v>
      </c>
      <c r="G34" s="5">
        <v>0.0</v>
      </c>
      <c r="H34" s="5">
        <v>2.0</v>
      </c>
      <c r="K34" s="52" t="s">
        <v>51</v>
      </c>
      <c r="L34" s="52" t="s">
        <v>42</v>
      </c>
      <c r="M34" s="52" t="s">
        <v>59</v>
      </c>
      <c r="N34" s="52" t="s">
        <v>67</v>
      </c>
      <c r="O34" s="52" t="s">
        <v>44</v>
      </c>
      <c r="P34" s="52" t="s">
        <v>42</v>
      </c>
      <c r="Q34" s="52" t="s">
        <v>44</v>
      </c>
      <c r="R34" s="52" t="s">
        <v>51</v>
      </c>
    </row>
    <row r="35" ht="15.75" customHeight="1">
      <c r="A35" s="5" t="str">
        <f t="shared" si="2"/>
        <v>martes</v>
      </c>
      <c r="B35" s="5" t="s">
        <v>144</v>
      </c>
      <c r="C35" s="37">
        <v>45965.0</v>
      </c>
      <c r="D35" s="28" t="s">
        <v>67</v>
      </c>
      <c r="E35" s="5">
        <v>64.0</v>
      </c>
      <c r="F35" s="5">
        <v>55.0</v>
      </c>
      <c r="G35" s="5">
        <v>1.0</v>
      </c>
      <c r="H35" s="5">
        <v>2.0</v>
      </c>
      <c r="K35" s="54" t="s">
        <v>58</v>
      </c>
      <c r="L35" s="54" t="s">
        <v>58</v>
      </c>
      <c r="M35" s="54" t="s">
        <v>66</v>
      </c>
      <c r="N35" s="54" t="s">
        <v>59</v>
      </c>
      <c r="O35" s="54" t="s">
        <v>51</v>
      </c>
      <c r="P35" s="54" t="s">
        <v>51</v>
      </c>
      <c r="Q35" s="54" t="s">
        <v>51</v>
      </c>
      <c r="R35" s="54" t="s">
        <v>42</v>
      </c>
    </row>
    <row r="36" ht="15.75" customHeight="1">
      <c r="A36" s="5" t="str">
        <f t="shared" si="2"/>
        <v>martes</v>
      </c>
      <c r="B36" s="5" t="s">
        <v>144</v>
      </c>
      <c r="C36" s="37">
        <v>45965.0</v>
      </c>
      <c r="D36" s="28" t="s">
        <v>59</v>
      </c>
      <c r="E36" s="5">
        <v>66.0</v>
      </c>
      <c r="F36" s="5">
        <v>33.0</v>
      </c>
      <c r="G36" s="5">
        <v>0.0</v>
      </c>
      <c r="H36" s="5">
        <v>0.0</v>
      </c>
      <c r="K36" s="54" t="s">
        <v>52</v>
      </c>
      <c r="L36" s="54" t="s">
        <v>52</v>
      </c>
      <c r="M36" s="54" t="s">
        <v>44</v>
      </c>
      <c r="N36" s="54" t="s">
        <v>44</v>
      </c>
      <c r="O36" s="54" t="s">
        <v>52</v>
      </c>
      <c r="P36" s="54" t="s">
        <v>52</v>
      </c>
      <c r="Q36" s="54" t="s">
        <v>52</v>
      </c>
      <c r="R36" s="54" t="s">
        <v>52</v>
      </c>
    </row>
    <row r="37" ht="15.75" customHeight="1">
      <c r="A37" s="5" t="str">
        <f t="shared" si="2"/>
        <v>martes</v>
      </c>
      <c r="B37" s="5" t="s">
        <v>144</v>
      </c>
      <c r="C37" s="37">
        <v>45965.0</v>
      </c>
      <c r="D37" s="5" t="s">
        <v>89</v>
      </c>
      <c r="E37" s="5">
        <v>130.0</v>
      </c>
      <c r="F37" s="5">
        <v>77.0</v>
      </c>
      <c r="G37" s="5">
        <v>0.0</v>
      </c>
      <c r="H37" s="5">
        <v>7.0</v>
      </c>
      <c r="K37" s="55"/>
      <c r="L37" s="55"/>
      <c r="M37" s="55"/>
      <c r="N37" s="55"/>
      <c r="O37" s="55"/>
      <c r="P37" s="55"/>
      <c r="Q37" s="55"/>
      <c r="R37" s="55"/>
    </row>
    <row r="38" ht="15.75" customHeight="1">
      <c r="A38" s="5" t="str">
        <f t="shared" si="2"/>
        <v>martes</v>
      </c>
      <c r="B38" s="5" t="s">
        <v>144</v>
      </c>
      <c r="C38" s="37">
        <v>45965.0</v>
      </c>
      <c r="D38" s="5" t="s">
        <v>90</v>
      </c>
      <c r="E38" s="5">
        <v>130.0</v>
      </c>
      <c r="F38" s="5">
        <v>49.0</v>
      </c>
      <c r="G38" s="5">
        <v>0.0</v>
      </c>
      <c r="H38" s="5">
        <v>0.0</v>
      </c>
    </row>
    <row r="39" ht="15.75" customHeight="1">
      <c r="A39" s="5" t="str">
        <f t="shared" si="2"/>
        <v>martes</v>
      </c>
      <c r="B39" s="5" t="s">
        <v>144</v>
      </c>
      <c r="C39" s="37">
        <v>45965.0</v>
      </c>
      <c r="D39" s="5" t="s">
        <v>93</v>
      </c>
      <c r="E39" s="5">
        <v>120.0</v>
      </c>
      <c r="F39" s="5">
        <v>76.0</v>
      </c>
      <c r="G39" s="5">
        <v>0.0</v>
      </c>
      <c r="H39" s="5">
        <v>0.0</v>
      </c>
    </row>
    <row r="40" ht="15.75" customHeight="1">
      <c r="A40" s="5" t="str">
        <f t="shared" si="2"/>
        <v>miércoles</v>
      </c>
      <c r="B40" s="5" t="s">
        <v>144</v>
      </c>
      <c r="C40" s="37">
        <v>45966.0</v>
      </c>
      <c r="D40" s="28" t="s">
        <v>64</v>
      </c>
      <c r="E40" s="5">
        <v>129.0</v>
      </c>
      <c r="F40" s="5">
        <v>87.0</v>
      </c>
      <c r="G40" s="5">
        <v>1.0</v>
      </c>
      <c r="H40" s="5">
        <v>1.0</v>
      </c>
      <c r="J40" s="40" t="s">
        <v>69</v>
      </c>
      <c r="K40" s="40">
        <f t="shared" ref="K40:R40" si="23">AVERAGE(K4:K15)</f>
        <v>75.19261877</v>
      </c>
      <c r="L40" s="40">
        <f t="shared" si="23"/>
        <v>58.11476394</v>
      </c>
      <c r="M40" s="40">
        <f t="shared" si="23"/>
        <v>1.840540521</v>
      </c>
      <c r="N40" s="40">
        <f t="shared" si="23"/>
        <v>5.522399549</v>
      </c>
      <c r="O40" s="40">
        <f t="shared" si="23"/>
        <v>8.156647068</v>
      </c>
      <c r="P40" s="40">
        <f t="shared" si="23"/>
        <v>6.285416193</v>
      </c>
      <c r="Q40" s="40">
        <f t="shared" si="23"/>
        <v>335.545603</v>
      </c>
      <c r="R40" s="40">
        <f t="shared" si="23"/>
        <v>259.0956298</v>
      </c>
    </row>
    <row r="41" ht="15.75" customHeight="1">
      <c r="A41" s="5" t="str">
        <f t="shared" si="2"/>
        <v>miércoles</v>
      </c>
      <c r="B41" s="5" t="s">
        <v>144</v>
      </c>
      <c r="C41" s="37">
        <v>45966.0</v>
      </c>
      <c r="D41" s="28" t="s">
        <v>58</v>
      </c>
      <c r="E41" s="5">
        <v>48.0</v>
      </c>
      <c r="F41" s="5">
        <v>28.0</v>
      </c>
      <c r="G41" s="5">
        <v>3.0</v>
      </c>
      <c r="H41" s="5">
        <v>4.0</v>
      </c>
    </row>
    <row r="42" ht="15.75" customHeight="1">
      <c r="A42" s="5" t="str">
        <f t="shared" si="2"/>
        <v>miércoles</v>
      </c>
      <c r="B42" s="5" t="s">
        <v>144</v>
      </c>
      <c r="C42" s="37">
        <v>45966.0</v>
      </c>
      <c r="D42" s="28" t="s">
        <v>42</v>
      </c>
      <c r="E42" s="5">
        <v>82.0</v>
      </c>
      <c r="F42" s="5">
        <v>54.0</v>
      </c>
      <c r="G42" s="5">
        <v>2.0</v>
      </c>
      <c r="H42" s="5">
        <v>6.0</v>
      </c>
    </row>
    <row r="43" ht="15.75" customHeight="1">
      <c r="A43" s="5" t="str">
        <f t="shared" si="2"/>
        <v>miércoles</v>
      </c>
      <c r="B43" s="5" t="s">
        <v>144</v>
      </c>
      <c r="C43" s="37">
        <v>45966.0</v>
      </c>
      <c r="D43" s="28" t="s">
        <v>41</v>
      </c>
      <c r="E43" s="5">
        <v>80.0</v>
      </c>
      <c r="F43" s="5">
        <v>69.0</v>
      </c>
      <c r="G43" s="5">
        <v>2.0</v>
      </c>
      <c r="H43" s="5">
        <v>0.0</v>
      </c>
    </row>
    <row r="44" ht="15.75" customHeight="1">
      <c r="A44" s="5" t="str">
        <f t="shared" si="2"/>
        <v>miércoles</v>
      </c>
      <c r="B44" s="5" t="s">
        <v>144</v>
      </c>
      <c r="C44" s="37">
        <v>45966.0</v>
      </c>
      <c r="D44" s="28" t="s">
        <v>51</v>
      </c>
      <c r="E44" s="5">
        <v>62.0</v>
      </c>
      <c r="F44" s="5">
        <v>44.0</v>
      </c>
      <c r="G44" s="5">
        <v>1.0</v>
      </c>
      <c r="H44" s="5">
        <v>12.0</v>
      </c>
      <c r="J44" s="12" t="s">
        <v>154</v>
      </c>
      <c r="O44" s="13" t="s">
        <v>18</v>
      </c>
      <c r="Q44" s="13" t="s">
        <v>19</v>
      </c>
    </row>
    <row r="45" ht="15.75" customHeight="1">
      <c r="A45" s="5" t="str">
        <f t="shared" si="2"/>
        <v>miércoles</v>
      </c>
      <c r="B45" s="5" t="s">
        <v>144</v>
      </c>
      <c r="C45" s="37">
        <v>45966.0</v>
      </c>
      <c r="D45" s="28" t="s">
        <v>39</v>
      </c>
      <c r="E45" s="5">
        <v>59.0</v>
      </c>
      <c r="F45" s="5">
        <v>45.0</v>
      </c>
      <c r="G45" s="5">
        <v>1.0</v>
      </c>
      <c r="H45" s="5">
        <v>14.0</v>
      </c>
      <c r="J45" s="17" t="s">
        <v>29</v>
      </c>
      <c r="K45" s="17" t="s">
        <v>25</v>
      </c>
      <c r="L45" s="17" t="s">
        <v>26</v>
      </c>
      <c r="M45" s="17" t="s">
        <v>30</v>
      </c>
      <c r="N45" s="17" t="s">
        <v>31</v>
      </c>
      <c r="O45" s="18" t="s">
        <v>25</v>
      </c>
      <c r="P45" s="18" t="s">
        <v>26</v>
      </c>
      <c r="Q45" s="17" t="s">
        <v>25</v>
      </c>
      <c r="R45" s="17" t="s">
        <v>26</v>
      </c>
    </row>
    <row r="46" ht="15.75" customHeight="1">
      <c r="A46" s="5" t="str">
        <f t="shared" si="2"/>
        <v>miércoles</v>
      </c>
      <c r="B46" s="5" t="s">
        <v>144</v>
      </c>
      <c r="C46" s="37">
        <v>45966.0</v>
      </c>
      <c r="D46" s="28" t="s">
        <v>65</v>
      </c>
      <c r="E46" s="5">
        <v>88.0</v>
      </c>
      <c r="F46" s="5">
        <v>69.0</v>
      </c>
      <c r="G46" s="5">
        <v>2.0</v>
      </c>
      <c r="H46" s="5">
        <v>0.0</v>
      </c>
      <c r="J46" s="28" t="s">
        <v>39</v>
      </c>
      <c r="K46" s="23">
        <v>58.1875</v>
      </c>
      <c r="L46" s="23">
        <v>42.75</v>
      </c>
      <c r="M46" s="23">
        <v>1.3125</v>
      </c>
      <c r="N46" s="23">
        <v>12.3125</v>
      </c>
      <c r="O46" s="23">
        <v>7.2734375</v>
      </c>
      <c r="P46" s="23">
        <v>5.34375</v>
      </c>
      <c r="Q46" s="23">
        <v>290.9375</v>
      </c>
      <c r="R46" s="23">
        <v>213.75</v>
      </c>
    </row>
    <row r="47" ht="15.75" customHeight="1">
      <c r="A47" s="5" t="str">
        <f t="shared" si="2"/>
        <v>miércoles</v>
      </c>
      <c r="B47" s="5" t="s">
        <v>144</v>
      </c>
      <c r="C47" s="37">
        <v>45966.0</v>
      </c>
      <c r="D47" s="28" t="s">
        <v>66</v>
      </c>
      <c r="E47" s="5">
        <v>118.0</v>
      </c>
      <c r="F47" s="5">
        <v>105.0</v>
      </c>
      <c r="G47" s="5">
        <v>0.0</v>
      </c>
      <c r="H47" s="5">
        <v>5.0</v>
      </c>
      <c r="J47" s="28" t="s">
        <v>44</v>
      </c>
      <c r="K47" s="23">
        <v>67.0</v>
      </c>
      <c r="L47" s="23">
        <v>67.75</v>
      </c>
      <c r="M47" s="23">
        <v>0.0</v>
      </c>
      <c r="N47" s="23">
        <v>0.0</v>
      </c>
      <c r="O47" s="23">
        <v>6.090909090909091</v>
      </c>
      <c r="P47" s="23">
        <v>6.159090909090909</v>
      </c>
      <c r="Q47" s="23">
        <v>268.0</v>
      </c>
      <c r="R47" s="23">
        <v>271.0</v>
      </c>
    </row>
    <row r="48" ht="15.75" customHeight="1">
      <c r="A48" s="5" t="str">
        <f t="shared" si="2"/>
        <v>miércoles</v>
      </c>
      <c r="B48" s="5" t="s">
        <v>144</v>
      </c>
      <c r="C48" s="37">
        <v>45966.0</v>
      </c>
      <c r="D48" s="28" t="s">
        <v>67</v>
      </c>
      <c r="E48" s="5">
        <v>69.0</v>
      </c>
      <c r="F48" s="5">
        <v>55.0</v>
      </c>
      <c r="G48" s="5">
        <v>1.0</v>
      </c>
      <c r="H48" s="5">
        <v>5.0</v>
      </c>
      <c r="J48" s="28" t="s">
        <v>59</v>
      </c>
      <c r="K48" s="23">
        <v>104.26666666666667</v>
      </c>
      <c r="L48" s="23">
        <v>88.93333333333334</v>
      </c>
      <c r="M48" s="23">
        <v>0.3333333333333333</v>
      </c>
      <c r="N48" s="23">
        <v>0.3333333333333333</v>
      </c>
      <c r="O48" s="23">
        <v>9.478787878787879</v>
      </c>
      <c r="P48" s="23">
        <v>8.084848484848486</v>
      </c>
      <c r="Q48" s="23">
        <v>417.06666666666666</v>
      </c>
      <c r="R48" s="23">
        <v>355.73333333333335</v>
      </c>
    </row>
    <row r="49" ht="15.75" customHeight="1">
      <c r="A49" s="5" t="str">
        <f t="shared" si="2"/>
        <v>miércoles</v>
      </c>
      <c r="B49" s="5" t="s">
        <v>144</v>
      </c>
      <c r="C49" s="37">
        <v>45966.0</v>
      </c>
      <c r="D49" s="5" t="s">
        <v>93</v>
      </c>
      <c r="E49" s="5">
        <v>82.0</v>
      </c>
      <c r="F49" s="5">
        <v>49.0</v>
      </c>
      <c r="G49" s="5">
        <v>0.0</v>
      </c>
      <c r="H49" s="5">
        <v>0.0</v>
      </c>
      <c r="J49" s="28" t="s">
        <v>52</v>
      </c>
      <c r="K49" s="23">
        <v>41.4</v>
      </c>
      <c r="L49" s="23">
        <v>25.7</v>
      </c>
      <c r="M49" s="23">
        <v>1.4</v>
      </c>
      <c r="N49" s="23">
        <v>5.1</v>
      </c>
      <c r="O49" s="23">
        <v>4.14</v>
      </c>
      <c r="P49" s="23">
        <v>2.57</v>
      </c>
      <c r="Q49" s="23">
        <v>165.6</v>
      </c>
      <c r="R49" s="23">
        <v>102.8</v>
      </c>
    </row>
    <row r="50" ht="15.75" customHeight="1">
      <c r="A50" s="5" t="str">
        <f t="shared" si="2"/>
        <v>miércoles</v>
      </c>
      <c r="B50" s="5" t="s">
        <v>144</v>
      </c>
      <c r="C50" s="37">
        <v>45966.0</v>
      </c>
      <c r="D50" s="5" t="s">
        <v>127</v>
      </c>
      <c r="E50" s="5">
        <v>2.0</v>
      </c>
      <c r="F50" s="5">
        <v>13.0</v>
      </c>
      <c r="G50" s="5">
        <v>0.0</v>
      </c>
      <c r="H50" s="5">
        <v>1.0</v>
      </c>
      <c r="J50" s="28" t="s">
        <v>41</v>
      </c>
      <c r="K50" s="23">
        <v>77.73333333333333</v>
      </c>
      <c r="L50" s="23">
        <v>53.8</v>
      </c>
      <c r="M50" s="23">
        <v>1.9333333333333333</v>
      </c>
      <c r="N50" s="23">
        <v>2.466666666666667</v>
      </c>
      <c r="O50" s="23">
        <v>7.066666666666666</v>
      </c>
      <c r="P50" s="23">
        <v>4.890909090909091</v>
      </c>
      <c r="Q50" s="23">
        <v>310.93333333333334</v>
      </c>
      <c r="R50" s="23">
        <v>215.2</v>
      </c>
    </row>
    <row r="51" ht="15.75" customHeight="1">
      <c r="A51" s="5" t="str">
        <f t="shared" si="2"/>
        <v>miércoles</v>
      </c>
      <c r="B51" s="5" t="s">
        <v>144</v>
      </c>
      <c r="C51" s="37">
        <v>45966.0</v>
      </c>
      <c r="D51" s="5" t="s">
        <v>89</v>
      </c>
      <c r="E51" s="5">
        <v>118.0</v>
      </c>
      <c r="F51" s="5">
        <v>75.0</v>
      </c>
      <c r="G51" s="5">
        <v>0.0</v>
      </c>
      <c r="H51" s="5">
        <v>2.0</v>
      </c>
      <c r="J51" s="28" t="s">
        <v>42</v>
      </c>
      <c r="K51" s="23">
        <v>68.07142857142857</v>
      </c>
      <c r="L51" s="23">
        <v>40.785714285714285</v>
      </c>
      <c r="M51" s="23">
        <v>4.642857142857143</v>
      </c>
      <c r="N51" s="23">
        <v>11.785714285714286</v>
      </c>
      <c r="O51" s="23">
        <v>6.807142857142857</v>
      </c>
      <c r="P51" s="23">
        <v>4.078571428571428</v>
      </c>
      <c r="Q51" s="23">
        <v>272.2857142857143</v>
      </c>
      <c r="R51" s="23">
        <v>163.14285714285714</v>
      </c>
    </row>
    <row r="52" ht="15.75" customHeight="1">
      <c r="A52" s="5" t="str">
        <f t="shared" si="2"/>
        <v>jueves</v>
      </c>
      <c r="B52" s="5" t="s">
        <v>144</v>
      </c>
      <c r="C52" s="37">
        <v>45967.0</v>
      </c>
      <c r="D52" s="28" t="s">
        <v>64</v>
      </c>
      <c r="E52" s="5">
        <v>151.0</v>
      </c>
      <c r="F52" s="5">
        <v>97.0</v>
      </c>
      <c r="G52" s="5">
        <v>2.0</v>
      </c>
      <c r="H52" s="5">
        <v>23.0</v>
      </c>
      <c r="J52" s="28" t="s">
        <v>67</v>
      </c>
      <c r="K52" s="23">
        <v>69.3076923076923</v>
      </c>
      <c r="L52" s="23">
        <v>57.84615384615385</v>
      </c>
      <c r="M52" s="23">
        <v>1.0</v>
      </c>
      <c r="N52" s="23">
        <v>1.0</v>
      </c>
      <c r="O52" s="23">
        <v>6.930769230769231</v>
      </c>
      <c r="P52" s="23">
        <v>5.7846153846153845</v>
      </c>
      <c r="Q52" s="23">
        <v>277.2307692307692</v>
      </c>
      <c r="R52" s="23">
        <v>231.3846153846154</v>
      </c>
    </row>
    <row r="53" ht="15.75" customHeight="1">
      <c r="A53" s="5" t="str">
        <f t="shared" si="2"/>
        <v>jueves</v>
      </c>
      <c r="B53" s="5" t="s">
        <v>144</v>
      </c>
      <c r="C53" s="37">
        <v>45967.0</v>
      </c>
      <c r="D53" s="28" t="s">
        <v>58</v>
      </c>
      <c r="E53" s="5">
        <v>36.0</v>
      </c>
      <c r="F53" s="5">
        <v>18.0</v>
      </c>
      <c r="G53" s="5">
        <v>2.0</v>
      </c>
      <c r="H53" s="5">
        <v>7.0</v>
      </c>
      <c r="J53" s="28" t="s">
        <v>58</v>
      </c>
      <c r="K53" s="23">
        <v>55.166666666666664</v>
      </c>
      <c r="L53" s="23">
        <v>34.888888888888886</v>
      </c>
      <c r="M53" s="23">
        <v>4.055555555555555</v>
      </c>
      <c r="N53" s="23">
        <v>4.833333333333333</v>
      </c>
      <c r="O53" s="23">
        <v>6.895833333333333</v>
      </c>
      <c r="P53" s="23">
        <v>4.361111111111111</v>
      </c>
      <c r="Q53" s="23">
        <v>275.8333333333333</v>
      </c>
      <c r="R53" s="23">
        <v>174.44444444444443</v>
      </c>
    </row>
    <row r="54" ht="15.75" customHeight="1">
      <c r="A54" s="5" t="str">
        <f t="shared" si="2"/>
        <v>jueves</v>
      </c>
      <c r="B54" s="5" t="s">
        <v>144</v>
      </c>
      <c r="C54" s="37">
        <v>45967.0</v>
      </c>
      <c r="D54" s="28" t="s">
        <v>42</v>
      </c>
      <c r="E54" s="5">
        <v>41.0</v>
      </c>
      <c r="F54" s="5">
        <v>23.0</v>
      </c>
      <c r="G54" s="5">
        <v>5.0</v>
      </c>
      <c r="H54" s="5">
        <v>7.0</v>
      </c>
      <c r="J54" s="28" t="s">
        <v>64</v>
      </c>
      <c r="K54" s="23">
        <v>116.84210526315789</v>
      </c>
      <c r="L54" s="23">
        <v>78.47368421052632</v>
      </c>
      <c r="M54" s="23">
        <v>4.105263157894737</v>
      </c>
      <c r="N54" s="23">
        <v>13.631578947368421</v>
      </c>
      <c r="O54" s="23">
        <v>14.605263157894736</v>
      </c>
      <c r="P54" s="23">
        <v>9.80921052631579</v>
      </c>
      <c r="Q54" s="23">
        <v>584.2105263157895</v>
      </c>
      <c r="R54" s="23">
        <v>392.36842105263156</v>
      </c>
    </row>
    <row r="55" ht="15.75" customHeight="1">
      <c r="A55" s="5" t="str">
        <f t="shared" si="2"/>
        <v>jueves</v>
      </c>
      <c r="B55" s="5" t="s">
        <v>144</v>
      </c>
      <c r="C55" s="37">
        <v>45967.0</v>
      </c>
      <c r="D55" s="28" t="s">
        <v>41</v>
      </c>
      <c r="E55" s="5">
        <v>85.0</v>
      </c>
      <c r="F55" s="5">
        <v>66.0</v>
      </c>
      <c r="G55" s="5">
        <v>2.0</v>
      </c>
      <c r="H55" s="5">
        <v>5.0</v>
      </c>
      <c r="J55" s="28" t="s">
        <v>65</v>
      </c>
      <c r="K55" s="23">
        <v>71.94736842105263</v>
      </c>
      <c r="L55" s="23">
        <v>59.0</v>
      </c>
      <c r="M55" s="23">
        <v>1.736842105263158</v>
      </c>
      <c r="N55" s="23">
        <v>1.5789473684210527</v>
      </c>
      <c r="O55" s="23">
        <v>8.993421052631579</v>
      </c>
      <c r="P55" s="23">
        <v>7.375</v>
      </c>
      <c r="Q55" s="23">
        <v>359.7368421052631</v>
      </c>
      <c r="R55" s="23">
        <v>295.0</v>
      </c>
    </row>
    <row r="56" ht="15.75" customHeight="1">
      <c r="A56" s="5" t="str">
        <f t="shared" si="2"/>
        <v>jueves</v>
      </c>
      <c r="B56" s="5" t="s">
        <v>144</v>
      </c>
      <c r="C56" s="37">
        <v>45967.0</v>
      </c>
      <c r="D56" s="28" t="s">
        <v>51</v>
      </c>
      <c r="E56" s="5">
        <v>42.0</v>
      </c>
      <c r="F56" s="5">
        <v>29.0</v>
      </c>
      <c r="G56" s="5">
        <v>0.0</v>
      </c>
      <c r="H56" s="5">
        <v>5.0</v>
      </c>
      <c r="J56" s="28" t="s">
        <v>51</v>
      </c>
      <c r="K56" s="23">
        <v>57.23076923076923</v>
      </c>
      <c r="L56" s="23">
        <v>42.92307692307692</v>
      </c>
      <c r="M56" s="23">
        <v>1.4615384615384615</v>
      </c>
      <c r="N56" s="23">
        <v>10.384615384615385</v>
      </c>
      <c r="O56" s="23">
        <v>5.202797202797203</v>
      </c>
      <c r="P56" s="23">
        <v>3.9020979020979016</v>
      </c>
      <c r="Q56" s="23">
        <v>228.92307692307693</v>
      </c>
      <c r="R56" s="23">
        <v>171.69230769230768</v>
      </c>
    </row>
    <row r="57" ht="15.75" customHeight="1">
      <c r="A57" s="5" t="str">
        <f t="shared" si="2"/>
        <v>jueves</v>
      </c>
      <c r="B57" s="5" t="s">
        <v>144</v>
      </c>
      <c r="C57" s="37">
        <v>45967.0</v>
      </c>
      <c r="D57" s="28" t="s">
        <v>52</v>
      </c>
      <c r="E57" s="5">
        <v>45.0</v>
      </c>
      <c r="F57" s="5">
        <v>36.0</v>
      </c>
      <c r="G57" s="5">
        <v>1.0</v>
      </c>
      <c r="H57" s="5">
        <v>0.0</v>
      </c>
      <c r="J57" s="28" t="s">
        <v>66</v>
      </c>
      <c r="K57" s="23">
        <v>115.15789473684211</v>
      </c>
      <c r="L57" s="23">
        <v>104.52631578947368</v>
      </c>
      <c r="M57" s="23">
        <v>0.10526315789473684</v>
      </c>
      <c r="N57" s="23">
        <v>2.8421052631578947</v>
      </c>
      <c r="O57" s="23">
        <v>14.394736842105264</v>
      </c>
      <c r="P57" s="23">
        <v>13.06578947368421</v>
      </c>
      <c r="Q57" s="23">
        <v>575.7894736842105</v>
      </c>
      <c r="R57" s="23">
        <v>522.6315789473684</v>
      </c>
    </row>
    <row r="58" ht="15.75" customHeight="1">
      <c r="A58" s="5" t="str">
        <f t="shared" si="2"/>
        <v>jueves</v>
      </c>
      <c r="B58" s="5" t="s">
        <v>144</v>
      </c>
      <c r="C58" s="37">
        <v>45967.0</v>
      </c>
      <c r="D58" s="5" t="s">
        <v>145</v>
      </c>
      <c r="E58" s="5">
        <v>19.0</v>
      </c>
      <c r="F58" s="5">
        <v>15.0</v>
      </c>
      <c r="G58" s="5">
        <v>3.0</v>
      </c>
      <c r="H58" s="5">
        <v>0.0</v>
      </c>
      <c r="K58" s="23"/>
      <c r="L58" s="23"/>
      <c r="M58" s="23"/>
      <c r="N58" s="23"/>
      <c r="O58" s="23"/>
      <c r="P58" s="23"/>
      <c r="Q58" s="23"/>
      <c r="R58" s="23"/>
    </row>
    <row r="59" ht="15.75" customHeight="1">
      <c r="A59" s="5" t="str">
        <f t="shared" si="2"/>
        <v>jueves</v>
      </c>
      <c r="B59" s="5" t="s">
        <v>144</v>
      </c>
      <c r="C59" s="37">
        <v>45967.0</v>
      </c>
      <c r="D59" s="28" t="s">
        <v>65</v>
      </c>
      <c r="E59" s="5">
        <v>70.0</v>
      </c>
      <c r="F59" s="5">
        <v>68.0</v>
      </c>
      <c r="G59" s="5">
        <v>2.0</v>
      </c>
      <c r="H59" s="5">
        <v>0.0</v>
      </c>
      <c r="K59" s="23"/>
      <c r="L59" s="23"/>
      <c r="M59" s="23"/>
      <c r="N59" s="23"/>
      <c r="O59" s="23"/>
      <c r="P59" s="23"/>
      <c r="Q59" s="23"/>
      <c r="R59" s="23"/>
    </row>
    <row r="60" ht="15.75" customHeight="1">
      <c r="A60" s="5" t="str">
        <f t="shared" si="2"/>
        <v>jueves</v>
      </c>
      <c r="B60" s="5" t="s">
        <v>144</v>
      </c>
      <c r="C60" s="37">
        <v>45967.0</v>
      </c>
      <c r="D60" s="28" t="s">
        <v>66</v>
      </c>
      <c r="E60" s="5">
        <v>139.0</v>
      </c>
      <c r="F60" s="5">
        <v>129.0</v>
      </c>
      <c r="G60" s="5">
        <v>0.0</v>
      </c>
      <c r="H60" s="5">
        <v>2.0</v>
      </c>
      <c r="K60" s="23"/>
      <c r="L60" s="23"/>
      <c r="M60" s="23"/>
      <c r="N60" s="23"/>
      <c r="O60" s="23"/>
      <c r="P60" s="23"/>
      <c r="Q60" s="23"/>
      <c r="R60" s="23"/>
    </row>
    <row r="61" ht="15.75" customHeight="1">
      <c r="A61" s="5" t="str">
        <f t="shared" si="2"/>
        <v>jueves</v>
      </c>
      <c r="B61" s="5" t="s">
        <v>144</v>
      </c>
      <c r="C61" s="37">
        <v>45967.0</v>
      </c>
      <c r="D61" s="28" t="s">
        <v>67</v>
      </c>
      <c r="E61" s="5">
        <v>64.0</v>
      </c>
      <c r="F61" s="5">
        <v>49.0</v>
      </c>
      <c r="G61" s="5">
        <v>0.0</v>
      </c>
      <c r="H61" s="5">
        <v>2.0</v>
      </c>
    </row>
    <row r="62" ht="15.75" customHeight="1">
      <c r="A62" s="5" t="str">
        <f t="shared" si="2"/>
        <v>jueves</v>
      </c>
      <c r="B62" s="5" t="s">
        <v>144</v>
      </c>
      <c r="C62" s="37">
        <v>45967.0</v>
      </c>
      <c r="D62" s="5" t="s">
        <v>89</v>
      </c>
      <c r="E62" s="5">
        <v>59.0</v>
      </c>
      <c r="F62" s="5">
        <v>27.0</v>
      </c>
      <c r="G62" s="5">
        <v>0.0</v>
      </c>
      <c r="H62" s="5">
        <v>2.0</v>
      </c>
      <c r="J62" s="5" t="s">
        <v>159</v>
      </c>
    </row>
    <row r="63" ht="15.75" customHeight="1">
      <c r="A63" s="5" t="str">
        <f t="shared" si="2"/>
        <v>jueves</v>
      </c>
      <c r="B63" s="5" t="s">
        <v>144</v>
      </c>
      <c r="C63" s="37">
        <v>45967.0</v>
      </c>
      <c r="D63" s="5" t="s">
        <v>157</v>
      </c>
      <c r="E63" s="5">
        <v>25.0</v>
      </c>
      <c r="F63" s="5">
        <v>16.0</v>
      </c>
      <c r="G63" s="5">
        <v>0.0</v>
      </c>
      <c r="H63" s="5">
        <v>0.0</v>
      </c>
    </row>
    <row r="64" ht="15.75" customHeight="1">
      <c r="A64" s="5" t="str">
        <f t="shared" si="2"/>
        <v>jueves</v>
      </c>
      <c r="B64" s="5" t="s">
        <v>144</v>
      </c>
      <c r="C64" s="37">
        <v>45967.0</v>
      </c>
      <c r="D64" s="5" t="s">
        <v>117</v>
      </c>
      <c r="E64" s="5">
        <v>132.0</v>
      </c>
      <c r="F64" s="5">
        <v>38.0</v>
      </c>
      <c r="G64" s="5">
        <v>0.0</v>
      </c>
      <c r="H64" s="5">
        <v>0.0</v>
      </c>
    </row>
    <row r="65" ht="15.75" customHeight="1">
      <c r="A65" s="5" t="str">
        <f t="shared" si="2"/>
        <v>jueves</v>
      </c>
      <c r="B65" s="5" t="s">
        <v>144</v>
      </c>
      <c r="C65" s="37">
        <v>45967.0</v>
      </c>
      <c r="D65" s="5" t="s">
        <v>107</v>
      </c>
      <c r="E65" s="5">
        <v>121.0</v>
      </c>
      <c r="F65" s="5">
        <v>35.0</v>
      </c>
      <c r="G65" s="5">
        <v>0.0</v>
      </c>
      <c r="H65" s="5">
        <v>0.0</v>
      </c>
    </row>
    <row r="66" ht="15.75" customHeight="1">
      <c r="A66" s="5" t="str">
        <f t="shared" si="2"/>
        <v>viernes</v>
      </c>
      <c r="B66" s="5" t="s">
        <v>144</v>
      </c>
      <c r="C66" s="37">
        <v>45968.0</v>
      </c>
      <c r="D66" s="28" t="s">
        <v>39</v>
      </c>
      <c r="E66" s="5">
        <v>46.0</v>
      </c>
      <c r="F66" s="5">
        <v>25.0</v>
      </c>
      <c r="G66" s="5">
        <v>1.0</v>
      </c>
      <c r="H66" s="5">
        <v>16.0</v>
      </c>
    </row>
    <row r="67" ht="15.75" customHeight="1">
      <c r="A67" s="5" t="str">
        <f t="shared" si="2"/>
        <v>viernes</v>
      </c>
      <c r="B67" s="5" t="s">
        <v>144</v>
      </c>
      <c r="C67" s="37">
        <v>45968.0</v>
      </c>
      <c r="D67" s="28" t="s">
        <v>51</v>
      </c>
      <c r="E67" s="5">
        <v>48.0</v>
      </c>
      <c r="F67" s="5">
        <v>35.0</v>
      </c>
      <c r="G67" s="5">
        <v>1.0</v>
      </c>
      <c r="H67" s="5">
        <v>9.0</v>
      </c>
    </row>
    <row r="68" ht="15.75" customHeight="1">
      <c r="A68" s="5" t="str">
        <f t="shared" si="2"/>
        <v>viernes</v>
      </c>
      <c r="B68" s="5" t="s">
        <v>144</v>
      </c>
      <c r="C68" s="37">
        <v>45968.0</v>
      </c>
      <c r="D68" s="5" t="s">
        <v>145</v>
      </c>
      <c r="E68" s="5">
        <v>43.0</v>
      </c>
      <c r="F68" s="5">
        <v>30.0</v>
      </c>
      <c r="G68" s="5">
        <v>10.0</v>
      </c>
      <c r="H68" s="5">
        <v>6.0</v>
      </c>
    </row>
    <row r="69" ht="15.75" customHeight="1">
      <c r="A69" s="5" t="str">
        <f t="shared" si="2"/>
        <v>viernes</v>
      </c>
      <c r="B69" s="5" t="s">
        <v>144</v>
      </c>
      <c r="C69" s="37">
        <v>45968.0</v>
      </c>
      <c r="D69" s="28" t="s">
        <v>58</v>
      </c>
      <c r="E69" s="5">
        <v>37.0</v>
      </c>
      <c r="F69" s="5">
        <v>23.0</v>
      </c>
      <c r="G69" s="5">
        <v>3.0</v>
      </c>
      <c r="H69" s="5">
        <v>2.0</v>
      </c>
    </row>
    <row r="70" ht="15.75" customHeight="1">
      <c r="A70" s="5" t="str">
        <f t="shared" si="2"/>
        <v>viernes</v>
      </c>
      <c r="B70" s="5" t="s">
        <v>144</v>
      </c>
      <c r="C70" s="37">
        <v>45968.0</v>
      </c>
      <c r="D70" s="28" t="s">
        <v>52</v>
      </c>
      <c r="E70" s="5">
        <v>35.0</v>
      </c>
      <c r="F70" s="5">
        <v>21.0</v>
      </c>
      <c r="G70" s="5">
        <v>0.0</v>
      </c>
      <c r="H70" s="5">
        <v>3.0</v>
      </c>
    </row>
    <row r="71" ht="15.75" customHeight="1">
      <c r="A71" s="5" t="str">
        <f t="shared" si="2"/>
        <v>viernes</v>
      </c>
      <c r="B71" s="5" t="s">
        <v>144</v>
      </c>
      <c r="C71" s="37">
        <v>45968.0</v>
      </c>
      <c r="D71" s="5" t="s">
        <v>146</v>
      </c>
      <c r="E71" s="5">
        <v>66.0</v>
      </c>
      <c r="F71" s="5">
        <v>43.0</v>
      </c>
      <c r="G71" s="5">
        <v>0.0</v>
      </c>
      <c r="H71" s="5">
        <v>2.0</v>
      </c>
    </row>
    <row r="72" ht="15.75" customHeight="1">
      <c r="A72" s="5" t="str">
        <f t="shared" si="2"/>
        <v>viernes</v>
      </c>
      <c r="B72" s="5" t="s">
        <v>144</v>
      </c>
      <c r="C72" s="37">
        <v>45968.0</v>
      </c>
      <c r="D72" s="28" t="s">
        <v>64</v>
      </c>
      <c r="E72" s="5">
        <v>104.0</v>
      </c>
      <c r="F72" s="5">
        <v>68.0</v>
      </c>
      <c r="G72" s="5">
        <v>1.0</v>
      </c>
      <c r="H72" s="5">
        <v>9.0</v>
      </c>
    </row>
    <row r="73" ht="15.75" customHeight="1">
      <c r="A73" s="5" t="str">
        <f t="shared" si="2"/>
        <v>viernes</v>
      </c>
      <c r="B73" s="5" t="s">
        <v>144</v>
      </c>
      <c r="C73" s="37">
        <v>45968.0</v>
      </c>
      <c r="D73" s="28" t="s">
        <v>65</v>
      </c>
      <c r="E73" s="5">
        <v>59.0</v>
      </c>
      <c r="F73" s="5">
        <v>49.0</v>
      </c>
      <c r="G73" s="5">
        <v>2.0</v>
      </c>
      <c r="H73" s="5">
        <v>0.0</v>
      </c>
    </row>
    <row r="74" ht="15.75" customHeight="1">
      <c r="A74" s="5" t="str">
        <f t="shared" si="2"/>
        <v>viernes</v>
      </c>
      <c r="B74" s="5" t="s">
        <v>144</v>
      </c>
      <c r="C74" s="37">
        <v>45968.0</v>
      </c>
      <c r="D74" s="28" t="s">
        <v>66</v>
      </c>
      <c r="E74" s="5">
        <v>108.0</v>
      </c>
      <c r="F74" s="5">
        <v>90.0</v>
      </c>
      <c r="G74" s="5">
        <v>0.0</v>
      </c>
      <c r="H74" s="5">
        <v>6.0</v>
      </c>
    </row>
    <row r="75" ht="15.75" customHeight="1">
      <c r="A75" s="5" t="str">
        <f t="shared" si="2"/>
        <v>sábado</v>
      </c>
      <c r="B75" s="5" t="s">
        <v>143</v>
      </c>
      <c r="C75" s="37">
        <v>45969.0</v>
      </c>
      <c r="D75" s="5" t="s">
        <v>43</v>
      </c>
      <c r="E75" s="5">
        <v>61.0</v>
      </c>
      <c r="F75" s="5">
        <v>34.0</v>
      </c>
      <c r="G75" s="5">
        <v>2.0</v>
      </c>
      <c r="H75" s="5">
        <v>2.0</v>
      </c>
    </row>
    <row r="76" ht="15.75" customHeight="1">
      <c r="A76" s="5" t="str">
        <f t="shared" si="2"/>
        <v>sábado</v>
      </c>
      <c r="B76" s="5" t="s">
        <v>143</v>
      </c>
      <c r="C76" s="37">
        <v>45969.0</v>
      </c>
      <c r="D76" s="28" t="s">
        <v>51</v>
      </c>
      <c r="E76" s="5">
        <v>39.0</v>
      </c>
      <c r="F76" s="5">
        <v>31.0</v>
      </c>
      <c r="G76" s="5">
        <v>2.0</v>
      </c>
      <c r="H76" s="5">
        <v>3.0</v>
      </c>
    </row>
    <row r="77" ht="15.75" customHeight="1">
      <c r="A77" s="5" t="str">
        <f t="shared" si="2"/>
        <v>sábado</v>
      </c>
      <c r="B77" s="5" t="s">
        <v>143</v>
      </c>
      <c r="C77" s="37">
        <v>45969.0</v>
      </c>
      <c r="D77" s="28" t="s">
        <v>59</v>
      </c>
      <c r="E77" s="5">
        <v>183.0</v>
      </c>
      <c r="F77" s="5">
        <v>170.0</v>
      </c>
      <c r="G77" s="5">
        <v>0.0</v>
      </c>
      <c r="H77" s="5">
        <v>0.0</v>
      </c>
    </row>
    <row r="78" ht="15.75" customHeight="1">
      <c r="A78" s="5" t="str">
        <f t="shared" si="2"/>
        <v>sábado</v>
      </c>
      <c r="B78" s="5" t="s">
        <v>143</v>
      </c>
      <c r="C78" s="37">
        <v>45969.0</v>
      </c>
      <c r="D78" s="5" t="s">
        <v>145</v>
      </c>
      <c r="E78" s="5">
        <v>74.0</v>
      </c>
      <c r="F78" s="5">
        <v>62.0</v>
      </c>
      <c r="G78" s="5">
        <v>8.0</v>
      </c>
      <c r="H78" s="5">
        <v>3.0</v>
      </c>
    </row>
    <row r="79" ht="15.75" customHeight="1">
      <c r="A79" s="5" t="str">
        <f t="shared" si="2"/>
        <v>sábado</v>
      </c>
      <c r="B79" s="5" t="s">
        <v>143</v>
      </c>
      <c r="C79" s="37">
        <v>45969.0</v>
      </c>
      <c r="D79" s="5" t="s">
        <v>146</v>
      </c>
      <c r="E79" s="5">
        <v>59.0</v>
      </c>
      <c r="F79" s="5">
        <v>38.0</v>
      </c>
      <c r="G79" s="5">
        <v>1.0</v>
      </c>
      <c r="H79" s="5">
        <v>4.0</v>
      </c>
    </row>
    <row r="80" ht="15.75" customHeight="1">
      <c r="A80" s="5" t="str">
        <f t="shared" si="2"/>
        <v>domingo</v>
      </c>
      <c r="B80" s="5" t="s">
        <v>162</v>
      </c>
      <c r="C80" s="37">
        <v>45970.0</v>
      </c>
      <c r="D80" s="5" t="s">
        <v>116</v>
      </c>
      <c r="E80" s="5">
        <v>50.0</v>
      </c>
      <c r="F80" s="5">
        <v>30.0</v>
      </c>
      <c r="G80" s="5">
        <v>6.0</v>
      </c>
      <c r="H80" s="5">
        <v>7.0</v>
      </c>
    </row>
    <row r="81" ht="15.75" customHeight="1">
      <c r="A81" s="5" t="str">
        <f t="shared" si="2"/>
        <v>domingo</v>
      </c>
      <c r="B81" s="5" t="s">
        <v>162</v>
      </c>
      <c r="C81" s="37">
        <v>45970.0</v>
      </c>
      <c r="D81" s="5" t="s">
        <v>43</v>
      </c>
      <c r="E81" s="5">
        <v>63.0</v>
      </c>
      <c r="F81" s="5">
        <v>37.0</v>
      </c>
      <c r="G81" s="5">
        <v>3.0</v>
      </c>
      <c r="H81" s="5">
        <v>5.0</v>
      </c>
    </row>
    <row r="82" ht="15.75" customHeight="1">
      <c r="A82" s="5" t="str">
        <f t="shared" si="2"/>
        <v>domingo</v>
      </c>
      <c r="B82" s="5" t="s">
        <v>162</v>
      </c>
      <c r="C82" s="37">
        <v>45970.0</v>
      </c>
      <c r="D82" s="28" t="s">
        <v>59</v>
      </c>
      <c r="E82" s="5">
        <v>149.0</v>
      </c>
      <c r="F82" s="5">
        <v>129.0</v>
      </c>
      <c r="G82" s="5">
        <v>0.0</v>
      </c>
      <c r="H82" s="5">
        <v>2.0</v>
      </c>
    </row>
    <row r="83" ht="15.75" customHeight="1">
      <c r="A83" s="5" t="str">
        <f t="shared" si="2"/>
        <v>domingo</v>
      </c>
      <c r="B83" s="5" t="s">
        <v>162</v>
      </c>
      <c r="C83" s="37">
        <v>45970.0</v>
      </c>
      <c r="D83" s="5" t="s">
        <v>145</v>
      </c>
      <c r="E83" s="5">
        <v>61.0</v>
      </c>
      <c r="F83" s="5">
        <v>47.0</v>
      </c>
      <c r="G83" s="5">
        <v>5.0</v>
      </c>
      <c r="H83" s="5">
        <v>5.0</v>
      </c>
    </row>
    <row r="84" ht="15.75" customHeight="1">
      <c r="A84" s="5" t="str">
        <f t="shared" si="2"/>
        <v>domingo</v>
      </c>
      <c r="B84" s="5" t="s">
        <v>162</v>
      </c>
      <c r="C84" s="37">
        <v>45970.0</v>
      </c>
      <c r="D84" s="28" t="s">
        <v>52</v>
      </c>
      <c r="E84" s="5">
        <v>54.0</v>
      </c>
      <c r="F84" s="5">
        <v>23.0</v>
      </c>
      <c r="G84" s="5">
        <v>1.0</v>
      </c>
      <c r="H84" s="5">
        <v>18.0</v>
      </c>
    </row>
    <row r="85" ht="15.75" customHeight="1">
      <c r="A85" s="5" t="str">
        <f t="shared" si="2"/>
        <v>domingo</v>
      </c>
      <c r="B85" s="5" t="s">
        <v>162</v>
      </c>
      <c r="C85" s="37">
        <v>45970.0</v>
      </c>
      <c r="D85" s="5" t="s">
        <v>146</v>
      </c>
      <c r="E85" s="5">
        <v>70.0</v>
      </c>
      <c r="F85" s="5">
        <v>45.0</v>
      </c>
      <c r="G85" s="5">
        <v>0.0</v>
      </c>
      <c r="H85" s="5">
        <v>3.0</v>
      </c>
    </row>
    <row r="86" ht="15.75" customHeight="1">
      <c r="A86" s="5" t="str">
        <f t="shared" si="2"/>
        <v>lunes</v>
      </c>
      <c r="B86" s="5" t="s">
        <v>144</v>
      </c>
      <c r="C86" s="37">
        <v>45971.0</v>
      </c>
      <c r="D86" s="28" t="s">
        <v>64</v>
      </c>
      <c r="E86" s="5">
        <v>83.0</v>
      </c>
      <c r="F86" s="5">
        <v>54.0</v>
      </c>
      <c r="G86" s="5">
        <v>3.0</v>
      </c>
      <c r="H86" s="5">
        <v>13.0</v>
      </c>
    </row>
    <row r="87" ht="15.75" customHeight="1">
      <c r="A87" s="5" t="str">
        <f t="shared" si="2"/>
        <v>lunes</v>
      </c>
      <c r="B87" s="5" t="s">
        <v>144</v>
      </c>
      <c r="C87" s="37">
        <v>45971.0</v>
      </c>
      <c r="D87" s="28" t="s">
        <v>58</v>
      </c>
      <c r="E87" s="5">
        <v>27.0</v>
      </c>
      <c r="F87" s="5">
        <v>14.0</v>
      </c>
      <c r="G87" s="5">
        <v>5.0</v>
      </c>
      <c r="H87" s="5">
        <v>5.0</v>
      </c>
    </row>
    <row r="88" ht="15.75" customHeight="1">
      <c r="A88" s="5" t="str">
        <f t="shared" si="2"/>
        <v>lunes</v>
      </c>
      <c r="B88" s="5" t="s">
        <v>144</v>
      </c>
      <c r="C88" s="37">
        <v>45971.0</v>
      </c>
      <c r="D88" s="28" t="s">
        <v>42</v>
      </c>
      <c r="E88" s="5">
        <v>59.0</v>
      </c>
      <c r="F88" s="5">
        <v>36.0</v>
      </c>
      <c r="G88" s="5">
        <v>3.0</v>
      </c>
      <c r="H88" s="5">
        <v>6.0</v>
      </c>
    </row>
    <row r="89" ht="15.75" customHeight="1">
      <c r="A89" s="5" t="str">
        <f t="shared" si="2"/>
        <v>lunes</v>
      </c>
      <c r="B89" s="5" t="s">
        <v>144</v>
      </c>
      <c r="C89" s="37">
        <v>45971.0</v>
      </c>
      <c r="D89" s="28" t="s">
        <v>41</v>
      </c>
      <c r="E89" s="5">
        <v>73.0</v>
      </c>
      <c r="F89" s="5">
        <v>52.0</v>
      </c>
      <c r="G89" s="5">
        <v>3.0</v>
      </c>
      <c r="H89" s="5">
        <v>3.0</v>
      </c>
    </row>
    <row r="90" ht="15.75" customHeight="1">
      <c r="A90" s="5" t="str">
        <f t="shared" si="2"/>
        <v>lunes</v>
      </c>
      <c r="B90" s="5" t="s">
        <v>144</v>
      </c>
      <c r="C90" s="37">
        <v>45971.0</v>
      </c>
      <c r="D90" s="28" t="s">
        <v>39</v>
      </c>
      <c r="E90" s="5">
        <v>38.0</v>
      </c>
      <c r="F90" s="5">
        <v>26.0</v>
      </c>
      <c r="G90" s="5">
        <v>1.0</v>
      </c>
      <c r="H90" s="5">
        <v>6.0</v>
      </c>
    </row>
    <row r="91" ht="15.75" customHeight="1">
      <c r="A91" s="5" t="str">
        <f t="shared" si="2"/>
        <v>lunes</v>
      </c>
      <c r="B91" s="5" t="s">
        <v>144</v>
      </c>
      <c r="C91" s="37">
        <v>45971.0</v>
      </c>
      <c r="D91" s="28" t="s">
        <v>66</v>
      </c>
      <c r="E91" s="5">
        <v>92.0</v>
      </c>
      <c r="F91" s="5">
        <v>88.0</v>
      </c>
      <c r="G91" s="5">
        <v>0.0</v>
      </c>
      <c r="H91" s="5">
        <v>0.0</v>
      </c>
    </row>
    <row r="92" ht="15.75" customHeight="1">
      <c r="A92" s="5" t="str">
        <f t="shared" si="2"/>
        <v>lunes</v>
      </c>
      <c r="B92" s="5" t="s">
        <v>144</v>
      </c>
      <c r="C92" s="37">
        <v>45971.0</v>
      </c>
      <c r="D92" s="28" t="s">
        <v>44</v>
      </c>
      <c r="E92" s="5">
        <v>71.0</v>
      </c>
      <c r="F92" s="5">
        <v>74.0</v>
      </c>
      <c r="G92" s="5">
        <v>0.0</v>
      </c>
      <c r="H92" s="5">
        <v>0.0</v>
      </c>
    </row>
    <row r="93" ht="15.75" customHeight="1">
      <c r="A93" s="5" t="str">
        <f t="shared" si="2"/>
        <v>lunes</v>
      </c>
      <c r="B93" s="5" t="s">
        <v>144</v>
      </c>
      <c r="C93" s="37">
        <v>45971.0</v>
      </c>
      <c r="D93" s="28" t="s">
        <v>67</v>
      </c>
      <c r="E93" s="5">
        <v>55.0</v>
      </c>
      <c r="F93" s="5">
        <v>48.0</v>
      </c>
      <c r="G93" s="5">
        <v>2.0</v>
      </c>
      <c r="H93" s="5">
        <v>0.0</v>
      </c>
    </row>
    <row r="94" ht="15.75" customHeight="1">
      <c r="A94" s="5" t="str">
        <f t="shared" si="2"/>
        <v>lunes</v>
      </c>
      <c r="B94" s="5" t="s">
        <v>144</v>
      </c>
      <c r="C94" s="37">
        <v>45971.0</v>
      </c>
      <c r="D94" s="28" t="s">
        <v>65</v>
      </c>
      <c r="E94" s="5">
        <v>62.0</v>
      </c>
      <c r="F94" s="5">
        <v>56.0</v>
      </c>
      <c r="G94" s="5">
        <v>1.0</v>
      </c>
      <c r="H94" s="5">
        <v>3.0</v>
      </c>
    </row>
    <row r="95" ht="15.75" customHeight="1">
      <c r="A95" s="5" t="str">
        <f t="shared" si="2"/>
        <v>lunes</v>
      </c>
      <c r="B95" s="5" t="s">
        <v>144</v>
      </c>
      <c r="C95" s="37">
        <v>45971.0</v>
      </c>
      <c r="D95" s="28" t="s">
        <v>59</v>
      </c>
      <c r="E95" s="5">
        <v>22.0</v>
      </c>
      <c r="F95" s="5">
        <v>15.0</v>
      </c>
      <c r="G95" s="5">
        <v>0.0</v>
      </c>
      <c r="H95" s="5">
        <v>0.0</v>
      </c>
    </row>
    <row r="96" ht="15.75" customHeight="1">
      <c r="A96" s="5" t="str">
        <f t="shared" si="2"/>
        <v>lunes</v>
      </c>
      <c r="B96" s="5" t="s">
        <v>144</v>
      </c>
      <c r="C96" s="37">
        <v>45971.0</v>
      </c>
      <c r="D96" s="5" t="s">
        <v>90</v>
      </c>
      <c r="E96" s="5">
        <v>130.0</v>
      </c>
      <c r="F96" s="5">
        <v>49.0</v>
      </c>
      <c r="G96" s="5">
        <v>0.0</v>
      </c>
      <c r="H96" s="5">
        <v>0.0</v>
      </c>
    </row>
    <row r="97" ht="15.75" customHeight="1">
      <c r="A97" s="5" t="str">
        <f t="shared" si="2"/>
        <v>lunes</v>
      </c>
      <c r="B97" s="5" t="s">
        <v>144</v>
      </c>
      <c r="C97" s="37">
        <v>45971.0</v>
      </c>
      <c r="D97" s="5" t="s">
        <v>93</v>
      </c>
      <c r="E97" s="5">
        <v>111.0</v>
      </c>
      <c r="F97" s="5">
        <v>54.0</v>
      </c>
      <c r="G97" s="5">
        <v>0.0</v>
      </c>
      <c r="H97" s="5">
        <v>0.0</v>
      </c>
    </row>
    <row r="98" ht="15.75" customHeight="1">
      <c r="A98" s="5" t="str">
        <f t="shared" si="2"/>
        <v>lunes</v>
      </c>
      <c r="B98" s="5" t="s">
        <v>144</v>
      </c>
      <c r="C98" s="37">
        <v>45971.0</v>
      </c>
      <c r="D98" s="5" t="s">
        <v>89</v>
      </c>
      <c r="E98" s="5">
        <v>76.0</v>
      </c>
      <c r="F98" s="5">
        <v>48.0</v>
      </c>
      <c r="G98" s="5">
        <v>1.0</v>
      </c>
      <c r="H98" s="5">
        <v>0.0</v>
      </c>
    </row>
    <row r="99" ht="15.75" customHeight="1">
      <c r="A99" s="5" t="str">
        <f t="shared" si="2"/>
        <v>martes</v>
      </c>
      <c r="B99" s="5" t="s">
        <v>144</v>
      </c>
      <c r="C99" s="37">
        <v>45972.0</v>
      </c>
      <c r="D99" s="28" t="s">
        <v>64</v>
      </c>
      <c r="E99" s="5">
        <v>126.0</v>
      </c>
      <c r="F99" s="5">
        <v>71.0</v>
      </c>
      <c r="G99" s="5">
        <v>2.0</v>
      </c>
      <c r="H99" s="5">
        <v>20.0</v>
      </c>
    </row>
    <row r="100" ht="15.75" customHeight="1">
      <c r="A100" s="5" t="str">
        <f t="shared" si="2"/>
        <v>martes</v>
      </c>
      <c r="B100" s="5" t="s">
        <v>144</v>
      </c>
      <c r="C100" s="37">
        <v>45972.0</v>
      </c>
      <c r="D100" s="28" t="s">
        <v>58</v>
      </c>
      <c r="E100" s="5">
        <v>54.0</v>
      </c>
      <c r="F100" s="5">
        <v>30.0</v>
      </c>
      <c r="G100" s="5">
        <v>8.0</v>
      </c>
      <c r="H100" s="5">
        <v>1.0</v>
      </c>
    </row>
    <row r="101" ht="15.75" customHeight="1">
      <c r="A101" s="5" t="str">
        <f t="shared" si="2"/>
        <v>martes</v>
      </c>
      <c r="B101" s="5" t="s">
        <v>144</v>
      </c>
      <c r="C101" s="37">
        <v>45972.0</v>
      </c>
      <c r="D101" s="28" t="s">
        <v>39</v>
      </c>
      <c r="E101" s="5">
        <v>91.0</v>
      </c>
      <c r="F101" s="5">
        <v>83.0</v>
      </c>
      <c r="G101" s="5">
        <v>1.0</v>
      </c>
      <c r="H101" s="5">
        <v>7.0</v>
      </c>
    </row>
    <row r="102" ht="15.75" customHeight="1">
      <c r="A102" s="5" t="str">
        <f t="shared" si="2"/>
        <v>martes</v>
      </c>
      <c r="B102" s="5" t="s">
        <v>144</v>
      </c>
      <c r="C102" s="37">
        <v>45972.0</v>
      </c>
      <c r="D102" s="28" t="s">
        <v>41</v>
      </c>
      <c r="E102" s="5">
        <v>74.0</v>
      </c>
      <c r="F102" s="5">
        <v>51.0</v>
      </c>
      <c r="G102" s="5">
        <v>2.0</v>
      </c>
      <c r="H102" s="5">
        <v>2.0</v>
      </c>
    </row>
    <row r="103" ht="15.75" customHeight="1">
      <c r="A103" s="5" t="str">
        <f t="shared" si="2"/>
        <v>martes</v>
      </c>
      <c r="B103" s="5" t="s">
        <v>144</v>
      </c>
      <c r="C103" s="37">
        <v>45972.0</v>
      </c>
      <c r="D103" s="28" t="s">
        <v>65</v>
      </c>
      <c r="E103" s="5">
        <v>74.0</v>
      </c>
      <c r="F103" s="5">
        <v>56.0</v>
      </c>
      <c r="G103" s="5">
        <v>2.0</v>
      </c>
      <c r="H103" s="5">
        <v>1.0</v>
      </c>
    </row>
    <row r="104" ht="15.75" customHeight="1">
      <c r="A104" s="5" t="str">
        <f t="shared" si="2"/>
        <v>martes</v>
      </c>
      <c r="B104" s="5" t="s">
        <v>144</v>
      </c>
      <c r="C104" s="37">
        <v>45972.0</v>
      </c>
      <c r="D104" s="28" t="s">
        <v>66</v>
      </c>
      <c r="E104" s="5">
        <v>130.0</v>
      </c>
      <c r="F104" s="5">
        <v>122.0</v>
      </c>
      <c r="G104" s="5">
        <v>0.0</v>
      </c>
      <c r="H104" s="5">
        <v>1.0</v>
      </c>
    </row>
    <row r="105" ht="15.75" customHeight="1">
      <c r="A105" s="5" t="str">
        <f t="shared" si="2"/>
        <v>martes</v>
      </c>
      <c r="B105" s="5" t="s">
        <v>144</v>
      </c>
      <c r="C105" s="37">
        <v>45972.0</v>
      </c>
      <c r="D105" s="28" t="s">
        <v>67</v>
      </c>
      <c r="E105" s="5">
        <v>87.0</v>
      </c>
      <c r="F105" s="5">
        <v>76.0</v>
      </c>
      <c r="G105" s="5">
        <v>0.0</v>
      </c>
      <c r="H105" s="5">
        <v>0.0</v>
      </c>
    </row>
    <row r="106" ht="15.75" customHeight="1">
      <c r="A106" s="5" t="str">
        <f t="shared" si="2"/>
        <v>martes</v>
      </c>
      <c r="B106" s="5" t="s">
        <v>144</v>
      </c>
      <c r="C106" s="37">
        <v>45972.0</v>
      </c>
      <c r="D106" s="28" t="s">
        <v>59</v>
      </c>
      <c r="E106" s="5">
        <v>67.0</v>
      </c>
      <c r="F106" s="5">
        <v>41.0</v>
      </c>
      <c r="G106" s="5">
        <v>0.0</v>
      </c>
      <c r="H106" s="5">
        <v>0.0</v>
      </c>
    </row>
    <row r="107" ht="15.75" customHeight="1">
      <c r="A107" s="5" t="str">
        <f t="shared" si="2"/>
        <v>martes</v>
      </c>
      <c r="B107" s="5" t="s">
        <v>144</v>
      </c>
      <c r="C107" s="37">
        <v>45972.0</v>
      </c>
      <c r="D107" s="5" t="s">
        <v>89</v>
      </c>
      <c r="E107" s="5">
        <v>54.0</v>
      </c>
      <c r="F107" s="5">
        <v>33.0</v>
      </c>
      <c r="G107" s="5">
        <v>0.0</v>
      </c>
      <c r="H107" s="5">
        <v>0.0</v>
      </c>
    </row>
    <row r="108" ht="15.75" customHeight="1">
      <c r="A108" s="5" t="str">
        <f t="shared" si="2"/>
        <v>martes</v>
      </c>
      <c r="B108" s="5" t="s">
        <v>144</v>
      </c>
      <c r="C108" s="37">
        <v>45972.0</v>
      </c>
      <c r="D108" s="5" t="s">
        <v>90</v>
      </c>
      <c r="E108" s="5">
        <v>184.0</v>
      </c>
      <c r="F108" s="5">
        <v>63.0</v>
      </c>
      <c r="G108" s="5">
        <v>0.0</v>
      </c>
      <c r="H108" s="5">
        <v>0.0</v>
      </c>
    </row>
    <row r="109" ht="15.75" customHeight="1">
      <c r="A109" s="5" t="str">
        <f t="shared" si="2"/>
        <v>martes</v>
      </c>
      <c r="B109" s="5" t="s">
        <v>144</v>
      </c>
      <c r="C109" s="37">
        <v>45972.0</v>
      </c>
      <c r="D109" s="5" t="s">
        <v>93</v>
      </c>
      <c r="E109" s="5">
        <v>41.0</v>
      </c>
      <c r="F109" s="5">
        <v>26.0</v>
      </c>
      <c r="G109" s="5">
        <v>0.0</v>
      </c>
      <c r="H109" s="5">
        <v>0.0</v>
      </c>
    </row>
    <row r="110" ht="15.75" customHeight="1">
      <c r="A110" s="5" t="str">
        <f t="shared" si="2"/>
        <v>miércoles</v>
      </c>
      <c r="B110" s="5" t="s">
        <v>144</v>
      </c>
      <c r="C110" s="37">
        <v>45973.0</v>
      </c>
      <c r="D110" s="28" t="s">
        <v>64</v>
      </c>
      <c r="E110" s="5">
        <v>130.0</v>
      </c>
      <c r="F110" s="5">
        <v>89.0</v>
      </c>
      <c r="G110" s="5">
        <v>3.0</v>
      </c>
      <c r="H110" s="5">
        <v>11.0</v>
      </c>
    </row>
    <row r="111" ht="15.75" customHeight="1">
      <c r="A111" s="5" t="str">
        <f t="shared" si="2"/>
        <v>miércoles</v>
      </c>
      <c r="B111" s="5" t="s">
        <v>144</v>
      </c>
      <c r="C111" s="37">
        <v>45973.0</v>
      </c>
      <c r="D111" s="28" t="s">
        <v>58</v>
      </c>
      <c r="E111" s="5">
        <v>72.0</v>
      </c>
      <c r="F111" s="5">
        <v>43.0</v>
      </c>
      <c r="G111" s="5">
        <v>5.0</v>
      </c>
      <c r="H111" s="5">
        <v>2.0</v>
      </c>
    </row>
    <row r="112" ht="15.75" customHeight="1">
      <c r="A112" s="5" t="str">
        <f t="shared" si="2"/>
        <v>miércoles</v>
      </c>
      <c r="B112" s="5" t="s">
        <v>144</v>
      </c>
      <c r="C112" s="37">
        <v>45973.0</v>
      </c>
      <c r="D112" s="28" t="s">
        <v>42</v>
      </c>
      <c r="E112" s="5">
        <v>80.0</v>
      </c>
      <c r="F112" s="5">
        <v>52.0</v>
      </c>
      <c r="G112" s="5">
        <v>2.0</v>
      </c>
      <c r="H112" s="5">
        <v>11.0</v>
      </c>
    </row>
    <row r="113" ht="15.75" customHeight="1">
      <c r="A113" s="5" t="str">
        <f t="shared" si="2"/>
        <v>miércoles</v>
      </c>
      <c r="B113" s="5" t="s">
        <v>144</v>
      </c>
      <c r="C113" s="37">
        <v>45973.0</v>
      </c>
      <c r="D113" s="28" t="s">
        <v>41</v>
      </c>
      <c r="E113" s="5">
        <v>87.0</v>
      </c>
      <c r="F113" s="5">
        <v>76.0</v>
      </c>
      <c r="G113" s="5">
        <v>2.0</v>
      </c>
      <c r="H113" s="5">
        <v>6.0</v>
      </c>
    </row>
    <row r="114" ht="15.75" customHeight="1">
      <c r="A114" s="5" t="str">
        <f t="shared" si="2"/>
        <v>miércoles</v>
      </c>
      <c r="B114" s="5" t="s">
        <v>144</v>
      </c>
      <c r="C114" s="37">
        <v>45973.0</v>
      </c>
      <c r="D114" s="28" t="s">
        <v>51</v>
      </c>
      <c r="E114" s="5">
        <v>67.0</v>
      </c>
      <c r="F114" s="5">
        <v>42.0</v>
      </c>
      <c r="G114" s="5">
        <v>3.0</v>
      </c>
      <c r="H114" s="5">
        <v>12.0</v>
      </c>
    </row>
    <row r="115" ht="15.75" customHeight="1">
      <c r="A115" s="5" t="str">
        <f t="shared" si="2"/>
        <v>miércoles</v>
      </c>
      <c r="B115" s="5" t="s">
        <v>144</v>
      </c>
      <c r="C115" s="37">
        <v>45973.0</v>
      </c>
      <c r="D115" s="28" t="s">
        <v>39</v>
      </c>
      <c r="E115" s="5">
        <v>87.0</v>
      </c>
      <c r="F115" s="5">
        <v>59.0</v>
      </c>
      <c r="G115" s="5">
        <v>3.0</v>
      </c>
      <c r="H115" s="5">
        <v>11.0</v>
      </c>
    </row>
    <row r="116" ht="15.75" customHeight="1">
      <c r="A116" s="5" t="str">
        <f t="shared" si="2"/>
        <v>miércoles</v>
      </c>
      <c r="B116" s="5" t="s">
        <v>144</v>
      </c>
      <c r="C116" s="37">
        <v>45973.0</v>
      </c>
      <c r="D116" s="28" t="s">
        <v>65</v>
      </c>
      <c r="E116" s="5">
        <v>93.0</v>
      </c>
      <c r="F116" s="5">
        <v>79.0</v>
      </c>
      <c r="G116" s="5">
        <v>0.0</v>
      </c>
      <c r="H116" s="5">
        <v>1.0</v>
      </c>
    </row>
    <row r="117" ht="15.75" customHeight="1">
      <c r="A117" s="5" t="str">
        <f t="shared" si="2"/>
        <v>miércoles</v>
      </c>
      <c r="B117" s="5" t="s">
        <v>144</v>
      </c>
      <c r="C117" s="37">
        <v>45973.0</v>
      </c>
      <c r="D117" s="28" t="s">
        <v>66</v>
      </c>
      <c r="E117" s="5">
        <v>142.0</v>
      </c>
      <c r="F117" s="5">
        <v>131.0</v>
      </c>
      <c r="G117" s="5">
        <v>1.0</v>
      </c>
      <c r="H117" s="5">
        <v>4.0</v>
      </c>
    </row>
    <row r="118" ht="15.75" customHeight="1">
      <c r="A118" s="5" t="str">
        <f t="shared" si="2"/>
        <v>miércoles</v>
      </c>
      <c r="B118" s="5" t="s">
        <v>144</v>
      </c>
      <c r="C118" s="37">
        <v>45973.0</v>
      </c>
      <c r="D118" s="28" t="s">
        <v>67</v>
      </c>
      <c r="E118" s="5">
        <v>53.0</v>
      </c>
      <c r="F118" s="5">
        <v>43.0</v>
      </c>
      <c r="G118" s="5">
        <v>1.0</v>
      </c>
      <c r="H118" s="5">
        <v>1.0</v>
      </c>
    </row>
    <row r="119" ht="15.75" customHeight="1">
      <c r="A119" s="5" t="str">
        <f t="shared" si="2"/>
        <v>miércoles</v>
      </c>
      <c r="B119" s="5" t="s">
        <v>144</v>
      </c>
      <c r="C119" s="37">
        <v>45973.0</v>
      </c>
      <c r="D119" s="5" t="s">
        <v>93</v>
      </c>
      <c r="E119" s="5">
        <v>104.0</v>
      </c>
      <c r="F119" s="5">
        <v>63.0</v>
      </c>
      <c r="G119" s="5">
        <v>0.0</v>
      </c>
      <c r="H119" s="5">
        <v>0.0</v>
      </c>
    </row>
    <row r="120" ht="15.75" customHeight="1">
      <c r="A120" s="5" t="str">
        <f t="shared" si="2"/>
        <v>miércoles</v>
      </c>
      <c r="B120" s="5" t="s">
        <v>144</v>
      </c>
      <c r="C120" s="37">
        <v>45973.0</v>
      </c>
      <c r="D120" s="5" t="s">
        <v>108</v>
      </c>
      <c r="E120" s="5">
        <v>85.0</v>
      </c>
      <c r="F120" s="5">
        <v>32.0</v>
      </c>
      <c r="G120" s="5">
        <v>0.0</v>
      </c>
      <c r="H120" s="5">
        <v>0.0</v>
      </c>
    </row>
    <row r="121" ht="15.75" customHeight="1">
      <c r="A121" s="5" t="str">
        <f t="shared" si="2"/>
        <v>miércoles</v>
      </c>
      <c r="B121" s="5" t="s">
        <v>144</v>
      </c>
      <c r="C121" s="37">
        <v>45973.0</v>
      </c>
      <c r="D121" s="5" t="s">
        <v>107</v>
      </c>
      <c r="E121" s="5">
        <v>62.0</v>
      </c>
      <c r="F121" s="5">
        <v>35.0</v>
      </c>
      <c r="G121" s="5">
        <v>0.0</v>
      </c>
      <c r="H121" s="5">
        <v>0.0</v>
      </c>
    </row>
    <row r="122" ht="15.75" customHeight="1">
      <c r="A122" s="5" t="str">
        <f t="shared" si="2"/>
        <v>miércoles</v>
      </c>
      <c r="B122" s="5" t="s">
        <v>144</v>
      </c>
      <c r="C122" s="37">
        <v>45973.0</v>
      </c>
      <c r="D122" s="5" t="s">
        <v>89</v>
      </c>
      <c r="E122" s="5">
        <v>87.0</v>
      </c>
      <c r="F122" s="5">
        <v>48.0</v>
      </c>
      <c r="G122" s="5">
        <v>1.0</v>
      </c>
      <c r="H122" s="5">
        <v>3.0</v>
      </c>
    </row>
    <row r="123" ht="15.75" customHeight="1">
      <c r="A123" s="5" t="str">
        <f t="shared" si="2"/>
        <v>miércoles</v>
      </c>
      <c r="B123" s="5" t="s">
        <v>144</v>
      </c>
      <c r="C123" s="37">
        <v>45973.0</v>
      </c>
      <c r="D123" s="5" t="s">
        <v>127</v>
      </c>
      <c r="E123" s="5">
        <v>0.0</v>
      </c>
      <c r="F123" s="5">
        <v>0.0</v>
      </c>
      <c r="G123" s="5">
        <v>0.0</v>
      </c>
      <c r="H123" s="5">
        <v>0.0</v>
      </c>
    </row>
    <row r="124" ht="15.75" customHeight="1">
      <c r="A124" s="5" t="str">
        <f t="shared" si="2"/>
        <v>jueves</v>
      </c>
      <c r="B124" s="5" t="s">
        <v>144</v>
      </c>
      <c r="C124" s="37">
        <v>45974.0</v>
      </c>
      <c r="D124" s="28" t="s">
        <v>64</v>
      </c>
      <c r="E124" s="5">
        <v>105.0</v>
      </c>
      <c r="F124" s="5">
        <v>73.0</v>
      </c>
      <c r="G124" s="5">
        <v>3.0</v>
      </c>
      <c r="H124" s="5">
        <v>13.0</v>
      </c>
    </row>
    <row r="125" ht="15.75" customHeight="1">
      <c r="A125" s="5" t="str">
        <f t="shared" si="2"/>
        <v>jueves</v>
      </c>
      <c r="B125" s="5" t="s">
        <v>144</v>
      </c>
      <c r="C125" s="37">
        <v>45974.0</v>
      </c>
      <c r="D125" s="28" t="s">
        <v>58</v>
      </c>
      <c r="E125" s="5">
        <v>51.0</v>
      </c>
      <c r="F125" s="5">
        <v>28.0</v>
      </c>
      <c r="G125" s="5">
        <v>1.0</v>
      </c>
      <c r="H125" s="5">
        <v>6.0</v>
      </c>
    </row>
    <row r="126" ht="15.75" customHeight="1">
      <c r="A126" s="5" t="str">
        <f t="shared" si="2"/>
        <v>jueves</v>
      </c>
      <c r="B126" s="5" t="s">
        <v>144</v>
      </c>
      <c r="C126" s="37">
        <v>45974.0</v>
      </c>
      <c r="D126" s="28" t="s">
        <v>42</v>
      </c>
      <c r="E126" s="5">
        <v>45.0</v>
      </c>
      <c r="F126" s="5">
        <v>30.0</v>
      </c>
      <c r="G126" s="5">
        <v>5.0</v>
      </c>
      <c r="H126" s="5">
        <v>11.0</v>
      </c>
    </row>
    <row r="127" ht="15.75" customHeight="1">
      <c r="A127" s="5" t="str">
        <f t="shared" si="2"/>
        <v>jueves</v>
      </c>
      <c r="B127" s="5" t="s">
        <v>144</v>
      </c>
      <c r="C127" s="37">
        <v>45974.0</v>
      </c>
      <c r="D127" s="28" t="s">
        <v>41</v>
      </c>
      <c r="E127" s="5">
        <v>78.0</v>
      </c>
      <c r="F127" s="5">
        <v>63.0</v>
      </c>
      <c r="G127" s="5">
        <v>2.0</v>
      </c>
      <c r="H127" s="5">
        <v>7.0</v>
      </c>
    </row>
    <row r="128" ht="15.75" customHeight="1">
      <c r="A128" s="5" t="str">
        <f t="shared" si="2"/>
        <v>jueves</v>
      </c>
      <c r="B128" s="5" t="s">
        <v>144</v>
      </c>
      <c r="C128" s="37">
        <v>45974.0</v>
      </c>
      <c r="D128" s="28" t="s">
        <v>51</v>
      </c>
      <c r="E128" s="5">
        <v>47.0</v>
      </c>
      <c r="F128" s="5">
        <v>37.0</v>
      </c>
      <c r="G128" s="5">
        <v>2.0</v>
      </c>
      <c r="H128" s="5">
        <v>8.0</v>
      </c>
    </row>
    <row r="129" ht="15.75" customHeight="1">
      <c r="A129" s="5" t="str">
        <f t="shared" si="2"/>
        <v>jueves</v>
      </c>
      <c r="B129" s="5" t="s">
        <v>144</v>
      </c>
      <c r="C129" s="37">
        <v>45974.0</v>
      </c>
      <c r="D129" s="28" t="s">
        <v>52</v>
      </c>
      <c r="E129" s="5">
        <v>24.0</v>
      </c>
      <c r="F129" s="5">
        <v>19.0</v>
      </c>
      <c r="G129" s="5">
        <v>0.0</v>
      </c>
      <c r="H129" s="5">
        <v>1.0</v>
      </c>
    </row>
    <row r="130" ht="15.75" customHeight="1">
      <c r="A130" s="5" t="str">
        <f t="shared" si="2"/>
        <v>jueves</v>
      </c>
      <c r="B130" s="5" t="s">
        <v>144</v>
      </c>
      <c r="C130" s="37">
        <v>45974.0</v>
      </c>
      <c r="D130" s="5" t="s">
        <v>145</v>
      </c>
      <c r="E130" s="5">
        <v>27.0</v>
      </c>
      <c r="F130" s="5">
        <v>24.0</v>
      </c>
      <c r="G130" s="5">
        <v>9.0</v>
      </c>
      <c r="H130" s="5">
        <v>3.0</v>
      </c>
    </row>
    <row r="131" ht="15.75" customHeight="1">
      <c r="A131" s="5" t="str">
        <f t="shared" si="2"/>
        <v>jueves</v>
      </c>
      <c r="B131" s="5" t="s">
        <v>144</v>
      </c>
      <c r="C131" s="37">
        <v>45974.0</v>
      </c>
      <c r="D131" s="28" t="s">
        <v>65</v>
      </c>
      <c r="E131" s="5">
        <v>72.0</v>
      </c>
      <c r="F131" s="5">
        <v>54.0</v>
      </c>
      <c r="G131" s="5">
        <v>2.0</v>
      </c>
      <c r="H131" s="5">
        <v>3.0</v>
      </c>
    </row>
    <row r="132" ht="15.75" customHeight="1">
      <c r="A132" s="5" t="str">
        <f t="shared" si="2"/>
        <v>jueves</v>
      </c>
      <c r="B132" s="5" t="s">
        <v>144</v>
      </c>
      <c r="C132" s="37">
        <v>45974.0</v>
      </c>
      <c r="D132" s="28" t="s">
        <v>66</v>
      </c>
      <c r="E132" s="5">
        <v>135.0</v>
      </c>
      <c r="F132" s="5">
        <v>128.0</v>
      </c>
      <c r="G132" s="5">
        <v>0.0</v>
      </c>
      <c r="H132" s="5">
        <v>0.0</v>
      </c>
    </row>
    <row r="133" ht="15.75" customHeight="1">
      <c r="A133" s="5" t="str">
        <f t="shared" si="2"/>
        <v>jueves</v>
      </c>
      <c r="B133" s="5" t="s">
        <v>144</v>
      </c>
      <c r="C133" s="37">
        <v>45974.0</v>
      </c>
      <c r="D133" s="28" t="s">
        <v>67</v>
      </c>
      <c r="E133" s="5">
        <v>53.0</v>
      </c>
      <c r="F133" s="5">
        <v>44.0</v>
      </c>
      <c r="G133" s="5">
        <v>0.0</v>
      </c>
      <c r="H133" s="5">
        <v>0.0</v>
      </c>
    </row>
    <row r="134" ht="15.75" customHeight="1">
      <c r="A134" s="5" t="str">
        <f t="shared" si="2"/>
        <v>jueves</v>
      </c>
      <c r="B134" s="5" t="s">
        <v>144</v>
      </c>
      <c r="C134" s="37">
        <v>45974.0</v>
      </c>
      <c r="D134" s="5" t="s">
        <v>89</v>
      </c>
      <c r="E134" s="5">
        <v>63.0</v>
      </c>
      <c r="F134" s="5">
        <v>40.0</v>
      </c>
      <c r="G134" s="5">
        <v>0.0</v>
      </c>
      <c r="H134" s="5">
        <v>3.0</v>
      </c>
    </row>
    <row r="135" ht="15.75" customHeight="1">
      <c r="A135" s="5" t="str">
        <f t="shared" si="2"/>
        <v>jueves</v>
      </c>
      <c r="B135" s="5" t="s">
        <v>144</v>
      </c>
      <c r="C135" s="37">
        <v>45974.0</v>
      </c>
      <c r="D135" s="5" t="s">
        <v>157</v>
      </c>
      <c r="E135" s="5">
        <v>44.0</v>
      </c>
      <c r="F135" s="5">
        <v>33.0</v>
      </c>
      <c r="G135" s="5">
        <v>0.0</v>
      </c>
      <c r="H135" s="5">
        <v>0.0</v>
      </c>
    </row>
    <row r="136" ht="15.75" customHeight="1">
      <c r="A136" s="5" t="str">
        <f t="shared" si="2"/>
        <v>jueves</v>
      </c>
      <c r="B136" s="5" t="s">
        <v>144</v>
      </c>
      <c r="C136" s="37">
        <v>45974.0</v>
      </c>
      <c r="D136" s="5" t="s">
        <v>117</v>
      </c>
      <c r="E136" s="5">
        <v>104.0</v>
      </c>
      <c r="F136" s="5">
        <v>47.0</v>
      </c>
      <c r="G136" s="5">
        <v>0.0</v>
      </c>
      <c r="H136" s="5">
        <v>0.0</v>
      </c>
    </row>
    <row r="137" ht="15.75" customHeight="1">
      <c r="A137" s="5" t="str">
        <f t="shared" si="2"/>
        <v>jueves</v>
      </c>
      <c r="B137" s="5" t="s">
        <v>144</v>
      </c>
      <c r="C137" s="37">
        <v>45974.0</v>
      </c>
      <c r="D137" s="5" t="s">
        <v>107</v>
      </c>
      <c r="E137" s="5">
        <v>117.0</v>
      </c>
      <c r="F137" s="5">
        <v>53.0</v>
      </c>
      <c r="G137" s="5">
        <v>1.0</v>
      </c>
      <c r="H137" s="5">
        <v>0.0</v>
      </c>
    </row>
    <row r="138" ht="15.75" customHeight="1">
      <c r="A138" s="5" t="str">
        <f t="shared" si="2"/>
        <v>viernes</v>
      </c>
      <c r="B138" s="5" t="s">
        <v>144</v>
      </c>
      <c r="C138" s="37">
        <v>45975.0</v>
      </c>
      <c r="D138" s="5" t="s">
        <v>116</v>
      </c>
      <c r="E138" s="5">
        <v>45.0</v>
      </c>
      <c r="F138" s="5">
        <v>37.0</v>
      </c>
      <c r="G138" s="5">
        <v>6.0</v>
      </c>
      <c r="H138" s="5">
        <v>4.0</v>
      </c>
    </row>
    <row r="139" ht="15.75" customHeight="1">
      <c r="A139" s="5" t="str">
        <f t="shared" si="2"/>
        <v>viernes</v>
      </c>
      <c r="B139" s="5" t="s">
        <v>144</v>
      </c>
      <c r="C139" s="37">
        <v>45975.0</v>
      </c>
      <c r="D139" s="28" t="s">
        <v>39</v>
      </c>
      <c r="E139" s="5">
        <v>30.0</v>
      </c>
      <c r="F139" s="5">
        <v>19.0</v>
      </c>
      <c r="G139" s="5">
        <v>1.0</v>
      </c>
      <c r="H139" s="5">
        <v>12.0</v>
      </c>
    </row>
    <row r="140" ht="15.75" customHeight="1">
      <c r="A140" s="5" t="str">
        <f t="shared" si="2"/>
        <v>viernes</v>
      </c>
      <c r="B140" s="5" t="s">
        <v>144</v>
      </c>
      <c r="C140" s="37">
        <v>45975.0</v>
      </c>
      <c r="D140" s="28" t="s">
        <v>51</v>
      </c>
      <c r="E140" s="5">
        <v>61.0</v>
      </c>
      <c r="F140" s="5">
        <v>46.0</v>
      </c>
      <c r="G140" s="5">
        <v>4.0</v>
      </c>
      <c r="H140" s="5">
        <v>18.0</v>
      </c>
    </row>
    <row r="141" ht="15.75" customHeight="1">
      <c r="A141" s="5" t="str">
        <f t="shared" si="2"/>
        <v>viernes</v>
      </c>
      <c r="B141" s="5" t="s">
        <v>144</v>
      </c>
      <c r="C141" s="37">
        <v>45975.0</v>
      </c>
      <c r="D141" s="28" t="s">
        <v>58</v>
      </c>
      <c r="E141" s="5">
        <v>40.0</v>
      </c>
      <c r="F141" s="5">
        <v>30.0</v>
      </c>
      <c r="G141" s="5">
        <v>7.0</v>
      </c>
      <c r="H141" s="5">
        <v>2.0</v>
      </c>
    </row>
    <row r="142" ht="15.75" customHeight="1">
      <c r="A142" s="5" t="str">
        <f t="shared" si="2"/>
        <v>viernes</v>
      </c>
      <c r="B142" s="5" t="s">
        <v>144</v>
      </c>
      <c r="C142" s="37">
        <v>45975.0</v>
      </c>
      <c r="D142" s="28" t="s">
        <v>52</v>
      </c>
      <c r="E142" s="5">
        <v>40.0</v>
      </c>
      <c r="F142" s="5">
        <v>28.0</v>
      </c>
      <c r="G142" s="5">
        <v>2.0</v>
      </c>
      <c r="H142" s="5">
        <v>3.0</v>
      </c>
    </row>
    <row r="143" ht="15.75" customHeight="1">
      <c r="A143" s="5" t="str">
        <f t="shared" si="2"/>
        <v>viernes</v>
      </c>
      <c r="B143" s="5" t="s">
        <v>144</v>
      </c>
      <c r="C143" s="37">
        <v>45975.0</v>
      </c>
      <c r="D143" s="5" t="s">
        <v>146</v>
      </c>
      <c r="E143" s="5">
        <v>65.0</v>
      </c>
      <c r="F143" s="5">
        <v>51.0</v>
      </c>
      <c r="G143" s="5">
        <v>0.0</v>
      </c>
      <c r="H143" s="5">
        <v>5.0</v>
      </c>
    </row>
    <row r="144" ht="15.75" customHeight="1">
      <c r="A144" s="5" t="str">
        <f t="shared" si="2"/>
        <v>viernes</v>
      </c>
      <c r="B144" s="5" t="s">
        <v>144</v>
      </c>
      <c r="C144" s="37">
        <v>45975.0</v>
      </c>
      <c r="D144" s="28" t="s">
        <v>64</v>
      </c>
      <c r="E144" s="5">
        <v>127.0</v>
      </c>
      <c r="F144" s="5">
        <v>82.0</v>
      </c>
      <c r="G144" s="5">
        <v>2.0</v>
      </c>
      <c r="H144" s="5">
        <v>15.0</v>
      </c>
    </row>
    <row r="145" ht="15.75" customHeight="1">
      <c r="A145" s="5" t="str">
        <f t="shared" si="2"/>
        <v>viernes</v>
      </c>
      <c r="B145" s="5" t="s">
        <v>144</v>
      </c>
      <c r="C145" s="37">
        <v>45975.0</v>
      </c>
      <c r="D145" s="28" t="s">
        <v>65</v>
      </c>
      <c r="E145" s="5">
        <v>62.0</v>
      </c>
      <c r="F145" s="5">
        <v>53.0</v>
      </c>
      <c r="G145" s="5">
        <v>0.0</v>
      </c>
      <c r="H145" s="5">
        <v>2.0</v>
      </c>
    </row>
    <row r="146" ht="15.75" customHeight="1">
      <c r="A146" s="5" t="str">
        <f t="shared" si="2"/>
        <v>viernes</v>
      </c>
      <c r="B146" s="5" t="s">
        <v>144</v>
      </c>
      <c r="C146" s="37">
        <v>45975.0</v>
      </c>
      <c r="D146" s="28" t="s">
        <v>66</v>
      </c>
      <c r="E146" s="5">
        <v>160.0</v>
      </c>
      <c r="F146" s="5">
        <v>154.0</v>
      </c>
      <c r="G146" s="5">
        <v>0.0</v>
      </c>
      <c r="H146" s="5">
        <v>1.0</v>
      </c>
    </row>
    <row r="147" ht="15.75" customHeight="1">
      <c r="A147" s="5" t="str">
        <f t="shared" si="2"/>
        <v>sábado</v>
      </c>
      <c r="B147" s="5" t="s">
        <v>143</v>
      </c>
      <c r="C147" s="37">
        <v>45976.0</v>
      </c>
      <c r="D147" s="5" t="s">
        <v>116</v>
      </c>
      <c r="E147" s="5">
        <v>95.0</v>
      </c>
      <c r="F147" s="5">
        <v>75.0</v>
      </c>
      <c r="G147" s="5">
        <v>7.0</v>
      </c>
      <c r="H147" s="5">
        <v>1.0</v>
      </c>
    </row>
    <row r="148" ht="15.75" customHeight="1">
      <c r="A148" s="5" t="str">
        <f t="shared" si="2"/>
        <v>sábado</v>
      </c>
      <c r="B148" s="5" t="s">
        <v>143</v>
      </c>
      <c r="C148" s="37">
        <v>45976.0</v>
      </c>
      <c r="D148" s="5" t="s">
        <v>43</v>
      </c>
      <c r="E148" s="5">
        <v>36.0</v>
      </c>
      <c r="F148" s="5">
        <v>15.0</v>
      </c>
      <c r="G148" s="5">
        <v>4.0</v>
      </c>
      <c r="H148" s="5">
        <v>5.0</v>
      </c>
    </row>
    <row r="149" ht="15.75" customHeight="1">
      <c r="A149" s="5" t="str">
        <f t="shared" si="2"/>
        <v>sábado</v>
      </c>
      <c r="B149" s="5" t="s">
        <v>143</v>
      </c>
      <c r="C149" s="37">
        <v>45976.0</v>
      </c>
      <c r="D149" s="28" t="s">
        <v>51</v>
      </c>
      <c r="E149" s="5">
        <v>31.0</v>
      </c>
      <c r="F149" s="5">
        <v>24.0</v>
      </c>
      <c r="G149" s="5">
        <v>1.0</v>
      </c>
      <c r="H149" s="5">
        <v>8.0</v>
      </c>
    </row>
    <row r="150" ht="15.75" customHeight="1">
      <c r="A150" s="5" t="str">
        <f t="shared" si="2"/>
        <v>sábado</v>
      </c>
      <c r="B150" s="5" t="s">
        <v>143</v>
      </c>
      <c r="C150" s="37">
        <v>45976.0</v>
      </c>
      <c r="D150" s="28" t="s">
        <v>59</v>
      </c>
      <c r="E150" s="5">
        <v>133.0</v>
      </c>
      <c r="F150" s="5">
        <v>130.0</v>
      </c>
      <c r="G150" s="5">
        <v>1.0</v>
      </c>
      <c r="H150" s="5">
        <v>0.0</v>
      </c>
    </row>
    <row r="151" ht="15.75" customHeight="1">
      <c r="A151" s="5" t="str">
        <f t="shared" si="2"/>
        <v>sábado</v>
      </c>
      <c r="B151" s="5" t="s">
        <v>143</v>
      </c>
      <c r="C151" s="37">
        <v>45976.0</v>
      </c>
      <c r="D151" s="5" t="s">
        <v>145</v>
      </c>
      <c r="E151" s="5">
        <v>103.0</v>
      </c>
      <c r="F151" s="5">
        <v>96.0</v>
      </c>
      <c r="G151" s="5">
        <v>3.0</v>
      </c>
      <c r="H151" s="5">
        <v>0.0</v>
      </c>
    </row>
    <row r="152" ht="15.75" customHeight="1">
      <c r="A152" s="5" t="str">
        <f t="shared" si="2"/>
        <v>sábado</v>
      </c>
      <c r="B152" s="5" t="s">
        <v>143</v>
      </c>
      <c r="C152" s="37">
        <v>45976.0</v>
      </c>
      <c r="D152" s="5" t="s">
        <v>146</v>
      </c>
      <c r="E152" s="5">
        <v>62.0</v>
      </c>
      <c r="F152" s="5">
        <v>49.0</v>
      </c>
      <c r="G152" s="5">
        <v>0.0</v>
      </c>
      <c r="H152" s="5">
        <v>2.0</v>
      </c>
    </row>
    <row r="153" ht="15.75" customHeight="1">
      <c r="A153" s="5" t="str">
        <f t="shared" si="2"/>
        <v>domingo</v>
      </c>
      <c r="B153" s="5" t="s">
        <v>162</v>
      </c>
      <c r="C153" s="37">
        <v>45977.0</v>
      </c>
      <c r="D153" s="5" t="s">
        <v>116</v>
      </c>
      <c r="E153" s="5">
        <v>57.0</v>
      </c>
      <c r="F153" s="5">
        <v>30.0</v>
      </c>
      <c r="G153" s="5">
        <v>10.0</v>
      </c>
      <c r="H153" s="5">
        <v>4.0</v>
      </c>
    </row>
    <row r="154" ht="15.75" customHeight="1">
      <c r="A154" s="5" t="str">
        <f t="shared" si="2"/>
        <v>domingo</v>
      </c>
      <c r="B154" s="5" t="s">
        <v>162</v>
      </c>
      <c r="C154" s="37">
        <v>45977.0</v>
      </c>
      <c r="D154" s="5" t="s">
        <v>43</v>
      </c>
      <c r="E154" s="5">
        <v>70.0</v>
      </c>
      <c r="F154" s="5">
        <v>36.0</v>
      </c>
      <c r="G154" s="5">
        <v>3.0</v>
      </c>
      <c r="H154" s="5">
        <v>7.0</v>
      </c>
    </row>
    <row r="155" ht="15.75" customHeight="1">
      <c r="A155" s="5" t="str">
        <f t="shared" si="2"/>
        <v>domingo</v>
      </c>
      <c r="B155" s="5" t="s">
        <v>162</v>
      </c>
      <c r="C155" s="37">
        <v>45977.0</v>
      </c>
      <c r="D155" s="28" t="s">
        <v>59</v>
      </c>
      <c r="E155" s="5">
        <v>179.0</v>
      </c>
      <c r="F155" s="5">
        <v>174.0</v>
      </c>
      <c r="G155" s="5">
        <v>0.0</v>
      </c>
      <c r="H155" s="5">
        <v>2.0</v>
      </c>
    </row>
    <row r="156" ht="15.75" customHeight="1">
      <c r="A156" s="5" t="str">
        <f t="shared" si="2"/>
        <v>domingo</v>
      </c>
      <c r="B156" s="5" t="s">
        <v>162</v>
      </c>
      <c r="C156" s="37">
        <v>45977.0</v>
      </c>
      <c r="D156" s="5" t="s">
        <v>145</v>
      </c>
      <c r="E156" s="5">
        <v>80.0</v>
      </c>
      <c r="F156" s="5">
        <v>64.0</v>
      </c>
      <c r="G156" s="5">
        <v>4.0</v>
      </c>
      <c r="H156" s="5">
        <v>1.0</v>
      </c>
    </row>
    <row r="157" ht="15.75" customHeight="1">
      <c r="A157" s="5" t="str">
        <f t="shared" si="2"/>
        <v>domingo</v>
      </c>
      <c r="B157" s="5" t="s">
        <v>162</v>
      </c>
      <c r="C157" s="37">
        <v>45977.0</v>
      </c>
      <c r="D157" s="28" t="s">
        <v>52</v>
      </c>
      <c r="E157" s="5">
        <v>31.0</v>
      </c>
      <c r="F157" s="5">
        <v>15.0</v>
      </c>
      <c r="G157" s="5">
        <v>2.0</v>
      </c>
      <c r="H157" s="5">
        <v>4.0</v>
      </c>
    </row>
    <row r="158" ht="15.75" customHeight="1">
      <c r="A158" s="5" t="str">
        <f t="shared" si="2"/>
        <v>domingo</v>
      </c>
      <c r="B158" s="5" t="s">
        <v>162</v>
      </c>
      <c r="C158" s="37">
        <v>45977.0</v>
      </c>
      <c r="D158" s="5" t="s">
        <v>146</v>
      </c>
      <c r="E158" s="5">
        <v>83.0</v>
      </c>
      <c r="F158" s="5">
        <v>51.0</v>
      </c>
      <c r="G158" s="5">
        <v>0.0</v>
      </c>
      <c r="H158" s="5">
        <v>3.0</v>
      </c>
    </row>
    <row r="159" ht="15.75" customHeight="1">
      <c r="A159" s="5" t="str">
        <f t="shared" si="2"/>
        <v>lunes</v>
      </c>
      <c r="B159" s="5" t="s">
        <v>144</v>
      </c>
      <c r="C159" s="37">
        <v>45978.0</v>
      </c>
      <c r="D159" s="28" t="s">
        <v>64</v>
      </c>
      <c r="E159" s="5">
        <v>110.0</v>
      </c>
      <c r="F159" s="5">
        <v>69.0</v>
      </c>
      <c r="G159" s="5">
        <v>9.0</v>
      </c>
      <c r="H159" s="5">
        <v>10.0</v>
      </c>
    </row>
    <row r="160" ht="15.75" customHeight="1">
      <c r="A160" s="5" t="str">
        <f t="shared" si="2"/>
        <v>lunes</v>
      </c>
      <c r="B160" s="5" t="s">
        <v>144</v>
      </c>
      <c r="C160" s="37">
        <v>45978.0</v>
      </c>
      <c r="D160" s="28" t="s">
        <v>58</v>
      </c>
      <c r="E160" s="5">
        <v>83.0</v>
      </c>
      <c r="F160" s="5">
        <v>48.0</v>
      </c>
      <c r="G160" s="5">
        <v>3.0</v>
      </c>
      <c r="H160" s="5">
        <v>5.0</v>
      </c>
    </row>
    <row r="161" ht="15.75" customHeight="1">
      <c r="A161" s="5" t="str">
        <f t="shared" si="2"/>
        <v>lunes</v>
      </c>
      <c r="B161" s="5" t="s">
        <v>144</v>
      </c>
      <c r="C161" s="37">
        <v>45978.0</v>
      </c>
      <c r="D161" s="28" t="s">
        <v>42</v>
      </c>
      <c r="E161" s="5">
        <v>77.0</v>
      </c>
      <c r="F161" s="5">
        <v>57.0</v>
      </c>
      <c r="G161" s="5">
        <v>5.0</v>
      </c>
      <c r="H161" s="5">
        <v>15.0</v>
      </c>
    </row>
    <row r="162" ht="15.75" customHeight="1">
      <c r="A162" s="5" t="str">
        <f t="shared" si="2"/>
        <v>lunes</v>
      </c>
      <c r="B162" s="5" t="s">
        <v>144</v>
      </c>
      <c r="C162" s="37">
        <v>45978.0</v>
      </c>
      <c r="D162" s="28" t="s">
        <v>41</v>
      </c>
      <c r="E162" s="5">
        <v>55.0</v>
      </c>
      <c r="F162" s="5">
        <v>43.0</v>
      </c>
      <c r="G162" s="5">
        <v>2.0</v>
      </c>
      <c r="H162" s="5">
        <v>1.0</v>
      </c>
    </row>
    <row r="163" ht="15.75" customHeight="1">
      <c r="A163" s="5" t="str">
        <f t="shared" si="2"/>
        <v>lunes</v>
      </c>
      <c r="B163" s="5" t="s">
        <v>144</v>
      </c>
      <c r="C163" s="37">
        <v>45978.0</v>
      </c>
      <c r="D163" s="28" t="s">
        <v>39</v>
      </c>
      <c r="E163" s="5">
        <v>58.0</v>
      </c>
      <c r="F163" s="5">
        <v>45.0</v>
      </c>
      <c r="G163" s="5">
        <v>0.0</v>
      </c>
      <c r="H163" s="5">
        <v>6.0</v>
      </c>
    </row>
    <row r="164" ht="15.75" customHeight="1">
      <c r="A164" s="5" t="str">
        <f t="shared" si="2"/>
        <v>lunes</v>
      </c>
      <c r="B164" s="5" t="s">
        <v>144</v>
      </c>
      <c r="C164" s="37">
        <v>45978.0</v>
      </c>
      <c r="D164" s="28" t="s">
        <v>66</v>
      </c>
      <c r="E164" s="5">
        <v>132.0</v>
      </c>
      <c r="F164" s="5">
        <v>117.0</v>
      </c>
      <c r="G164" s="5">
        <v>0.0</v>
      </c>
      <c r="H164" s="5">
        <v>0.0</v>
      </c>
    </row>
    <row r="165" ht="15.75" customHeight="1">
      <c r="A165" s="5" t="str">
        <f t="shared" si="2"/>
        <v>lunes</v>
      </c>
      <c r="B165" s="5" t="s">
        <v>144</v>
      </c>
      <c r="C165" s="37">
        <v>45978.0</v>
      </c>
      <c r="D165" s="28" t="s">
        <v>44</v>
      </c>
      <c r="E165" s="5">
        <v>82.0</v>
      </c>
      <c r="F165" s="5">
        <v>87.0</v>
      </c>
      <c r="G165" s="5">
        <v>0.0</v>
      </c>
      <c r="H165" s="5">
        <v>0.0</v>
      </c>
    </row>
    <row r="166" ht="15.75" customHeight="1">
      <c r="A166" s="5" t="str">
        <f t="shared" si="2"/>
        <v>lunes</v>
      </c>
      <c r="B166" s="5" t="s">
        <v>144</v>
      </c>
      <c r="C166" s="37">
        <v>45978.0</v>
      </c>
      <c r="D166" s="28" t="s">
        <v>65</v>
      </c>
      <c r="E166" s="5">
        <v>89.0</v>
      </c>
      <c r="F166" s="5">
        <v>71.0</v>
      </c>
      <c r="G166" s="5">
        <v>3.0</v>
      </c>
      <c r="H166" s="5">
        <v>2.0</v>
      </c>
    </row>
    <row r="167" ht="15.75" customHeight="1">
      <c r="A167" s="5" t="str">
        <f t="shared" si="2"/>
        <v>lunes</v>
      </c>
      <c r="B167" s="5" t="s">
        <v>144</v>
      </c>
      <c r="C167" s="37">
        <v>45978.0</v>
      </c>
      <c r="D167" s="28" t="s">
        <v>59</v>
      </c>
      <c r="E167" s="5">
        <v>61.0</v>
      </c>
      <c r="F167" s="5">
        <v>34.0</v>
      </c>
      <c r="G167" s="5">
        <v>0.0</v>
      </c>
      <c r="H167" s="5">
        <v>0.0</v>
      </c>
    </row>
    <row r="168" ht="15.75" customHeight="1">
      <c r="A168" s="5" t="str">
        <f t="shared" si="2"/>
        <v>lunes</v>
      </c>
      <c r="B168" s="5" t="s">
        <v>144</v>
      </c>
      <c r="C168" s="37">
        <v>45978.0</v>
      </c>
      <c r="D168" s="5" t="s">
        <v>90</v>
      </c>
      <c r="E168" s="5">
        <v>196.0</v>
      </c>
      <c r="F168" s="5">
        <v>96.0</v>
      </c>
      <c r="G168" s="5">
        <v>0.0</v>
      </c>
      <c r="H168" s="5">
        <v>0.0</v>
      </c>
    </row>
    <row r="169" ht="15.75" customHeight="1">
      <c r="A169" s="5" t="str">
        <f t="shared" si="2"/>
        <v>lunes</v>
      </c>
      <c r="B169" s="5" t="s">
        <v>144</v>
      </c>
      <c r="C169" s="37">
        <v>45978.0</v>
      </c>
      <c r="D169" s="5" t="s">
        <v>93</v>
      </c>
      <c r="E169" s="5">
        <v>119.0</v>
      </c>
      <c r="F169" s="5">
        <v>72.0</v>
      </c>
      <c r="G169" s="5">
        <v>0.0</v>
      </c>
      <c r="H169" s="5">
        <v>0.0</v>
      </c>
    </row>
    <row r="170" ht="15.75" customHeight="1">
      <c r="A170" s="5" t="str">
        <f t="shared" si="2"/>
        <v>lunes</v>
      </c>
      <c r="B170" s="5" t="s">
        <v>144</v>
      </c>
      <c r="C170" s="37">
        <v>45978.0</v>
      </c>
      <c r="D170" s="5" t="s">
        <v>89</v>
      </c>
      <c r="E170" s="5">
        <v>88.0</v>
      </c>
      <c r="F170" s="5">
        <v>54.0</v>
      </c>
      <c r="G170" s="5">
        <v>0.0</v>
      </c>
      <c r="H170" s="5">
        <v>7.0</v>
      </c>
    </row>
    <row r="171" ht="15.75" customHeight="1">
      <c r="A171" s="5" t="str">
        <f t="shared" si="2"/>
        <v>martes</v>
      </c>
      <c r="B171" s="5" t="s">
        <v>144</v>
      </c>
      <c r="C171" s="37">
        <v>45979.0</v>
      </c>
      <c r="D171" s="28" t="s">
        <v>64</v>
      </c>
      <c r="E171" s="5">
        <v>120.0</v>
      </c>
      <c r="F171" s="5">
        <v>81.0</v>
      </c>
      <c r="G171" s="5">
        <v>8.0</v>
      </c>
      <c r="H171" s="5">
        <v>18.0</v>
      </c>
    </row>
    <row r="172" ht="15.75" customHeight="1">
      <c r="A172" s="5" t="str">
        <f t="shared" si="2"/>
        <v>martes</v>
      </c>
      <c r="B172" s="5" t="s">
        <v>144</v>
      </c>
      <c r="C172" s="37">
        <v>45979.0</v>
      </c>
      <c r="D172" s="28" t="s">
        <v>58</v>
      </c>
      <c r="E172" s="5">
        <v>58.0</v>
      </c>
      <c r="F172" s="5">
        <v>36.0</v>
      </c>
      <c r="G172" s="5">
        <v>5.0</v>
      </c>
      <c r="H172" s="5">
        <v>0.0</v>
      </c>
    </row>
    <row r="173" ht="15.75" customHeight="1">
      <c r="A173" s="5" t="str">
        <f t="shared" si="2"/>
        <v>martes</v>
      </c>
      <c r="B173" s="5" t="s">
        <v>144</v>
      </c>
      <c r="C173" s="37">
        <v>45979.0</v>
      </c>
      <c r="D173" s="28" t="s">
        <v>39</v>
      </c>
      <c r="E173" s="5">
        <v>65.0</v>
      </c>
      <c r="F173" s="5">
        <v>63.0</v>
      </c>
      <c r="G173" s="5">
        <v>1.0</v>
      </c>
      <c r="H173" s="5">
        <v>15.0</v>
      </c>
    </row>
    <row r="174" ht="15.75" customHeight="1">
      <c r="A174" s="5" t="str">
        <f t="shared" si="2"/>
        <v>martes</v>
      </c>
      <c r="B174" s="5" t="s">
        <v>144</v>
      </c>
      <c r="C174" s="37">
        <v>45979.0</v>
      </c>
      <c r="D174" s="28" t="s">
        <v>42</v>
      </c>
      <c r="E174" s="5">
        <v>67.0</v>
      </c>
      <c r="F174" s="5">
        <v>34.0</v>
      </c>
      <c r="G174" s="5">
        <v>7.0</v>
      </c>
      <c r="H174" s="5">
        <v>8.0</v>
      </c>
    </row>
    <row r="175" ht="15.75" customHeight="1">
      <c r="A175" s="5" t="str">
        <f t="shared" si="2"/>
        <v>martes</v>
      </c>
      <c r="B175" s="5" t="s">
        <v>144</v>
      </c>
      <c r="C175" s="37">
        <v>45979.0</v>
      </c>
      <c r="D175" s="28" t="s">
        <v>41</v>
      </c>
      <c r="E175" s="5">
        <v>62.0</v>
      </c>
      <c r="F175" s="5">
        <v>25.0</v>
      </c>
      <c r="G175" s="5">
        <v>2.0</v>
      </c>
      <c r="H175" s="5">
        <v>1.0</v>
      </c>
    </row>
    <row r="176" ht="15.75" customHeight="1">
      <c r="A176" s="5" t="str">
        <f t="shared" si="2"/>
        <v>martes</v>
      </c>
      <c r="B176" s="5" t="s">
        <v>144</v>
      </c>
      <c r="C176" s="37">
        <v>45979.0</v>
      </c>
      <c r="D176" s="28" t="s">
        <v>65</v>
      </c>
      <c r="E176" s="5">
        <v>82.0</v>
      </c>
      <c r="F176" s="5">
        <v>69.0</v>
      </c>
      <c r="G176" s="5">
        <v>1.0</v>
      </c>
      <c r="H176" s="5">
        <v>3.0</v>
      </c>
    </row>
    <row r="177" ht="15.75" customHeight="1">
      <c r="A177" s="5" t="str">
        <f t="shared" si="2"/>
        <v>martes</v>
      </c>
      <c r="B177" s="5" t="s">
        <v>144</v>
      </c>
      <c r="C177" s="37">
        <v>45979.0</v>
      </c>
      <c r="D177" s="28" t="s">
        <v>66</v>
      </c>
      <c r="E177" s="5">
        <v>139.0</v>
      </c>
      <c r="F177" s="5">
        <v>121.0</v>
      </c>
      <c r="G177" s="5">
        <v>0.0</v>
      </c>
      <c r="H177" s="5">
        <v>3.0</v>
      </c>
    </row>
    <row r="178" ht="15.75" customHeight="1">
      <c r="A178" s="5" t="str">
        <f t="shared" si="2"/>
        <v>martes</v>
      </c>
      <c r="B178" s="5" t="s">
        <v>144</v>
      </c>
      <c r="C178" s="37">
        <v>45979.0</v>
      </c>
      <c r="D178" s="28" t="s">
        <v>67</v>
      </c>
      <c r="E178" s="5">
        <v>108.0</v>
      </c>
      <c r="F178" s="5">
        <v>98.0</v>
      </c>
      <c r="G178" s="5">
        <v>2.0</v>
      </c>
      <c r="H178" s="5">
        <v>0.0</v>
      </c>
    </row>
    <row r="179" ht="15.75" customHeight="1">
      <c r="A179" s="5" t="str">
        <f t="shared" si="2"/>
        <v>martes</v>
      </c>
      <c r="B179" s="5" t="s">
        <v>144</v>
      </c>
      <c r="C179" s="37">
        <v>45979.0</v>
      </c>
      <c r="D179" s="28" t="s">
        <v>59</v>
      </c>
      <c r="E179" s="5">
        <v>74.0</v>
      </c>
      <c r="F179" s="5">
        <v>51.0</v>
      </c>
      <c r="G179" s="5">
        <v>0.0</v>
      </c>
      <c r="H179" s="5">
        <v>0.0</v>
      </c>
    </row>
    <row r="180" ht="15.75" customHeight="1">
      <c r="A180" s="5" t="str">
        <f t="shared" si="2"/>
        <v>martes</v>
      </c>
      <c r="B180" s="5" t="s">
        <v>144</v>
      </c>
      <c r="C180" s="37">
        <v>45979.0</v>
      </c>
      <c r="D180" s="5" t="s">
        <v>89</v>
      </c>
      <c r="E180" s="5">
        <v>79.0</v>
      </c>
      <c r="F180" s="5">
        <v>40.0</v>
      </c>
      <c r="G180" s="5">
        <v>1.0</v>
      </c>
      <c r="H180" s="5">
        <v>11.0</v>
      </c>
    </row>
    <row r="181" ht="15.75" customHeight="1">
      <c r="A181" s="5" t="str">
        <f t="shared" si="2"/>
        <v>martes</v>
      </c>
      <c r="B181" s="5" t="s">
        <v>144</v>
      </c>
      <c r="C181" s="37">
        <v>45979.0</v>
      </c>
      <c r="D181" s="5" t="s">
        <v>90</v>
      </c>
      <c r="E181" s="5">
        <v>207.0</v>
      </c>
      <c r="F181" s="5">
        <v>90.0</v>
      </c>
      <c r="G181" s="5">
        <v>0.0</v>
      </c>
      <c r="H181" s="5">
        <v>0.0</v>
      </c>
    </row>
    <row r="182" ht="15.75" customHeight="1">
      <c r="A182" s="5" t="str">
        <f t="shared" si="2"/>
        <v>martes</v>
      </c>
      <c r="B182" s="5" t="s">
        <v>144</v>
      </c>
      <c r="C182" s="37">
        <v>45979.0</v>
      </c>
      <c r="D182" s="5" t="s">
        <v>93</v>
      </c>
      <c r="E182" s="5">
        <v>91.0</v>
      </c>
      <c r="F182" s="5">
        <v>60.0</v>
      </c>
      <c r="G182" s="5">
        <v>0.0</v>
      </c>
      <c r="H182" s="5">
        <v>0.0</v>
      </c>
    </row>
    <row r="183" ht="15.75" customHeight="1">
      <c r="A183" s="5" t="str">
        <f t="shared" si="2"/>
        <v>miércoles</v>
      </c>
      <c r="B183" s="5" t="s">
        <v>144</v>
      </c>
      <c r="C183" s="37">
        <v>45980.0</v>
      </c>
      <c r="D183" s="28" t="s">
        <v>64</v>
      </c>
      <c r="E183" s="5">
        <v>158.0</v>
      </c>
      <c r="F183" s="5">
        <v>122.0</v>
      </c>
      <c r="G183" s="5">
        <v>5.0</v>
      </c>
      <c r="H183" s="5">
        <v>22.0</v>
      </c>
    </row>
    <row r="184" ht="15.75" customHeight="1">
      <c r="A184" s="5" t="str">
        <f t="shared" si="2"/>
        <v>miércoles</v>
      </c>
      <c r="B184" s="5" t="s">
        <v>144</v>
      </c>
      <c r="C184" s="37">
        <v>45980.0</v>
      </c>
      <c r="D184" s="28" t="s">
        <v>58</v>
      </c>
      <c r="E184" s="5">
        <v>60.0</v>
      </c>
      <c r="F184" s="5">
        <v>34.0</v>
      </c>
      <c r="G184" s="5">
        <v>3.0</v>
      </c>
      <c r="H184" s="5">
        <v>7.0</v>
      </c>
    </row>
    <row r="185" ht="15.75" customHeight="1">
      <c r="A185" s="5" t="str">
        <f t="shared" si="2"/>
        <v>miércoles</v>
      </c>
      <c r="B185" s="5" t="s">
        <v>144</v>
      </c>
      <c r="C185" s="37">
        <v>45980.0</v>
      </c>
      <c r="D185" s="28" t="s">
        <v>42</v>
      </c>
      <c r="E185" s="5">
        <v>83.0</v>
      </c>
      <c r="F185" s="5">
        <v>56.0</v>
      </c>
      <c r="G185" s="5">
        <v>4.0</v>
      </c>
      <c r="H185" s="5">
        <v>9.0</v>
      </c>
    </row>
    <row r="186" ht="15.75" customHeight="1">
      <c r="A186" s="5" t="str">
        <f t="shared" si="2"/>
        <v>miércoles</v>
      </c>
      <c r="B186" s="5" t="s">
        <v>144</v>
      </c>
      <c r="C186" s="37">
        <v>45980.0</v>
      </c>
      <c r="D186" s="28" t="s">
        <v>41</v>
      </c>
      <c r="E186" s="5">
        <v>82.0</v>
      </c>
      <c r="F186" s="5">
        <v>62.0</v>
      </c>
      <c r="G186" s="5">
        <v>1.0</v>
      </c>
      <c r="H186" s="5">
        <v>1.0</v>
      </c>
    </row>
    <row r="187" ht="15.75" customHeight="1">
      <c r="A187" s="5" t="str">
        <f t="shared" si="2"/>
        <v>miércoles</v>
      </c>
      <c r="B187" s="5" t="s">
        <v>144</v>
      </c>
      <c r="C187" s="37">
        <v>45980.0</v>
      </c>
      <c r="D187" s="28" t="s">
        <v>51</v>
      </c>
      <c r="E187" s="5">
        <v>82.0</v>
      </c>
      <c r="F187" s="5">
        <v>57.0</v>
      </c>
      <c r="G187" s="5">
        <v>0.0</v>
      </c>
      <c r="H187" s="5">
        <v>11.0</v>
      </c>
    </row>
    <row r="188" ht="15.75" customHeight="1">
      <c r="A188" s="5" t="str">
        <f t="shared" si="2"/>
        <v>miércoles</v>
      </c>
      <c r="B188" s="5" t="s">
        <v>144</v>
      </c>
      <c r="C188" s="37">
        <v>45980.0</v>
      </c>
      <c r="D188" s="28" t="s">
        <v>39</v>
      </c>
      <c r="E188" s="5">
        <v>71.0</v>
      </c>
      <c r="F188" s="5">
        <v>53.0</v>
      </c>
      <c r="G188" s="5">
        <v>1.0</v>
      </c>
      <c r="H188" s="5">
        <v>14.0</v>
      </c>
    </row>
    <row r="189" ht="15.75" customHeight="1">
      <c r="A189" s="5" t="str">
        <f t="shared" si="2"/>
        <v>miércoles</v>
      </c>
      <c r="B189" s="5" t="s">
        <v>144</v>
      </c>
      <c r="C189" s="37">
        <v>45980.0</v>
      </c>
      <c r="D189" s="28" t="s">
        <v>65</v>
      </c>
      <c r="E189" s="5">
        <v>87.0</v>
      </c>
      <c r="F189" s="5">
        <v>71.0</v>
      </c>
      <c r="G189" s="5">
        <v>1.0</v>
      </c>
      <c r="H189" s="5">
        <v>1.0</v>
      </c>
    </row>
    <row r="190" ht="15.75" customHeight="1">
      <c r="A190" s="5" t="str">
        <f t="shared" si="2"/>
        <v>miércoles</v>
      </c>
      <c r="B190" s="5" t="s">
        <v>144</v>
      </c>
      <c r="C190" s="37">
        <v>45980.0</v>
      </c>
      <c r="D190" s="28" t="s">
        <v>66</v>
      </c>
      <c r="E190" s="5">
        <v>117.0</v>
      </c>
      <c r="F190" s="5">
        <v>118.0</v>
      </c>
      <c r="G190" s="5">
        <v>0.0</v>
      </c>
      <c r="H190" s="5">
        <v>2.0</v>
      </c>
    </row>
    <row r="191" ht="15.75" customHeight="1">
      <c r="A191" s="5" t="str">
        <f t="shared" si="2"/>
        <v>miércoles</v>
      </c>
      <c r="B191" s="5" t="s">
        <v>144</v>
      </c>
      <c r="C191" s="37">
        <v>45980.0</v>
      </c>
      <c r="D191" s="28" t="s">
        <v>67</v>
      </c>
      <c r="E191" s="5">
        <v>108.0</v>
      </c>
      <c r="F191" s="5">
        <v>85.0</v>
      </c>
      <c r="G191" s="5">
        <v>2.0</v>
      </c>
      <c r="H191" s="5">
        <v>2.0</v>
      </c>
    </row>
    <row r="192" ht="15.75" customHeight="1">
      <c r="A192" s="5" t="str">
        <f t="shared" si="2"/>
        <v>miércoles</v>
      </c>
      <c r="B192" s="5" t="s">
        <v>144</v>
      </c>
      <c r="C192" s="37">
        <v>45980.0</v>
      </c>
      <c r="D192" s="5" t="s">
        <v>93</v>
      </c>
      <c r="E192" s="5">
        <v>111.0</v>
      </c>
      <c r="F192" s="5">
        <v>75.0</v>
      </c>
      <c r="G192" s="5">
        <v>0.0</v>
      </c>
      <c r="H192" s="5">
        <v>0.0</v>
      </c>
    </row>
    <row r="193" ht="15.75" customHeight="1">
      <c r="A193" s="5" t="str">
        <f t="shared" si="2"/>
        <v>miércoles</v>
      </c>
      <c r="B193" s="5" t="s">
        <v>144</v>
      </c>
      <c r="C193" s="37">
        <v>45980.0</v>
      </c>
      <c r="D193" s="5" t="s">
        <v>108</v>
      </c>
      <c r="E193" s="5">
        <v>138.0</v>
      </c>
      <c r="F193" s="5">
        <v>62.0</v>
      </c>
      <c r="G193" s="5">
        <v>2.0</v>
      </c>
      <c r="H193" s="5">
        <v>0.0</v>
      </c>
    </row>
    <row r="194" ht="15.75" customHeight="1">
      <c r="A194" s="5" t="str">
        <f t="shared" si="2"/>
        <v>miércoles</v>
      </c>
      <c r="B194" s="5" t="s">
        <v>144</v>
      </c>
      <c r="C194" s="37">
        <v>45980.0</v>
      </c>
      <c r="D194" s="5" t="s">
        <v>107</v>
      </c>
      <c r="E194" s="5">
        <v>63.0</v>
      </c>
      <c r="F194" s="5">
        <v>18.0</v>
      </c>
      <c r="G194" s="5">
        <v>0.0</v>
      </c>
      <c r="H194" s="5">
        <v>0.0</v>
      </c>
    </row>
    <row r="195" ht="15.75" customHeight="1">
      <c r="A195" s="5" t="str">
        <f t="shared" si="2"/>
        <v>miércoles</v>
      </c>
      <c r="B195" s="5" t="s">
        <v>144</v>
      </c>
      <c r="C195" s="37">
        <v>45980.0</v>
      </c>
      <c r="D195" s="5" t="s">
        <v>89</v>
      </c>
      <c r="E195" s="5">
        <v>107.0</v>
      </c>
      <c r="F195" s="5">
        <v>67.0</v>
      </c>
      <c r="G195" s="5">
        <v>0.0</v>
      </c>
      <c r="H195" s="5">
        <v>7.0</v>
      </c>
    </row>
    <row r="196" ht="15.75" customHeight="1">
      <c r="A196" s="5" t="str">
        <f t="shared" si="2"/>
        <v>jueves</v>
      </c>
      <c r="B196" s="5" t="s">
        <v>144</v>
      </c>
      <c r="C196" s="37">
        <v>45981.0</v>
      </c>
      <c r="D196" s="28" t="s">
        <v>39</v>
      </c>
      <c r="E196" s="5">
        <v>49.0</v>
      </c>
      <c r="F196" s="5">
        <v>42.0</v>
      </c>
      <c r="G196" s="5">
        <v>1.0</v>
      </c>
      <c r="H196" s="5">
        <v>22.0</v>
      </c>
    </row>
    <row r="197" ht="15.75" customHeight="1">
      <c r="A197" s="5" t="str">
        <f t="shared" si="2"/>
        <v>jueves</v>
      </c>
      <c r="B197" s="5" t="s">
        <v>144</v>
      </c>
      <c r="C197" s="37">
        <v>45981.0</v>
      </c>
      <c r="D197" s="5" t="s">
        <v>116</v>
      </c>
      <c r="E197" s="5">
        <v>35.0</v>
      </c>
      <c r="F197" s="5">
        <v>24.0</v>
      </c>
      <c r="G197" s="5">
        <v>2.0</v>
      </c>
      <c r="H197" s="5">
        <v>5.0</v>
      </c>
    </row>
    <row r="198" ht="15.75" customHeight="1">
      <c r="A198" s="5" t="str">
        <f t="shared" si="2"/>
        <v>jueves</v>
      </c>
      <c r="B198" s="5" t="s">
        <v>144</v>
      </c>
      <c r="C198" s="37">
        <v>45981.0</v>
      </c>
      <c r="D198" s="28" t="s">
        <v>64</v>
      </c>
      <c r="E198" s="5">
        <v>123.0</v>
      </c>
      <c r="F198" s="5">
        <v>79.0</v>
      </c>
      <c r="G198" s="5">
        <v>5.0</v>
      </c>
      <c r="H198" s="5">
        <v>15.0</v>
      </c>
    </row>
    <row r="199" ht="15.75" customHeight="1">
      <c r="A199" s="5" t="str">
        <f t="shared" si="2"/>
        <v>jueves</v>
      </c>
      <c r="B199" s="5" t="s">
        <v>144</v>
      </c>
      <c r="C199" s="37">
        <v>45981.0</v>
      </c>
      <c r="D199" s="28" t="s">
        <v>58</v>
      </c>
      <c r="E199" s="5">
        <v>83.0</v>
      </c>
      <c r="F199" s="5">
        <v>56.0</v>
      </c>
      <c r="G199" s="5">
        <v>4.0</v>
      </c>
      <c r="H199" s="5">
        <v>8.0</v>
      </c>
    </row>
    <row r="200" ht="15.75" customHeight="1">
      <c r="A200" s="5" t="str">
        <f t="shared" si="2"/>
        <v>jueves</v>
      </c>
      <c r="B200" s="5" t="s">
        <v>144</v>
      </c>
      <c r="C200" s="37">
        <v>45981.0</v>
      </c>
      <c r="D200" s="28" t="s">
        <v>41</v>
      </c>
      <c r="E200" s="5">
        <v>70.0</v>
      </c>
      <c r="F200" s="5">
        <v>54.0</v>
      </c>
      <c r="G200" s="5">
        <v>1.0</v>
      </c>
      <c r="H200" s="5">
        <v>2.0</v>
      </c>
    </row>
    <row r="201" ht="15.75" customHeight="1">
      <c r="A201" s="5" t="str">
        <f t="shared" si="2"/>
        <v>jueves</v>
      </c>
      <c r="B201" s="5" t="s">
        <v>144</v>
      </c>
      <c r="C201" s="37">
        <v>45981.0</v>
      </c>
      <c r="D201" s="28" t="s">
        <v>42</v>
      </c>
      <c r="E201" s="5">
        <v>55.0</v>
      </c>
      <c r="F201" s="5">
        <v>34.0</v>
      </c>
      <c r="G201" s="5">
        <v>1.0</v>
      </c>
      <c r="H201" s="5">
        <v>9.0</v>
      </c>
    </row>
    <row r="202" ht="15.75" customHeight="1">
      <c r="A202" s="5" t="str">
        <f t="shared" si="2"/>
        <v>jueves</v>
      </c>
      <c r="B202" s="5" t="s">
        <v>144</v>
      </c>
      <c r="C202" s="37">
        <v>45981.0</v>
      </c>
      <c r="D202" s="28" t="s">
        <v>51</v>
      </c>
      <c r="E202" s="5">
        <v>51.0</v>
      </c>
      <c r="F202" s="5">
        <v>43.0</v>
      </c>
      <c r="G202" s="5">
        <v>1.0</v>
      </c>
      <c r="H202" s="5">
        <v>9.0</v>
      </c>
    </row>
    <row r="203" ht="15.75" customHeight="1">
      <c r="A203" s="5" t="str">
        <f t="shared" si="2"/>
        <v>jueves</v>
      </c>
      <c r="B203" s="5" t="s">
        <v>144</v>
      </c>
      <c r="C203" s="37">
        <v>45981.0</v>
      </c>
      <c r="D203" s="28" t="s">
        <v>52</v>
      </c>
      <c r="E203" s="5">
        <v>31.0</v>
      </c>
      <c r="F203" s="5">
        <v>26.0</v>
      </c>
      <c r="G203" s="5">
        <v>1.0</v>
      </c>
      <c r="H203" s="5">
        <v>1.0</v>
      </c>
    </row>
    <row r="204" ht="15.75" customHeight="1">
      <c r="A204" s="5" t="str">
        <f t="shared" si="2"/>
        <v>jueves</v>
      </c>
      <c r="B204" s="5" t="s">
        <v>144</v>
      </c>
      <c r="C204" s="37">
        <v>45981.0</v>
      </c>
      <c r="D204" s="5" t="s">
        <v>145</v>
      </c>
      <c r="E204" s="5">
        <v>28.0</v>
      </c>
      <c r="F204" s="5">
        <v>20.0</v>
      </c>
      <c r="G204" s="5">
        <v>5.0</v>
      </c>
      <c r="H204" s="5">
        <v>3.0</v>
      </c>
    </row>
    <row r="205" ht="15.75" customHeight="1">
      <c r="A205" s="5" t="str">
        <f t="shared" si="2"/>
        <v>jueves</v>
      </c>
      <c r="B205" s="5" t="s">
        <v>144</v>
      </c>
      <c r="C205" s="37">
        <v>45981.0</v>
      </c>
      <c r="D205" s="28" t="s">
        <v>65</v>
      </c>
      <c r="E205" s="5">
        <v>64.0</v>
      </c>
      <c r="F205" s="5">
        <v>53.0</v>
      </c>
      <c r="G205" s="5">
        <v>2.0</v>
      </c>
      <c r="H205" s="5">
        <v>1.0</v>
      </c>
    </row>
    <row r="206" ht="15.75" customHeight="1">
      <c r="A206" s="5" t="str">
        <f t="shared" si="2"/>
        <v>jueves</v>
      </c>
      <c r="B206" s="5" t="s">
        <v>144</v>
      </c>
      <c r="C206" s="37">
        <v>45981.0</v>
      </c>
      <c r="D206" s="28" t="s">
        <v>66</v>
      </c>
      <c r="E206" s="5">
        <v>109.0</v>
      </c>
      <c r="F206" s="5">
        <v>109.0</v>
      </c>
      <c r="G206" s="5">
        <v>0.0</v>
      </c>
      <c r="H206" s="5">
        <v>1.0</v>
      </c>
    </row>
    <row r="207" ht="15.75" customHeight="1">
      <c r="A207" s="5" t="str">
        <f t="shared" si="2"/>
        <v>jueves</v>
      </c>
      <c r="B207" s="5" t="s">
        <v>144</v>
      </c>
      <c r="C207" s="37">
        <v>45981.0</v>
      </c>
      <c r="D207" s="5" t="s">
        <v>89</v>
      </c>
      <c r="E207" s="5">
        <v>75.0</v>
      </c>
      <c r="F207" s="5">
        <v>50.0</v>
      </c>
      <c r="G207" s="5">
        <v>1.0</v>
      </c>
      <c r="H207" s="5">
        <v>1.0</v>
      </c>
    </row>
    <row r="208" ht="15.75" customHeight="1">
      <c r="A208" s="5" t="str">
        <f t="shared" si="2"/>
        <v>jueves</v>
      </c>
      <c r="B208" s="5" t="s">
        <v>144</v>
      </c>
      <c r="C208" s="37">
        <v>45981.0</v>
      </c>
      <c r="D208" s="5" t="s">
        <v>108</v>
      </c>
      <c r="E208" s="5">
        <v>194.0</v>
      </c>
      <c r="F208" s="5">
        <v>98.0</v>
      </c>
      <c r="G208" s="5">
        <v>1.0</v>
      </c>
      <c r="H208" s="5">
        <v>5.0</v>
      </c>
    </row>
    <row r="209" ht="15.75" customHeight="1">
      <c r="A209" s="5" t="str">
        <f t="shared" si="2"/>
        <v>jueves</v>
      </c>
      <c r="B209" s="5" t="s">
        <v>144</v>
      </c>
      <c r="C209" s="37">
        <v>45981.0</v>
      </c>
      <c r="D209" s="5" t="s">
        <v>117</v>
      </c>
      <c r="E209" s="5">
        <v>179.0</v>
      </c>
      <c r="F209" s="5">
        <v>71.0</v>
      </c>
      <c r="G209" s="5">
        <v>0.0</v>
      </c>
      <c r="H209" s="5">
        <v>0.0</v>
      </c>
    </row>
    <row r="210" ht="15.75" customHeight="1">
      <c r="A210" s="5" t="str">
        <f t="shared" si="2"/>
        <v>jueves</v>
      </c>
      <c r="B210" s="5" t="s">
        <v>144</v>
      </c>
      <c r="C210" s="37">
        <v>45981.0</v>
      </c>
      <c r="D210" s="5" t="s">
        <v>93</v>
      </c>
      <c r="E210" s="5">
        <v>43.0</v>
      </c>
      <c r="F210" s="5">
        <v>55.0</v>
      </c>
      <c r="G210" s="5">
        <v>0.0</v>
      </c>
      <c r="H210" s="5">
        <v>0.0</v>
      </c>
    </row>
    <row r="211" ht="15.75" customHeight="1">
      <c r="A211" s="5" t="str">
        <f t="shared" si="2"/>
        <v>jueves</v>
      </c>
      <c r="B211" s="5" t="s">
        <v>144</v>
      </c>
      <c r="C211" s="37">
        <v>45981.0</v>
      </c>
      <c r="D211" s="5" t="s">
        <v>107</v>
      </c>
      <c r="E211" s="5">
        <v>158.0</v>
      </c>
      <c r="F211" s="5">
        <v>61.0</v>
      </c>
      <c r="G211" s="5">
        <v>0.0</v>
      </c>
      <c r="H211" s="5">
        <v>0.0</v>
      </c>
    </row>
    <row r="212" ht="15.75" customHeight="1">
      <c r="A212" s="5" t="str">
        <f t="shared" si="2"/>
        <v>viernes</v>
      </c>
      <c r="B212" s="5" t="s">
        <v>143</v>
      </c>
      <c r="C212" s="37">
        <v>45982.0</v>
      </c>
      <c r="D212" s="28" t="s">
        <v>39</v>
      </c>
      <c r="E212" s="5">
        <v>41.0</v>
      </c>
      <c r="F212" s="5">
        <v>26.0</v>
      </c>
      <c r="G212" s="5">
        <v>1.0</v>
      </c>
      <c r="H212" s="5">
        <v>14.0</v>
      </c>
    </row>
    <row r="213" ht="15.75" customHeight="1">
      <c r="A213" s="5" t="str">
        <f t="shared" si="2"/>
        <v>viernes</v>
      </c>
      <c r="B213" s="5" t="s">
        <v>143</v>
      </c>
      <c r="C213" s="37">
        <v>45982.0</v>
      </c>
      <c r="D213" s="5" t="s">
        <v>116</v>
      </c>
      <c r="E213" s="5">
        <v>49.0</v>
      </c>
      <c r="F213" s="5">
        <v>39.0</v>
      </c>
      <c r="G213" s="5">
        <v>10.0</v>
      </c>
      <c r="H213" s="5">
        <v>4.0</v>
      </c>
    </row>
    <row r="214" ht="15.75" customHeight="1">
      <c r="A214" s="5" t="str">
        <f t="shared" si="2"/>
        <v>viernes</v>
      </c>
      <c r="B214" s="5" t="s">
        <v>143</v>
      </c>
      <c r="C214" s="37">
        <v>45982.0</v>
      </c>
      <c r="D214" s="28" t="s">
        <v>51</v>
      </c>
      <c r="E214" s="5">
        <v>83.0</v>
      </c>
      <c r="F214" s="5">
        <v>61.0</v>
      </c>
      <c r="G214" s="5">
        <v>1.0</v>
      </c>
      <c r="H214" s="5">
        <v>16.0</v>
      </c>
    </row>
    <row r="215" ht="15.75" customHeight="1">
      <c r="A215" s="5" t="str">
        <f t="shared" si="2"/>
        <v>viernes</v>
      </c>
      <c r="B215" s="5" t="s">
        <v>143</v>
      </c>
      <c r="C215" s="37">
        <v>45982.0</v>
      </c>
      <c r="D215" s="28" t="s">
        <v>58</v>
      </c>
      <c r="E215" s="5">
        <v>66.0</v>
      </c>
      <c r="F215" s="5">
        <v>47.0</v>
      </c>
      <c r="G215" s="5">
        <v>4.0</v>
      </c>
      <c r="H215" s="5">
        <v>9.0</v>
      </c>
    </row>
    <row r="216" ht="15.75" customHeight="1">
      <c r="A216" s="5" t="str">
        <f t="shared" si="2"/>
        <v>viernes</v>
      </c>
      <c r="B216" s="5" t="s">
        <v>143</v>
      </c>
      <c r="C216" s="37">
        <v>45982.0</v>
      </c>
      <c r="D216" s="28" t="s">
        <v>52</v>
      </c>
      <c r="E216" s="5">
        <v>33.0</v>
      </c>
      <c r="F216" s="5">
        <v>18.0</v>
      </c>
      <c r="G216" s="5">
        <v>3.0</v>
      </c>
      <c r="H216" s="5">
        <v>6.0</v>
      </c>
    </row>
    <row r="217" ht="15.75" customHeight="1">
      <c r="A217" s="5" t="str">
        <f t="shared" si="2"/>
        <v>viernes</v>
      </c>
      <c r="B217" s="5" t="s">
        <v>143</v>
      </c>
      <c r="C217" s="37">
        <v>45982.0</v>
      </c>
      <c r="D217" s="28" t="s">
        <v>64</v>
      </c>
      <c r="E217" s="5">
        <v>125.0</v>
      </c>
      <c r="F217" s="5">
        <v>75.0</v>
      </c>
      <c r="G217" s="5">
        <v>6.0</v>
      </c>
      <c r="H217" s="5">
        <v>27.0</v>
      </c>
    </row>
    <row r="218" ht="15.75" customHeight="1">
      <c r="A218" s="5" t="str">
        <f t="shared" si="2"/>
        <v>viernes</v>
      </c>
      <c r="B218" s="5" t="s">
        <v>143</v>
      </c>
      <c r="C218" s="37">
        <v>45982.0</v>
      </c>
      <c r="D218" s="28" t="s">
        <v>65</v>
      </c>
      <c r="E218" s="5">
        <v>46.0</v>
      </c>
      <c r="F218" s="5">
        <v>38.0</v>
      </c>
      <c r="G218" s="5">
        <v>1.0</v>
      </c>
      <c r="H218" s="5">
        <v>0.0</v>
      </c>
    </row>
    <row r="219" ht="15.75" customHeight="1">
      <c r="A219" s="5" t="str">
        <f t="shared" si="2"/>
        <v>viernes</v>
      </c>
      <c r="B219" s="5" t="s">
        <v>143</v>
      </c>
      <c r="C219" s="37">
        <v>45982.0</v>
      </c>
      <c r="D219" s="28" t="s">
        <v>66</v>
      </c>
      <c r="E219" s="5">
        <v>110.0</v>
      </c>
      <c r="F219" s="5">
        <v>95.0</v>
      </c>
      <c r="G219" s="5">
        <v>0.0</v>
      </c>
      <c r="H219" s="5">
        <v>6.0</v>
      </c>
    </row>
    <row r="220" ht="15.75" customHeight="1">
      <c r="A220" s="5" t="str">
        <f t="shared" si="2"/>
        <v>sábado</v>
      </c>
      <c r="B220" s="5" t="s">
        <v>162</v>
      </c>
      <c r="C220" s="37">
        <v>45983.0</v>
      </c>
      <c r="D220" s="5" t="s">
        <v>116</v>
      </c>
      <c r="E220" s="5">
        <v>45.0</v>
      </c>
      <c r="F220" s="5">
        <v>31.0</v>
      </c>
      <c r="G220" s="5">
        <v>3.0</v>
      </c>
      <c r="H220" s="5">
        <v>5.0</v>
      </c>
    </row>
    <row r="221" ht="15.75" customHeight="1">
      <c r="A221" s="5" t="str">
        <f t="shared" si="2"/>
        <v>sábado</v>
      </c>
      <c r="B221" s="5" t="s">
        <v>162</v>
      </c>
      <c r="C221" s="37">
        <v>45983.0</v>
      </c>
      <c r="D221" s="5" t="s">
        <v>43</v>
      </c>
      <c r="E221" s="5">
        <v>59.0</v>
      </c>
      <c r="F221" s="5">
        <v>35.0</v>
      </c>
      <c r="G221" s="5">
        <v>2.0</v>
      </c>
      <c r="H221" s="5">
        <v>22.0</v>
      </c>
    </row>
    <row r="222" ht="15.75" customHeight="1">
      <c r="A222" s="5" t="str">
        <f t="shared" si="2"/>
        <v>sábado</v>
      </c>
      <c r="B222" s="5" t="s">
        <v>162</v>
      </c>
      <c r="C222" s="37">
        <v>45983.0</v>
      </c>
      <c r="D222" s="28" t="s">
        <v>51</v>
      </c>
      <c r="E222" s="5">
        <v>81.0</v>
      </c>
      <c r="F222" s="5">
        <v>70.0</v>
      </c>
      <c r="G222" s="5">
        <v>2.0</v>
      </c>
      <c r="H222" s="5">
        <v>12.0</v>
      </c>
    </row>
    <row r="223" ht="15.75" customHeight="1">
      <c r="A223" s="5" t="str">
        <f t="shared" si="2"/>
        <v>sábado</v>
      </c>
      <c r="B223" s="5" t="s">
        <v>162</v>
      </c>
      <c r="C223" s="37">
        <v>45983.0</v>
      </c>
      <c r="D223" s="28" t="s">
        <v>59</v>
      </c>
      <c r="E223" s="5">
        <v>136.0</v>
      </c>
      <c r="F223" s="5">
        <v>130.0</v>
      </c>
      <c r="G223" s="5">
        <v>2.0</v>
      </c>
      <c r="H223" s="5">
        <v>0.0</v>
      </c>
    </row>
    <row r="224" ht="15.75" customHeight="1">
      <c r="A224" s="5" t="str">
        <f t="shared" si="2"/>
        <v>sábado</v>
      </c>
      <c r="B224" s="5" t="s">
        <v>162</v>
      </c>
      <c r="C224" s="37">
        <v>45983.0</v>
      </c>
      <c r="D224" s="5" t="s">
        <v>145</v>
      </c>
      <c r="E224" s="5">
        <v>102.0</v>
      </c>
      <c r="F224" s="5">
        <v>88.0</v>
      </c>
      <c r="G224" s="5">
        <v>3.0</v>
      </c>
      <c r="H224" s="5">
        <v>8.0</v>
      </c>
    </row>
    <row r="225" ht="15.75" customHeight="1">
      <c r="A225" s="5" t="str">
        <f t="shared" si="2"/>
        <v>domingo</v>
      </c>
      <c r="B225" s="5" t="s">
        <v>170</v>
      </c>
      <c r="C225" s="37">
        <v>45984.0</v>
      </c>
      <c r="D225" s="5" t="s">
        <v>116</v>
      </c>
      <c r="E225" s="5">
        <v>83.0</v>
      </c>
      <c r="F225" s="5">
        <v>61.0</v>
      </c>
      <c r="G225" s="5">
        <v>9.0</v>
      </c>
      <c r="H225" s="5">
        <v>3.0</v>
      </c>
    </row>
    <row r="226" ht="15.75" customHeight="1">
      <c r="A226" s="5" t="str">
        <f t="shared" si="2"/>
        <v>domingo</v>
      </c>
      <c r="B226" s="5" t="s">
        <v>170</v>
      </c>
      <c r="C226" s="37">
        <v>45984.0</v>
      </c>
      <c r="D226" s="5" t="s">
        <v>43</v>
      </c>
      <c r="E226" s="5">
        <v>50.0</v>
      </c>
      <c r="F226" s="5">
        <v>18.0</v>
      </c>
      <c r="G226" s="5">
        <v>2.0</v>
      </c>
      <c r="H226" s="5">
        <v>6.0</v>
      </c>
    </row>
    <row r="227" ht="15.75" customHeight="1">
      <c r="A227" s="5" t="str">
        <f t="shared" si="2"/>
        <v>domingo</v>
      </c>
      <c r="B227" s="5" t="s">
        <v>170</v>
      </c>
      <c r="C227" s="37">
        <v>45984.0</v>
      </c>
      <c r="D227" s="28" t="s">
        <v>59</v>
      </c>
      <c r="E227" s="5">
        <v>132.0</v>
      </c>
      <c r="F227" s="5">
        <v>146.0</v>
      </c>
      <c r="G227" s="5">
        <v>1.0</v>
      </c>
      <c r="H227" s="5">
        <v>1.0</v>
      </c>
    </row>
    <row r="228" ht="15.75" customHeight="1">
      <c r="A228" s="5" t="str">
        <f t="shared" si="2"/>
        <v>domingo</v>
      </c>
      <c r="B228" s="5" t="s">
        <v>170</v>
      </c>
      <c r="C228" s="37">
        <v>45984.0</v>
      </c>
      <c r="D228" s="5" t="s">
        <v>145</v>
      </c>
      <c r="E228" s="5">
        <v>89.0</v>
      </c>
      <c r="F228" s="5">
        <v>75.0</v>
      </c>
      <c r="G228" s="5">
        <v>11.0</v>
      </c>
      <c r="H228" s="5">
        <v>4.0</v>
      </c>
    </row>
    <row r="229" ht="15.75" customHeight="1">
      <c r="A229" s="5" t="str">
        <f t="shared" si="2"/>
        <v>domingo</v>
      </c>
      <c r="B229" s="5" t="s">
        <v>170</v>
      </c>
      <c r="C229" s="37">
        <v>45984.0</v>
      </c>
      <c r="D229" s="28" t="s">
        <v>52</v>
      </c>
      <c r="E229" s="5">
        <v>67.0</v>
      </c>
      <c r="F229" s="5">
        <v>35.0</v>
      </c>
      <c r="G229" s="5">
        <v>3.0</v>
      </c>
      <c r="H229" s="5">
        <v>5.0</v>
      </c>
    </row>
    <row r="230" ht="15.75" customHeight="1">
      <c r="A230" s="5" t="str">
        <f t="shared" si="2"/>
        <v>lunes</v>
      </c>
      <c r="B230" s="5" t="s">
        <v>144</v>
      </c>
      <c r="C230" s="37">
        <v>45985.0</v>
      </c>
      <c r="D230" s="28" t="s">
        <v>64</v>
      </c>
      <c r="E230" s="5">
        <v>101.0</v>
      </c>
      <c r="F230" s="5">
        <v>66.0</v>
      </c>
      <c r="G230" s="5">
        <v>8.0</v>
      </c>
      <c r="H230" s="5">
        <v>6.0</v>
      </c>
    </row>
    <row r="231" ht="15.75" customHeight="1">
      <c r="A231" s="5" t="str">
        <f t="shared" si="2"/>
        <v>lunes</v>
      </c>
      <c r="B231" s="5" t="s">
        <v>144</v>
      </c>
      <c r="C231" s="37">
        <v>45985.0</v>
      </c>
      <c r="D231" s="28" t="s">
        <v>58</v>
      </c>
      <c r="E231" s="5">
        <v>82.0</v>
      </c>
      <c r="F231" s="5">
        <v>56.0</v>
      </c>
      <c r="G231" s="5">
        <v>5.0</v>
      </c>
      <c r="H231" s="5">
        <v>2.0</v>
      </c>
    </row>
    <row r="232" ht="15.75" customHeight="1">
      <c r="A232" s="5" t="str">
        <f t="shared" si="2"/>
        <v>lunes</v>
      </c>
      <c r="B232" s="5" t="s">
        <v>144</v>
      </c>
      <c r="C232" s="37">
        <v>45985.0</v>
      </c>
      <c r="D232" s="28" t="s">
        <v>42</v>
      </c>
      <c r="E232" s="5">
        <v>84.0</v>
      </c>
      <c r="F232" s="5">
        <v>52.0</v>
      </c>
      <c r="G232" s="5">
        <v>9.0</v>
      </c>
      <c r="H232" s="5">
        <v>15.0</v>
      </c>
    </row>
    <row r="233" ht="15.75" customHeight="1">
      <c r="A233" s="5" t="str">
        <f t="shared" si="2"/>
        <v>lunes</v>
      </c>
      <c r="B233" s="5" t="s">
        <v>144</v>
      </c>
      <c r="C233" s="37">
        <v>45985.0</v>
      </c>
      <c r="D233" s="28" t="s">
        <v>41</v>
      </c>
      <c r="E233" s="5">
        <v>102.0</v>
      </c>
      <c r="F233" s="5">
        <v>54.0</v>
      </c>
      <c r="G233" s="5">
        <v>2.0</v>
      </c>
      <c r="H233" s="5">
        <v>3.0</v>
      </c>
    </row>
    <row r="234" ht="15.75" customHeight="1">
      <c r="A234" s="5" t="str">
        <f t="shared" si="2"/>
        <v>lunes</v>
      </c>
      <c r="B234" s="5" t="s">
        <v>144</v>
      </c>
      <c r="C234" s="37">
        <v>45985.0</v>
      </c>
      <c r="D234" s="28" t="s">
        <v>39</v>
      </c>
      <c r="E234" s="5">
        <v>62.0</v>
      </c>
      <c r="F234" s="5">
        <v>53.0</v>
      </c>
      <c r="G234" s="5">
        <v>1.0</v>
      </c>
      <c r="H234" s="5">
        <v>20.0</v>
      </c>
    </row>
    <row r="235" ht="15.75" customHeight="1">
      <c r="A235" s="5" t="str">
        <f t="shared" si="2"/>
        <v>lunes</v>
      </c>
      <c r="B235" s="5" t="s">
        <v>144</v>
      </c>
      <c r="C235" s="37">
        <v>45985.0</v>
      </c>
      <c r="D235" s="28" t="s">
        <v>66</v>
      </c>
      <c r="E235" s="5">
        <v>81.0</v>
      </c>
      <c r="F235" s="5">
        <v>73.0</v>
      </c>
      <c r="G235" s="5">
        <v>0.0</v>
      </c>
      <c r="H235" s="5">
        <v>0.0</v>
      </c>
    </row>
    <row r="236" ht="15.75" customHeight="1">
      <c r="A236" s="5" t="str">
        <f t="shared" si="2"/>
        <v>lunes</v>
      </c>
      <c r="B236" s="5" t="s">
        <v>144</v>
      </c>
      <c r="C236" s="37">
        <v>45985.0</v>
      </c>
      <c r="D236" s="28" t="s">
        <v>44</v>
      </c>
      <c r="E236" s="5">
        <v>56.0</v>
      </c>
      <c r="F236" s="5">
        <v>56.0</v>
      </c>
      <c r="G236" s="5">
        <v>0.0</v>
      </c>
      <c r="H236" s="5">
        <v>0.0</v>
      </c>
    </row>
    <row r="237" ht="15.75" customHeight="1">
      <c r="A237" s="5" t="str">
        <f t="shared" si="2"/>
        <v>lunes</v>
      </c>
      <c r="B237" s="5" t="s">
        <v>144</v>
      </c>
      <c r="C237" s="37">
        <v>45985.0</v>
      </c>
      <c r="D237" s="28" t="s">
        <v>67</v>
      </c>
      <c r="E237" s="5">
        <v>65.0</v>
      </c>
      <c r="F237" s="5">
        <v>50.0</v>
      </c>
      <c r="G237" s="5">
        <v>3.0</v>
      </c>
      <c r="H237" s="5">
        <v>1.0</v>
      </c>
    </row>
    <row r="238" ht="15.75" customHeight="1">
      <c r="A238" s="5" t="str">
        <f t="shared" si="2"/>
        <v>lunes</v>
      </c>
      <c r="B238" s="5" t="s">
        <v>144</v>
      </c>
      <c r="C238" s="37">
        <v>45985.0</v>
      </c>
      <c r="D238" s="28" t="s">
        <v>65</v>
      </c>
      <c r="E238" s="5">
        <v>84.0</v>
      </c>
      <c r="F238" s="5">
        <v>65.0</v>
      </c>
      <c r="G238" s="5">
        <v>3.0</v>
      </c>
      <c r="H238" s="5">
        <v>2.0</v>
      </c>
    </row>
    <row r="239" ht="15.75" customHeight="1">
      <c r="A239" s="5" t="str">
        <f t="shared" si="2"/>
        <v>lunes</v>
      </c>
      <c r="B239" s="5" t="s">
        <v>144</v>
      </c>
      <c r="C239" s="37">
        <v>45985.0</v>
      </c>
      <c r="D239" s="28" t="s">
        <v>59</v>
      </c>
      <c r="E239" s="5">
        <v>50.0</v>
      </c>
      <c r="F239" s="5">
        <v>37.0</v>
      </c>
      <c r="G239" s="5">
        <v>0.0</v>
      </c>
      <c r="H239" s="5">
        <v>0.0</v>
      </c>
    </row>
    <row r="240" ht="15.75" customHeight="1">
      <c r="A240" s="5" t="str">
        <f t="shared" si="2"/>
        <v>lunes</v>
      </c>
      <c r="B240" s="5" t="s">
        <v>144</v>
      </c>
      <c r="C240" s="37">
        <v>45985.0</v>
      </c>
      <c r="D240" s="5" t="s">
        <v>90</v>
      </c>
      <c r="E240" s="5">
        <v>168.0</v>
      </c>
      <c r="F240" s="5">
        <v>67.0</v>
      </c>
      <c r="G240" s="5">
        <v>0.0</v>
      </c>
      <c r="H240" s="5">
        <v>0.0</v>
      </c>
    </row>
    <row r="241" ht="15.75" customHeight="1">
      <c r="A241" s="5" t="str">
        <f t="shared" si="2"/>
        <v>lunes</v>
      </c>
      <c r="B241" s="5" t="s">
        <v>144</v>
      </c>
      <c r="C241" s="37">
        <v>45985.0</v>
      </c>
      <c r="D241" s="5" t="s">
        <v>93</v>
      </c>
      <c r="E241" s="5">
        <v>131.0</v>
      </c>
      <c r="F241" s="5">
        <v>66.0</v>
      </c>
      <c r="G241" s="5">
        <v>0.0</v>
      </c>
      <c r="H241" s="5">
        <v>0.0</v>
      </c>
    </row>
    <row r="242" ht="15.75" customHeight="1">
      <c r="A242" s="5" t="str">
        <f t="shared" si="2"/>
        <v>lunes</v>
      </c>
      <c r="B242" s="5" t="s">
        <v>144</v>
      </c>
      <c r="C242" s="37">
        <v>45985.0</v>
      </c>
      <c r="D242" s="5" t="s">
        <v>89</v>
      </c>
      <c r="E242" s="5">
        <v>87.0</v>
      </c>
      <c r="F242" s="5">
        <v>58.0</v>
      </c>
      <c r="G242" s="5">
        <v>0.0</v>
      </c>
      <c r="H242" s="5">
        <v>3.0</v>
      </c>
    </row>
    <row r="243" ht="15.75" customHeight="1">
      <c r="A243" s="5" t="str">
        <f t="shared" si="2"/>
        <v>martes</v>
      </c>
      <c r="B243" s="5" t="s">
        <v>144</v>
      </c>
      <c r="C243" s="37">
        <v>45986.0</v>
      </c>
      <c r="D243" s="28" t="s">
        <v>64</v>
      </c>
      <c r="E243" s="5">
        <v>123.0</v>
      </c>
      <c r="F243" s="5">
        <v>84.0</v>
      </c>
      <c r="G243" s="5">
        <v>7.0</v>
      </c>
      <c r="H243" s="5">
        <v>11.0</v>
      </c>
    </row>
    <row r="244" ht="15.75" customHeight="1">
      <c r="A244" s="5" t="str">
        <f t="shared" si="2"/>
        <v>martes</v>
      </c>
      <c r="B244" s="5" t="s">
        <v>144</v>
      </c>
      <c r="C244" s="37">
        <v>45986.0</v>
      </c>
      <c r="D244" s="28" t="s">
        <v>58</v>
      </c>
      <c r="E244" s="5">
        <v>43.0</v>
      </c>
      <c r="F244" s="5">
        <v>25.0</v>
      </c>
      <c r="G244" s="5">
        <v>3.0</v>
      </c>
      <c r="H244" s="5">
        <v>9.0</v>
      </c>
    </row>
    <row r="245" ht="15.75" customHeight="1">
      <c r="A245" s="5" t="str">
        <f t="shared" si="2"/>
        <v>martes</v>
      </c>
      <c r="B245" s="5" t="s">
        <v>144</v>
      </c>
      <c r="C245" s="37">
        <v>45986.0</v>
      </c>
      <c r="D245" s="28" t="s">
        <v>39</v>
      </c>
      <c r="E245" s="5">
        <v>87.0</v>
      </c>
      <c r="F245" s="5">
        <v>65.0</v>
      </c>
      <c r="G245" s="5">
        <v>2.0</v>
      </c>
      <c r="H245" s="5">
        <v>15.0</v>
      </c>
    </row>
    <row r="246" ht="15.75" customHeight="1">
      <c r="A246" s="5" t="str">
        <f t="shared" si="2"/>
        <v>martes</v>
      </c>
      <c r="B246" s="5" t="s">
        <v>144</v>
      </c>
      <c r="C246" s="37">
        <v>45986.0</v>
      </c>
      <c r="D246" s="28" t="s">
        <v>42</v>
      </c>
      <c r="E246" s="5">
        <v>74.0</v>
      </c>
      <c r="F246" s="5">
        <v>41.0</v>
      </c>
      <c r="G246" s="5">
        <v>9.0</v>
      </c>
      <c r="H246" s="5">
        <v>11.0</v>
      </c>
    </row>
    <row r="247" ht="15.75" customHeight="1">
      <c r="A247" s="5" t="str">
        <f t="shared" si="2"/>
        <v>martes</v>
      </c>
      <c r="B247" s="5" t="s">
        <v>144</v>
      </c>
      <c r="C247" s="37">
        <v>45986.0</v>
      </c>
      <c r="D247" s="28" t="s">
        <v>41</v>
      </c>
      <c r="E247" s="5">
        <v>116.0</v>
      </c>
      <c r="F247" s="5">
        <v>70.0</v>
      </c>
      <c r="G247" s="5">
        <v>4.0</v>
      </c>
      <c r="H247" s="5">
        <v>5.0</v>
      </c>
    </row>
    <row r="248" ht="15.75" customHeight="1">
      <c r="A248" s="5" t="str">
        <f t="shared" si="2"/>
        <v>martes</v>
      </c>
      <c r="B248" s="5" t="s">
        <v>144</v>
      </c>
      <c r="C248" s="37">
        <v>45986.0</v>
      </c>
      <c r="D248" s="28" t="s">
        <v>65</v>
      </c>
      <c r="E248" s="5">
        <v>77.0</v>
      </c>
      <c r="F248" s="5">
        <v>67.0</v>
      </c>
      <c r="G248" s="5">
        <v>3.0</v>
      </c>
      <c r="H248" s="5">
        <v>6.0</v>
      </c>
    </row>
    <row r="249" ht="15.75" customHeight="1">
      <c r="A249" s="5" t="str">
        <f t="shared" si="2"/>
        <v>martes</v>
      </c>
      <c r="B249" s="5" t="s">
        <v>144</v>
      </c>
      <c r="C249" s="37">
        <v>45986.0</v>
      </c>
      <c r="D249" s="28" t="s">
        <v>66</v>
      </c>
      <c r="E249" s="5">
        <v>95.0</v>
      </c>
      <c r="F249" s="5">
        <v>85.0</v>
      </c>
      <c r="G249" s="5">
        <v>1.0</v>
      </c>
      <c r="H249" s="5">
        <v>3.0</v>
      </c>
    </row>
    <row r="250" ht="15.75" customHeight="1">
      <c r="A250" s="5" t="str">
        <f t="shared" si="2"/>
        <v>martes</v>
      </c>
      <c r="B250" s="5" t="s">
        <v>144</v>
      </c>
      <c r="C250" s="37">
        <v>45986.0</v>
      </c>
      <c r="D250" s="28" t="s">
        <v>67</v>
      </c>
      <c r="E250" s="5">
        <v>61.0</v>
      </c>
      <c r="F250" s="5">
        <v>56.0</v>
      </c>
      <c r="G250" s="5">
        <v>1.0</v>
      </c>
      <c r="H250" s="5">
        <v>0.0</v>
      </c>
    </row>
    <row r="251" ht="15.75" customHeight="1">
      <c r="A251" s="5" t="str">
        <f t="shared" si="2"/>
        <v>martes</v>
      </c>
      <c r="B251" s="5" t="s">
        <v>144</v>
      </c>
      <c r="C251" s="37">
        <v>45986.0</v>
      </c>
      <c r="D251" s="28" t="s">
        <v>59</v>
      </c>
      <c r="E251" s="5">
        <v>71.0</v>
      </c>
      <c r="F251" s="5">
        <v>47.0</v>
      </c>
      <c r="G251" s="5">
        <v>0.0</v>
      </c>
      <c r="H251" s="5">
        <v>0.0</v>
      </c>
    </row>
    <row r="252" ht="15.75" customHeight="1">
      <c r="A252" s="5" t="str">
        <f t="shared" si="2"/>
        <v>martes</v>
      </c>
      <c r="B252" s="5" t="s">
        <v>144</v>
      </c>
      <c r="C252" s="37">
        <v>45986.0</v>
      </c>
      <c r="D252" s="5" t="s">
        <v>89</v>
      </c>
      <c r="E252" s="5">
        <v>57.0</v>
      </c>
      <c r="F252" s="5">
        <v>35.0</v>
      </c>
      <c r="G252" s="5">
        <v>1.0</v>
      </c>
      <c r="H252" s="5">
        <v>1.0</v>
      </c>
    </row>
    <row r="253" ht="15.75" customHeight="1">
      <c r="A253" s="5" t="str">
        <f t="shared" si="2"/>
        <v>martes</v>
      </c>
      <c r="B253" s="5" t="s">
        <v>144</v>
      </c>
      <c r="C253" s="37">
        <v>45986.0</v>
      </c>
      <c r="D253" s="5" t="s">
        <v>90</v>
      </c>
      <c r="E253" s="5">
        <v>207.0</v>
      </c>
      <c r="F253" s="5">
        <v>77.0</v>
      </c>
      <c r="G253" s="5">
        <v>0.0</v>
      </c>
      <c r="H253" s="5">
        <v>0.0</v>
      </c>
    </row>
    <row r="254" ht="15.75" customHeight="1">
      <c r="A254" s="5" t="str">
        <f t="shared" si="2"/>
        <v>martes</v>
      </c>
      <c r="B254" s="5" t="s">
        <v>144</v>
      </c>
      <c r="C254" s="37">
        <v>45986.0</v>
      </c>
      <c r="D254" s="5" t="s">
        <v>93</v>
      </c>
      <c r="E254" s="5">
        <v>100.0</v>
      </c>
      <c r="F254" s="5">
        <v>53.0</v>
      </c>
      <c r="G254" s="5">
        <v>0.0</v>
      </c>
      <c r="H254" s="5">
        <v>0.0</v>
      </c>
    </row>
    <row r="255" ht="15.75" customHeight="1">
      <c r="A255" s="5" t="str">
        <f t="shared" si="2"/>
        <v>miércoles</v>
      </c>
      <c r="B255" s="5" t="s">
        <v>144</v>
      </c>
      <c r="C255" s="37">
        <v>45987.0</v>
      </c>
      <c r="D255" s="28" t="s">
        <v>64</v>
      </c>
      <c r="E255" s="5">
        <v>89.0</v>
      </c>
      <c r="F255" s="5">
        <v>66.0</v>
      </c>
      <c r="G255" s="5">
        <v>1.0</v>
      </c>
      <c r="H255" s="5">
        <v>10.0</v>
      </c>
    </row>
    <row r="256" ht="15.75" customHeight="1">
      <c r="A256" s="5" t="str">
        <f t="shared" si="2"/>
        <v>miércoles</v>
      </c>
      <c r="B256" s="5" t="s">
        <v>144</v>
      </c>
      <c r="C256" s="37">
        <v>45987.0</v>
      </c>
      <c r="D256" s="28" t="s">
        <v>58</v>
      </c>
      <c r="E256" s="5">
        <v>34.0</v>
      </c>
      <c r="F256" s="5">
        <v>24.0</v>
      </c>
      <c r="G256" s="5">
        <v>3.0</v>
      </c>
      <c r="H256" s="5">
        <v>4.0</v>
      </c>
    </row>
    <row r="257" ht="15.75" customHeight="1">
      <c r="A257" s="5" t="str">
        <f t="shared" si="2"/>
        <v>miércoles</v>
      </c>
      <c r="B257" s="5" t="s">
        <v>144</v>
      </c>
      <c r="C257" s="37">
        <v>45987.0</v>
      </c>
      <c r="D257" s="28" t="s">
        <v>42</v>
      </c>
      <c r="E257" s="5">
        <v>66.0</v>
      </c>
      <c r="F257" s="5">
        <v>27.0</v>
      </c>
      <c r="G257" s="5">
        <v>3.0</v>
      </c>
      <c r="H257" s="5">
        <v>33.0</v>
      </c>
    </row>
    <row r="258" ht="15.75" customHeight="1">
      <c r="A258" s="5" t="str">
        <f t="shared" si="2"/>
        <v>miércoles</v>
      </c>
      <c r="B258" s="5" t="s">
        <v>144</v>
      </c>
      <c r="C258" s="37">
        <v>45987.0</v>
      </c>
      <c r="D258" s="28" t="s">
        <v>41</v>
      </c>
      <c r="E258" s="5">
        <v>58.0</v>
      </c>
      <c r="F258" s="5">
        <v>53.0</v>
      </c>
      <c r="G258" s="5">
        <v>1.0</v>
      </c>
      <c r="H258" s="5">
        <v>1.0</v>
      </c>
    </row>
    <row r="259" ht="15.75" customHeight="1">
      <c r="A259" s="5" t="str">
        <f t="shared" si="2"/>
        <v>miércoles</v>
      </c>
      <c r="B259" s="5" t="s">
        <v>144</v>
      </c>
      <c r="C259" s="37">
        <v>45987.0</v>
      </c>
      <c r="D259" s="28" t="s">
        <v>51</v>
      </c>
      <c r="E259" s="5">
        <v>50.0</v>
      </c>
      <c r="F259" s="5">
        <v>39.0</v>
      </c>
      <c r="G259" s="5">
        <v>1.0</v>
      </c>
      <c r="H259" s="5">
        <v>12.0</v>
      </c>
    </row>
    <row r="260" ht="15.75" customHeight="1">
      <c r="A260" s="5" t="str">
        <f t="shared" si="2"/>
        <v>miércoles</v>
      </c>
      <c r="B260" s="5" t="s">
        <v>144</v>
      </c>
      <c r="C260" s="37">
        <v>45987.0</v>
      </c>
      <c r="D260" s="28" t="s">
        <v>39</v>
      </c>
      <c r="E260" s="5">
        <v>37.0</v>
      </c>
      <c r="F260" s="5">
        <v>18.0</v>
      </c>
      <c r="G260" s="5">
        <v>3.0</v>
      </c>
      <c r="H260" s="5">
        <v>13.0</v>
      </c>
    </row>
    <row r="261" ht="15.75" customHeight="1">
      <c r="A261" s="5" t="str">
        <f t="shared" si="2"/>
        <v>miércoles</v>
      </c>
      <c r="B261" s="5" t="s">
        <v>144</v>
      </c>
      <c r="C261" s="37">
        <v>45987.0</v>
      </c>
      <c r="D261" s="28" t="s">
        <v>65</v>
      </c>
      <c r="E261" s="5">
        <v>54.0</v>
      </c>
      <c r="F261" s="5">
        <v>45.0</v>
      </c>
      <c r="G261" s="5">
        <v>1.0</v>
      </c>
      <c r="H261" s="5">
        <v>0.0</v>
      </c>
    </row>
    <row r="262" ht="15.75" customHeight="1">
      <c r="A262" s="5" t="str">
        <f t="shared" si="2"/>
        <v>miércoles</v>
      </c>
      <c r="B262" s="5" t="s">
        <v>144</v>
      </c>
      <c r="C262" s="37">
        <v>45987.0</v>
      </c>
      <c r="D262" s="28" t="s">
        <v>66</v>
      </c>
      <c r="E262" s="5">
        <v>89.0</v>
      </c>
      <c r="F262" s="5">
        <v>76.0</v>
      </c>
      <c r="G262" s="5">
        <v>0.0</v>
      </c>
      <c r="H262" s="5">
        <v>1.0</v>
      </c>
    </row>
    <row r="263" ht="15.75" customHeight="1">
      <c r="A263" s="5" t="str">
        <f t="shared" si="2"/>
        <v>miércoles</v>
      </c>
      <c r="B263" s="5" t="s">
        <v>144</v>
      </c>
      <c r="C263" s="37">
        <v>45987.0</v>
      </c>
      <c r="D263" s="28" t="s">
        <v>67</v>
      </c>
      <c r="E263" s="5">
        <v>43.0</v>
      </c>
      <c r="F263" s="5">
        <v>40.0</v>
      </c>
      <c r="G263" s="5">
        <v>0.0</v>
      </c>
      <c r="H263" s="5">
        <v>0.0</v>
      </c>
    </row>
    <row r="264" ht="15.75" customHeight="1">
      <c r="A264" s="5" t="str">
        <f t="shared" si="2"/>
        <v>miércoles</v>
      </c>
      <c r="B264" s="5" t="s">
        <v>144</v>
      </c>
      <c r="C264" s="37">
        <v>45987.0</v>
      </c>
      <c r="D264" s="5" t="s">
        <v>93</v>
      </c>
      <c r="E264" s="5">
        <v>126.0</v>
      </c>
      <c r="F264" s="5">
        <v>57.0</v>
      </c>
      <c r="G264" s="5">
        <v>0.0</v>
      </c>
      <c r="H264" s="5">
        <v>0.0</v>
      </c>
    </row>
    <row r="265" ht="15.75" customHeight="1">
      <c r="A265" s="5" t="str">
        <f t="shared" si="2"/>
        <v>miércoles</v>
      </c>
      <c r="B265" s="5" t="s">
        <v>144</v>
      </c>
      <c r="C265" s="37">
        <v>45987.0</v>
      </c>
      <c r="D265" s="5" t="s">
        <v>108</v>
      </c>
      <c r="E265" s="5">
        <v>52.0</v>
      </c>
      <c r="F265" s="5">
        <v>20.0</v>
      </c>
      <c r="G265" s="5">
        <v>1.0</v>
      </c>
      <c r="H265" s="5">
        <v>0.0</v>
      </c>
    </row>
    <row r="266" ht="15.75" customHeight="1">
      <c r="A266" s="5" t="str">
        <f t="shared" si="2"/>
        <v>miércoles</v>
      </c>
      <c r="B266" s="5" t="s">
        <v>144</v>
      </c>
      <c r="C266" s="37">
        <v>45987.0</v>
      </c>
      <c r="D266" s="5" t="s">
        <v>107</v>
      </c>
      <c r="E266" s="5">
        <v>84.0</v>
      </c>
      <c r="F266" s="5">
        <v>32.0</v>
      </c>
      <c r="G266" s="5">
        <v>0.0</v>
      </c>
      <c r="H266" s="5">
        <v>0.0</v>
      </c>
    </row>
    <row r="267" ht="15.75" customHeight="1">
      <c r="A267" s="5" t="str">
        <f t="shared" si="2"/>
        <v>jueves</v>
      </c>
      <c r="B267" s="5" t="s">
        <v>143</v>
      </c>
      <c r="C267" s="37">
        <v>45988.0</v>
      </c>
      <c r="D267" s="5" t="s">
        <v>77</v>
      </c>
      <c r="E267" s="5" t="s">
        <v>77</v>
      </c>
      <c r="F267" s="5" t="s">
        <v>77</v>
      </c>
      <c r="G267" s="5" t="s">
        <v>77</v>
      </c>
      <c r="H267" s="5" t="s">
        <v>77</v>
      </c>
      <c r="I267" s="5" t="s">
        <v>171</v>
      </c>
    </row>
    <row r="268" ht="15.75" customHeight="1">
      <c r="A268" s="5" t="str">
        <f t="shared" si="2"/>
        <v>viernes</v>
      </c>
      <c r="B268" s="5" t="s">
        <v>162</v>
      </c>
      <c r="C268" s="37">
        <v>45989.0</v>
      </c>
      <c r="D268" s="5" t="s">
        <v>77</v>
      </c>
      <c r="E268" s="5" t="s">
        <v>77</v>
      </c>
      <c r="F268" s="5" t="s">
        <v>77</v>
      </c>
      <c r="G268" s="5" t="s">
        <v>77</v>
      </c>
      <c r="H268" s="5" t="s">
        <v>77</v>
      </c>
      <c r="I268" s="28" t="s">
        <v>172</v>
      </c>
    </row>
    <row r="269" ht="15.75" customHeight="1">
      <c r="A269" s="5" t="str">
        <f t="shared" si="2"/>
        <v>sábado</v>
      </c>
      <c r="B269" s="5" t="s">
        <v>170</v>
      </c>
      <c r="C269" s="37">
        <v>45990.0</v>
      </c>
      <c r="D269" s="5" t="s">
        <v>77</v>
      </c>
      <c r="E269" s="5" t="s">
        <v>77</v>
      </c>
      <c r="F269" s="5" t="s">
        <v>77</v>
      </c>
      <c r="G269" s="5" t="s">
        <v>77</v>
      </c>
      <c r="H269" s="5" t="s">
        <v>77</v>
      </c>
      <c r="I269" s="28" t="s">
        <v>172</v>
      </c>
    </row>
    <row r="270" ht="15.75" customHeight="1">
      <c r="A270" s="5" t="str">
        <f t="shared" si="2"/>
        <v>domingo</v>
      </c>
      <c r="B270" s="5" t="s">
        <v>173</v>
      </c>
      <c r="C270" s="37">
        <v>45991.0</v>
      </c>
      <c r="D270" s="5" t="s">
        <v>77</v>
      </c>
      <c r="E270" s="5" t="s">
        <v>77</v>
      </c>
      <c r="F270" s="5" t="s">
        <v>77</v>
      </c>
      <c r="G270" s="5" t="s">
        <v>77</v>
      </c>
      <c r="H270" s="5" t="s">
        <v>77</v>
      </c>
      <c r="I270" s="28" t="s">
        <v>172</v>
      </c>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5:$R$57"/>
  <mergeCells count="12">
    <mergeCell ref="O23:P23"/>
    <mergeCell ref="Q23:R23"/>
    <mergeCell ref="J44:N44"/>
    <mergeCell ref="O44:P44"/>
    <mergeCell ref="Q44:R44"/>
    <mergeCell ref="J2:N2"/>
    <mergeCell ref="O2:P2"/>
    <mergeCell ref="Q2:R2"/>
    <mergeCell ref="S2:S3"/>
    <mergeCell ref="Z2:AA2"/>
    <mergeCell ref="J22:R22"/>
    <mergeCell ref="K23:N23"/>
  </mergeCells>
  <conditionalFormatting sqref="M4:M16">
    <cfRule type="colorScale" priority="1">
      <colorScale>
        <cfvo type="min"/>
        <cfvo type="percentile" val="50"/>
        <cfvo type="max"/>
        <color rgb="FFEA9999"/>
        <color rgb="FFFFD666"/>
        <color rgb="FF6AA84F"/>
      </colorScale>
    </cfRule>
  </conditionalFormatting>
  <conditionalFormatting sqref="N4:N16">
    <cfRule type="colorScale" priority="2">
      <colorScale>
        <cfvo type="min"/>
        <cfvo type="percentile" val="50"/>
        <cfvo type="max"/>
        <color rgb="FFEA9999"/>
        <color rgb="FFFFD666"/>
        <color rgb="FF6AA84F"/>
      </colorScale>
    </cfRule>
  </conditionalFormatting>
  <conditionalFormatting sqref="O4:O16">
    <cfRule type="colorScale" priority="3">
      <colorScale>
        <cfvo type="min"/>
        <cfvo type="percentile" val="50"/>
        <cfvo type="max"/>
        <color rgb="FFEA9999"/>
        <color rgb="FFFFD666"/>
        <color rgb="FF6AA84F"/>
      </colorScale>
    </cfRule>
  </conditionalFormatting>
  <conditionalFormatting sqref="P4:P16">
    <cfRule type="colorScale" priority="4">
      <colorScale>
        <cfvo type="min"/>
        <cfvo type="percentile" val="50"/>
        <cfvo type="max"/>
        <color rgb="FFEA9999"/>
        <color rgb="FFFFD666"/>
        <color rgb="FF6AA84F"/>
      </colorScale>
    </cfRule>
  </conditionalFormatting>
  <conditionalFormatting sqref="Q4:Q16">
    <cfRule type="colorScale" priority="5">
      <colorScale>
        <cfvo type="min"/>
        <cfvo type="percentile" val="50"/>
        <cfvo type="max"/>
        <color rgb="FFEA9999"/>
        <color rgb="FFFFD666"/>
        <color rgb="FF6AA84F"/>
      </colorScale>
    </cfRule>
  </conditionalFormatting>
  <conditionalFormatting sqref="R4:R16">
    <cfRule type="colorScale" priority="6">
      <colorScale>
        <cfvo type="min"/>
        <cfvo type="percentile" val="50"/>
        <cfvo type="max"/>
        <color rgb="FFEA9999"/>
        <color rgb="FFFFD666"/>
        <color rgb="FF6AA84F"/>
      </colorScale>
    </cfRule>
  </conditionalFormatting>
  <conditionalFormatting sqref="P3:P5 P7:P14">
    <cfRule type="colorScale" priority="7">
      <colorScale>
        <cfvo type="min"/>
        <cfvo type="percentile" val="50"/>
        <cfvo type="max"/>
        <color rgb="FFEA9999"/>
        <color rgb="FFFFD666"/>
        <color rgb="FF93C47D"/>
      </colorScale>
    </cfRule>
  </conditionalFormatting>
  <conditionalFormatting sqref="Q4:Q5 Q7:Q14">
    <cfRule type="colorScale" priority="8">
      <colorScale>
        <cfvo type="min"/>
        <cfvo type="percentile" val="50"/>
        <cfvo type="max"/>
        <color rgb="FFEA9999"/>
        <color rgb="FFFFD666"/>
        <color rgb="FF93C47D"/>
      </colorScale>
    </cfRule>
  </conditionalFormatting>
  <conditionalFormatting sqref="R4:R5 R7:R14">
    <cfRule type="colorScale" priority="9">
      <colorScale>
        <cfvo type="min"/>
        <cfvo type="percentile" val="50"/>
        <cfvo type="max"/>
        <color rgb="FFEA9999"/>
        <color rgb="FFFFD666"/>
        <color rgb="FF93C47D"/>
      </colorScale>
    </cfRule>
  </conditionalFormatting>
  <conditionalFormatting sqref="O3:O12">
    <cfRule type="colorScale" priority="10">
      <colorScale>
        <cfvo type="min"/>
        <cfvo type="percentile" val="50"/>
        <cfvo type="max"/>
        <color rgb="FFEA9999"/>
        <color rgb="FFFFD666"/>
        <color rgb="FF93C47D"/>
      </colorScale>
    </cfRule>
  </conditionalFormatting>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13.38"/>
  </cols>
  <sheetData>
    <row r="1" ht="15.75" customHeight="1">
      <c r="C1" s="5" t="s">
        <v>147</v>
      </c>
      <c r="D1" s="6" t="s">
        <v>102</v>
      </c>
      <c r="J1" s="71">
        <v>45931.0</v>
      </c>
    </row>
    <row r="2" ht="15.75" customHeight="1">
      <c r="D2" s="6" t="s">
        <v>148</v>
      </c>
      <c r="J2" s="12" t="s">
        <v>149</v>
      </c>
      <c r="O2" s="13" t="s">
        <v>18</v>
      </c>
      <c r="Q2" s="13" t="s">
        <v>19</v>
      </c>
      <c r="S2" s="14" t="s">
        <v>20</v>
      </c>
      <c r="Z2" s="10" t="s">
        <v>9</v>
      </c>
    </row>
    <row r="3" ht="15.75" customHeight="1">
      <c r="A3" s="70" t="s">
        <v>21</v>
      </c>
      <c r="B3" s="70" t="s">
        <v>22</v>
      </c>
      <c r="C3" s="70" t="s">
        <v>139</v>
      </c>
      <c r="D3" s="70" t="s">
        <v>24</v>
      </c>
      <c r="E3" s="70" t="s">
        <v>25</v>
      </c>
      <c r="F3" s="70" t="s">
        <v>26</v>
      </c>
      <c r="G3" s="70" t="s">
        <v>79</v>
      </c>
      <c r="H3" s="70" t="s">
        <v>31</v>
      </c>
      <c r="J3" s="17" t="s">
        <v>29</v>
      </c>
      <c r="K3" s="17" t="s">
        <v>25</v>
      </c>
      <c r="L3" s="17" t="s">
        <v>26</v>
      </c>
      <c r="M3" s="17" t="s">
        <v>30</v>
      </c>
      <c r="N3" s="17" t="s">
        <v>31</v>
      </c>
      <c r="O3" s="18" t="s">
        <v>25</v>
      </c>
      <c r="P3" s="18" t="s">
        <v>26</v>
      </c>
      <c r="Q3" s="17" t="s">
        <v>25</v>
      </c>
      <c r="R3" s="17" t="s">
        <v>26</v>
      </c>
      <c r="T3" s="5" t="s">
        <v>32</v>
      </c>
      <c r="Z3" s="20" t="s">
        <v>25</v>
      </c>
      <c r="AA3" s="20" t="s">
        <v>37</v>
      </c>
    </row>
    <row r="4" ht="15.75" customHeight="1">
      <c r="A4" s="22" t="str">
        <f t="shared" ref="A4:A326" si="2">TEXT(C4,"dddd")</f>
        <v>miércoles</v>
      </c>
      <c r="B4" s="24" t="str">
        <f t="shared" ref="B4:B326" si="3">TEXT(C4,"mmmm")</f>
        <v>octubre</v>
      </c>
      <c r="C4" s="37">
        <v>45931.0</v>
      </c>
      <c r="D4" s="28" t="s">
        <v>64</v>
      </c>
      <c r="E4" s="5">
        <v>129.0</v>
      </c>
      <c r="F4" s="5">
        <v>83.0</v>
      </c>
      <c r="G4" s="5">
        <v>7.0</v>
      </c>
      <c r="H4" s="5">
        <v>10.0</v>
      </c>
      <c r="J4" s="28" t="s">
        <v>39</v>
      </c>
      <c r="K4" s="23">
        <f t="shared" ref="K4:K15" si="4">AVERAGEIF($D$4:$D$350,J4,$E$4:$E$350)</f>
        <v>57.23076923</v>
      </c>
      <c r="L4" s="23">
        <f t="shared" ref="L4:L15" si="5">AVERAGEIF($D$4:$D$350,J4,$F$4:$F$350)</f>
        <v>36.69230769</v>
      </c>
      <c r="M4" s="23">
        <f t="shared" ref="M4:M15" si="6">AVERAGEIF($D$4:$D$350,J4,$G$4:$G$350)</f>
        <v>3.230769231</v>
      </c>
      <c r="N4" s="23">
        <f t="shared" ref="N4:N15" si="7">AVERAGEIF($D$4:$D$350,J4,$H$4:$H$350)</f>
        <v>11.38461538</v>
      </c>
      <c r="O4" s="23">
        <f t="shared" ref="O4:O15" si="8">K4/S4</f>
        <v>7.153846154</v>
      </c>
      <c r="P4" s="23">
        <f t="shared" ref="P4:P15" si="9">L4/S4</f>
        <v>4.586538462</v>
      </c>
      <c r="Q4" s="23">
        <f t="shared" ref="Q4:Q15" si="10">K4*T4</f>
        <v>286.1538462</v>
      </c>
      <c r="R4" s="23">
        <f t="shared" ref="R4:R15" si="11">L4*T4</f>
        <v>183.4615385</v>
      </c>
      <c r="S4" s="30">
        <v>8.0</v>
      </c>
      <c r="T4" s="30">
        <v>5.0</v>
      </c>
      <c r="Z4" s="23">
        <f t="shared" ref="Z4:AA4" si="1">V4/4</f>
        <v>0</v>
      </c>
      <c r="AA4" s="23">
        <f t="shared" si="1"/>
        <v>0</v>
      </c>
    </row>
    <row r="5" ht="15.75" customHeight="1">
      <c r="A5" s="22" t="str">
        <f t="shared" si="2"/>
        <v>miércoles</v>
      </c>
      <c r="B5" s="24" t="str">
        <f t="shared" si="3"/>
        <v>octubre</v>
      </c>
      <c r="C5" s="37">
        <v>45931.0</v>
      </c>
      <c r="D5" s="28" t="s">
        <v>58</v>
      </c>
      <c r="E5" s="5">
        <v>60.0</v>
      </c>
      <c r="F5" s="5">
        <v>46.0</v>
      </c>
      <c r="G5" s="5">
        <v>4.0</v>
      </c>
      <c r="H5" s="5">
        <v>5.0</v>
      </c>
      <c r="J5" s="28" t="s">
        <v>44</v>
      </c>
      <c r="K5" s="23">
        <f t="shared" si="4"/>
        <v>90.66666667</v>
      </c>
      <c r="L5" s="23">
        <f t="shared" si="5"/>
        <v>55.33333333</v>
      </c>
      <c r="M5" s="23">
        <f t="shared" si="6"/>
        <v>0</v>
      </c>
      <c r="N5" s="23">
        <f t="shared" si="7"/>
        <v>0</v>
      </c>
      <c r="O5" s="23">
        <f t="shared" si="8"/>
        <v>8.242424242</v>
      </c>
      <c r="P5" s="23">
        <f t="shared" si="9"/>
        <v>5.03030303</v>
      </c>
      <c r="Q5" s="23">
        <f t="shared" si="10"/>
        <v>362.6666667</v>
      </c>
      <c r="R5" s="23">
        <f t="shared" si="11"/>
        <v>221.3333333</v>
      </c>
      <c r="S5" s="30">
        <v>11.0</v>
      </c>
      <c r="T5" s="30">
        <v>4.0</v>
      </c>
      <c r="Z5" s="23">
        <f t="shared" ref="Z5:AA5" si="12">V5/4</f>
        <v>0</v>
      </c>
      <c r="AA5" s="23">
        <f t="shared" si="12"/>
        <v>0</v>
      </c>
    </row>
    <row r="6" ht="15.75" customHeight="1">
      <c r="A6" s="22" t="str">
        <f t="shared" si="2"/>
        <v>miércoles</v>
      </c>
      <c r="B6" s="24" t="str">
        <f t="shared" si="3"/>
        <v>octubre</v>
      </c>
      <c r="C6" s="37">
        <v>45931.0</v>
      </c>
      <c r="D6" s="28" t="s">
        <v>42</v>
      </c>
      <c r="E6" s="5">
        <v>82.0</v>
      </c>
      <c r="F6" s="5">
        <v>57.0</v>
      </c>
      <c r="G6" s="5">
        <v>4.0</v>
      </c>
      <c r="H6" s="5">
        <v>10.0</v>
      </c>
      <c r="J6" s="28" t="s">
        <v>59</v>
      </c>
      <c r="K6" s="23">
        <f t="shared" si="4"/>
        <v>101.0666667</v>
      </c>
      <c r="L6" s="23">
        <f t="shared" si="5"/>
        <v>81.13333333</v>
      </c>
      <c r="M6" s="23">
        <f t="shared" si="6"/>
        <v>1</v>
      </c>
      <c r="N6" s="23">
        <f t="shared" si="7"/>
        <v>0.5333333333</v>
      </c>
      <c r="O6" s="23">
        <f t="shared" si="8"/>
        <v>9.187878788</v>
      </c>
      <c r="P6" s="23">
        <f t="shared" si="9"/>
        <v>7.375757576</v>
      </c>
      <c r="Q6" s="23">
        <f t="shared" si="10"/>
        <v>404.2666667</v>
      </c>
      <c r="R6" s="23">
        <f t="shared" si="11"/>
        <v>324.5333333</v>
      </c>
      <c r="S6" s="30">
        <v>11.0</v>
      </c>
      <c r="T6" s="30">
        <v>4.0</v>
      </c>
      <c r="Z6" s="23">
        <f t="shared" ref="Z6:AA6" si="13">V6/4</f>
        <v>0</v>
      </c>
      <c r="AA6" s="23">
        <f t="shared" si="13"/>
        <v>0</v>
      </c>
    </row>
    <row r="7" ht="15.75" customHeight="1">
      <c r="A7" s="22" t="str">
        <f t="shared" si="2"/>
        <v>miércoles</v>
      </c>
      <c r="B7" s="24" t="str">
        <f t="shared" si="3"/>
        <v>octubre</v>
      </c>
      <c r="C7" s="37">
        <v>45931.0</v>
      </c>
      <c r="D7" s="28" t="s">
        <v>41</v>
      </c>
      <c r="E7" s="5">
        <v>85.0</v>
      </c>
      <c r="F7" s="5">
        <v>72.0</v>
      </c>
      <c r="G7" s="5">
        <v>3.0</v>
      </c>
      <c r="H7" s="5">
        <v>11.0</v>
      </c>
      <c r="J7" s="28" t="s">
        <v>52</v>
      </c>
      <c r="K7" s="23">
        <f t="shared" si="4"/>
        <v>41.75</v>
      </c>
      <c r="L7" s="23">
        <f t="shared" si="5"/>
        <v>28.875</v>
      </c>
      <c r="M7" s="23">
        <f t="shared" si="6"/>
        <v>2.375</v>
      </c>
      <c r="N7" s="23">
        <f t="shared" si="7"/>
        <v>2.8125</v>
      </c>
      <c r="O7" s="23">
        <f t="shared" si="8"/>
        <v>4.175</v>
      </c>
      <c r="P7" s="23">
        <f t="shared" si="9"/>
        <v>2.8875</v>
      </c>
      <c r="Q7" s="23">
        <f t="shared" si="10"/>
        <v>167</v>
      </c>
      <c r="R7" s="23">
        <f t="shared" si="11"/>
        <v>115.5</v>
      </c>
      <c r="S7" s="30">
        <v>10.0</v>
      </c>
      <c r="T7" s="30">
        <v>4.0</v>
      </c>
      <c r="Z7" s="23">
        <f t="shared" ref="Z7:AA7" si="14">V7/4</f>
        <v>0</v>
      </c>
      <c r="AA7" s="23">
        <f t="shared" si="14"/>
        <v>0</v>
      </c>
    </row>
    <row r="8" ht="15.75" customHeight="1">
      <c r="A8" s="22" t="str">
        <f t="shared" si="2"/>
        <v>miércoles</v>
      </c>
      <c r="B8" s="24" t="str">
        <f t="shared" si="3"/>
        <v>octubre</v>
      </c>
      <c r="C8" s="37">
        <v>45931.0</v>
      </c>
      <c r="D8" s="28" t="s">
        <v>51</v>
      </c>
      <c r="E8" s="5">
        <v>35.0</v>
      </c>
      <c r="F8" s="5">
        <v>21.0</v>
      </c>
      <c r="G8" s="5">
        <v>2.0</v>
      </c>
      <c r="H8" s="5">
        <v>9.0</v>
      </c>
      <c r="J8" s="28" t="s">
        <v>41</v>
      </c>
      <c r="K8" s="23">
        <f t="shared" si="4"/>
        <v>79.07692308</v>
      </c>
      <c r="L8" s="23">
        <f t="shared" si="5"/>
        <v>58.84615385</v>
      </c>
      <c r="M8" s="23">
        <f t="shared" si="6"/>
        <v>2</v>
      </c>
      <c r="N8" s="23">
        <f t="shared" si="7"/>
        <v>5.615384615</v>
      </c>
      <c r="O8" s="23">
        <f t="shared" si="8"/>
        <v>7.188811189</v>
      </c>
      <c r="P8" s="23">
        <f t="shared" si="9"/>
        <v>5.34965035</v>
      </c>
      <c r="Q8" s="23">
        <f t="shared" si="10"/>
        <v>316.3076923</v>
      </c>
      <c r="R8" s="23">
        <f t="shared" si="11"/>
        <v>235.3846154</v>
      </c>
      <c r="S8" s="30">
        <v>11.0</v>
      </c>
      <c r="T8" s="30">
        <v>4.0</v>
      </c>
      <c r="Z8" s="23">
        <f t="shared" ref="Z8:AA8" si="15">V8/4</f>
        <v>0</v>
      </c>
      <c r="AA8" s="23">
        <f t="shared" si="15"/>
        <v>0</v>
      </c>
    </row>
    <row r="9" ht="15.75" customHeight="1">
      <c r="A9" s="22" t="str">
        <f t="shared" si="2"/>
        <v>miércoles</v>
      </c>
      <c r="B9" s="24" t="str">
        <f t="shared" si="3"/>
        <v>octubre</v>
      </c>
      <c r="C9" s="37">
        <v>45931.0</v>
      </c>
      <c r="D9" s="28" t="s">
        <v>39</v>
      </c>
      <c r="E9" s="5">
        <v>67.0</v>
      </c>
      <c r="F9" s="5">
        <v>42.0</v>
      </c>
      <c r="G9" s="5">
        <v>5.0</v>
      </c>
      <c r="H9" s="5">
        <v>14.0</v>
      </c>
      <c r="J9" s="28" t="s">
        <v>42</v>
      </c>
      <c r="K9" s="23">
        <f t="shared" si="4"/>
        <v>77.13333333</v>
      </c>
      <c r="L9" s="23">
        <f t="shared" si="5"/>
        <v>49.66666667</v>
      </c>
      <c r="M9" s="23">
        <f t="shared" si="6"/>
        <v>3.6</v>
      </c>
      <c r="N9" s="23">
        <f t="shared" si="7"/>
        <v>10.2</v>
      </c>
      <c r="O9" s="23">
        <f t="shared" si="8"/>
        <v>7.713333333</v>
      </c>
      <c r="P9" s="23">
        <f t="shared" si="9"/>
        <v>4.966666667</v>
      </c>
      <c r="Q9" s="23">
        <f t="shared" si="10"/>
        <v>308.5333333</v>
      </c>
      <c r="R9" s="23">
        <f t="shared" si="11"/>
        <v>198.6666667</v>
      </c>
      <c r="S9" s="30">
        <v>10.0</v>
      </c>
      <c r="T9" s="30">
        <v>4.0</v>
      </c>
      <c r="Z9" s="23">
        <f t="shared" ref="Z9:AA9" si="16">V9/4</f>
        <v>0</v>
      </c>
      <c r="AA9" s="23">
        <f t="shared" si="16"/>
        <v>0</v>
      </c>
    </row>
    <row r="10" ht="15.75" customHeight="1">
      <c r="A10" s="22" t="str">
        <f t="shared" si="2"/>
        <v>miércoles</v>
      </c>
      <c r="B10" s="24" t="str">
        <f t="shared" si="3"/>
        <v>octubre</v>
      </c>
      <c r="C10" s="37">
        <v>45931.0</v>
      </c>
      <c r="D10" s="28" t="s">
        <v>65</v>
      </c>
      <c r="E10" s="5">
        <v>72.0</v>
      </c>
      <c r="F10" s="5">
        <v>61.0</v>
      </c>
      <c r="G10" s="5">
        <v>1.0</v>
      </c>
      <c r="H10" s="5">
        <v>0.0</v>
      </c>
      <c r="J10" s="28" t="s">
        <v>67</v>
      </c>
      <c r="K10" s="23">
        <f t="shared" si="4"/>
        <v>76.23529412</v>
      </c>
      <c r="L10" s="23">
        <f t="shared" si="5"/>
        <v>64.94117647</v>
      </c>
      <c r="M10" s="23">
        <f t="shared" si="6"/>
        <v>1.882352941</v>
      </c>
      <c r="N10" s="23">
        <f t="shared" si="7"/>
        <v>2.352941176</v>
      </c>
      <c r="O10" s="23">
        <f t="shared" si="8"/>
        <v>7.623529412</v>
      </c>
      <c r="P10" s="23">
        <f t="shared" si="9"/>
        <v>6.494117647</v>
      </c>
      <c r="Q10" s="23">
        <f t="shared" si="10"/>
        <v>304.9411765</v>
      </c>
      <c r="R10" s="23">
        <f t="shared" si="11"/>
        <v>259.7647059</v>
      </c>
      <c r="S10" s="30">
        <v>10.0</v>
      </c>
      <c r="T10" s="30">
        <v>4.0</v>
      </c>
      <c r="Z10" s="23">
        <f t="shared" ref="Z10:AA10" si="17">V10/4</f>
        <v>0</v>
      </c>
      <c r="AA10" s="23">
        <f t="shared" si="17"/>
        <v>0</v>
      </c>
    </row>
    <row r="11" ht="15.75" customHeight="1">
      <c r="A11" s="22" t="str">
        <f t="shared" si="2"/>
        <v>miércoles</v>
      </c>
      <c r="B11" s="24" t="str">
        <f t="shared" si="3"/>
        <v>octubre</v>
      </c>
      <c r="C11" s="37">
        <v>45931.0</v>
      </c>
      <c r="D11" s="28" t="s">
        <v>66</v>
      </c>
      <c r="E11" s="5">
        <v>117.0</v>
      </c>
      <c r="F11" s="5">
        <v>111.0</v>
      </c>
      <c r="G11" s="5">
        <v>1.0</v>
      </c>
      <c r="H11" s="5">
        <v>1.0</v>
      </c>
      <c r="J11" s="28" t="s">
        <v>58</v>
      </c>
      <c r="K11" s="23">
        <f t="shared" si="4"/>
        <v>61.30434783</v>
      </c>
      <c r="L11" s="23">
        <f t="shared" si="5"/>
        <v>42.30434783</v>
      </c>
      <c r="M11" s="23">
        <f t="shared" si="6"/>
        <v>5.739130435</v>
      </c>
      <c r="N11" s="23">
        <f t="shared" si="7"/>
        <v>7.173913043</v>
      </c>
      <c r="O11" s="23">
        <f t="shared" si="8"/>
        <v>7.663043478</v>
      </c>
      <c r="P11" s="23">
        <f t="shared" si="9"/>
        <v>5.288043478</v>
      </c>
      <c r="Q11" s="23">
        <f t="shared" si="10"/>
        <v>306.5217391</v>
      </c>
      <c r="R11" s="23">
        <f t="shared" si="11"/>
        <v>211.5217391</v>
      </c>
      <c r="S11" s="30">
        <v>8.0</v>
      </c>
      <c r="T11" s="30">
        <v>5.0</v>
      </c>
      <c r="Z11" s="23">
        <f t="shared" ref="Z11:AA11" si="18">V11/4</f>
        <v>0</v>
      </c>
      <c r="AA11" s="23">
        <f t="shared" si="18"/>
        <v>0</v>
      </c>
    </row>
    <row r="12" ht="15.75" customHeight="1">
      <c r="A12" s="22" t="str">
        <f t="shared" si="2"/>
        <v>miércoles</v>
      </c>
      <c r="B12" s="24" t="str">
        <f t="shared" si="3"/>
        <v>octubre</v>
      </c>
      <c r="C12" s="37">
        <v>45931.0</v>
      </c>
      <c r="D12" s="28" t="s">
        <v>67</v>
      </c>
      <c r="E12" s="5">
        <v>57.0</v>
      </c>
      <c r="F12" s="5">
        <v>47.0</v>
      </c>
      <c r="G12" s="5">
        <v>0.0</v>
      </c>
      <c r="H12" s="5">
        <v>0.0</v>
      </c>
      <c r="J12" s="28" t="s">
        <v>64</v>
      </c>
      <c r="K12" s="23">
        <f t="shared" si="4"/>
        <v>113.0434783</v>
      </c>
      <c r="L12" s="23">
        <f t="shared" si="5"/>
        <v>71.82608696</v>
      </c>
      <c r="M12" s="23">
        <f t="shared" si="6"/>
        <v>4.347826087</v>
      </c>
      <c r="N12" s="23">
        <f t="shared" si="7"/>
        <v>12.47826087</v>
      </c>
      <c r="O12" s="23">
        <f t="shared" si="8"/>
        <v>14.13043478</v>
      </c>
      <c r="P12" s="23">
        <f t="shared" si="9"/>
        <v>8.97826087</v>
      </c>
      <c r="Q12" s="23">
        <f t="shared" si="10"/>
        <v>565.2173913</v>
      </c>
      <c r="R12" s="23">
        <f t="shared" si="11"/>
        <v>359.1304348</v>
      </c>
      <c r="S12" s="30">
        <v>8.0</v>
      </c>
      <c r="T12" s="30">
        <v>5.0</v>
      </c>
      <c r="Z12" s="23">
        <f t="shared" ref="Z12:AA12" si="19">V12/4</f>
        <v>0</v>
      </c>
      <c r="AA12" s="23">
        <f t="shared" si="19"/>
        <v>0</v>
      </c>
    </row>
    <row r="13" ht="15.75" customHeight="1">
      <c r="A13" s="22" t="str">
        <f t="shared" si="2"/>
        <v>miércoles</v>
      </c>
      <c r="B13" s="24" t="str">
        <f t="shared" si="3"/>
        <v>octubre</v>
      </c>
      <c r="C13" s="37">
        <v>45931.0</v>
      </c>
      <c r="D13" s="5" t="s">
        <v>93</v>
      </c>
      <c r="E13" s="5">
        <v>93.0</v>
      </c>
      <c r="F13" s="5">
        <v>64.0</v>
      </c>
      <c r="G13" s="5">
        <v>0.0</v>
      </c>
      <c r="H13" s="5">
        <v>0.0</v>
      </c>
      <c r="J13" s="28" t="s">
        <v>65</v>
      </c>
      <c r="K13" s="23">
        <f t="shared" si="4"/>
        <v>69.52173913</v>
      </c>
      <c r="L13" s="23">
        <f t="shared" si="5"/>
        <v>55.26086957</v>
      </c>
      <c r="M13" s="23">
        <f t="shared" si="6"/>
        <v>2.47826087</v>
      </c>
      <c r="N13" s="23">
        <f t="shared" si="7"/>
        <v>2.086956522</v>
      </c>
      <c r="O13" s="23">
        <f t="shared" si="8"/>
        <v>8.690217391</v>
      </c>
      <c r="P13" s="23">
        <f t="shared" si="9"/>
        <v>6.907608696</v>
      </c>
      <c r="Q13" s="23">
        <f t="shared" si="10"/>
        <v>347.6086957</v>
      </c>
      <c r="R13" s="23">
        <f t="shared" si="11"/>
        <v>276.3043478</v>
      </c>
      <c r="S13" s="30">
        <v>8.0</v>
      </c>
      <c r="T13" s="30">
        <v>5.0</v>
      </c>
      <c r="Z13" s="23">
        <f t="shared" ref="Z13:AA13" si="20">V13/4</f>
        <v>0</v>
      </c>
      <c r="AA13" s="23">
        <f t="shared" si="20"/>
        <v>0</v>
      </c>
    </row>
    <row r="14" ht="15.75" customHeight="1">
      <c r="A14" s="22" t="str">
        <f t="shared" si="2"/>
        <v>miércoles</v>
      </c>
      <c r="B14" s="24" t="str">
        <f t="shared" si="3"/>
        <v>octubre</v>
      </c>
      <c r="C14" s="37">
        <v>45931.0</v>
      </c>
      <c r="D14" s="5" t="s">
        <v>127</v>
      </c>
      <c r="E14" s="5">
        <v>32.0</v>
      </c>
      <c r="F14" s="5">
        <v>7.0</v>
      </c>
      <c r="G14" s="5">
        <v>0.0</v>
      </c>
      <c r="H14" s="5">
        <v>0.0</v>
      </c>
      <c r="J14" s="28" t="s">
        <v>51</v>
      </c>
      <c r="K14" s="23">
        <f t="shared" si="4"/>
        <v>53.33333333</v>
      </c>
      <c r="L14" s="23">
        <f t="shared" si="5"/>
        <v>38.33333333</v>
      </c>
      <c r="M14" s="23">
        <f t="shared" si="6"/>
        <v>2.611111111</v>
      </c>
      <c r="N14" s="23">
        <f t="shared" si="7"/>
        <v>14.38888889</v>
      </c>
      <c r="O14" s="23">
        <f t="shared" si="8"/>
        <v>4.848484848</v>
      </c>
      <c r="P14" s="23">
        <f t="shared" si="9"/>
        <v>3.484848485</v>
      </c>
      <c r="Q14" s="23">
        <f t="shared" si="10"/>
        <v>213.3333333</v>
      </c>
      <c r="R14" s="23">
        <f t="shared" si="11"/>
        <v>153.3333333</v>
      </c>
      <c r="S14" s="30">
        <v>11.0</v>
      </c>
      <c r="T14" s="30">
        <v>4.0</v>
      </c>
      <c r="Z14" s="23">
        <f t="shared" ref="Z14:AA14" si="21">V14/4</f>
        <v>0</v>
      </c>
      <c r="AA14" s="23">
        <f t="shared" si="21"/>
        <v>0</v>
      </c>
    </row>
    <row r="15" ht="15.75" customHeight="1">
      <c r="A15" s="22" t="str">
        <f t="shared" si="2"/>
        <v>miércoles</v>
      </c>
      <c r="B15" s="24" t="str">
        <f t="shared" si="3"/>
        <v>octubre</v>
      </c>
      <c r="C15" s="37">
        <v>45931.0</v>
      </c>
      <c r="D15" s="5" t="s">
        <v>107</v>
      </c>
      <c r="E15" s="5">
        <v>52.0</v>
      </c>
      <c r="F15" s="5">
        <v>31.0</v>
      </c>
      <c r="G15" s="5">
        <v>0.0</v>
      </c>
      <c r="H15" s="5">
        <v>0.0</v>
      </c>
      <c r="J15" s="28" t="s">
        <v>66</v>
      </c>
      <c r="K15" s="23">
        <f t="shared" si="4"/>
        <v>108.5652174</v>
      </c>
      <c r="L15" s="23">
        <f t="shared" si="5"/>
        <v>97.30434783</v>
      </c>
      <c r="M15" s="23">
        <f t="shared" si="6"/>
        <v>0.2173913043</v>
      </c>
      <c r="N15" s="23">
        <f t="shared" si="7"/>
        <v>3.652173913</v>
      </c>
      <c r="O15" s="23">
        <f t="shared" si="8"/>
        <v>13.57065217</v>
      </c>
      <c r="P15" s="23">
        <f t="shared" si="9"/>
        <v>12.16304348</v>
      </c>
      <c r="Q15" s="23">
        <f t="shared" si="10"/>
        <v>542.826087</v>
      </c>
      <c r="R15" s="23">
        <f t="shared" si="11"/>
        <v>486.5217391</v>
      </c>
      <c r="S15" s="30">
        <v>8.0</v>
      </c>
      <c r="T15" s="30">
        <v>5.0</v>
      </c>
      <c r="Z15" s="23">
        <f t="shared" ref="Z15:AA15" si="22">V15/4</f>
        <v>0</v>
      </c>
      <c r="AA15" s="23">
        <f t="shared" si="22"/>
        <v>0</v>
      </c>
    </row>
    <row r="16" ht="15.75" customHeight="1">
      <c r="A16" s="22" t="str">
        <f t="shared" si="2"/>
        <v>miércoles</v>
      </c>
      <c r="B16" s="24" t="str">
        <f t="shared" si="3"/>
        <v>octubre</v>
      </c>
      <c r="C16" s="37">
        <v>45931.0</v>
      </c>
      <c r="D16" s="5" t="s">
        <v>89</v>
      </c>
      <c r="E16" s="5">
        <v>106.0</v>
      </c>
      <c r="F16" s="5">
        <v>73.0</v>
      </c>
      <c r="G16" s="5">
        <v>0.0</v>
      </c>
      <c r="H16" s="5">
        <v>2.0</v>
      </c>
      <c r="Z16" s="23"/>
      <c r="AA16" s="23"/>
    </row>
    <row r="17" ht="15.75" customHeight="1">
      <c r="A17" s="22" t="str">
        <f t="shared" si="2"/>
        <v>jueves</v>
      </c>
      <c r="B17" s="24" t="str">
        <f t="shared" si="3"/>
        <v>octubre</v>
      </c>
      <c r="C17" s="37">
        <v>45932.0</v>
      </c>
      <c r="D17" s="28" t="s">
        <v>64</v>
      </c>
      <c r="E17" s="5">
        <v>110.0</v>
      </c>
      <c r="F17" s="5">
        <v>76.0</v>
      </c>
      <c r="G17" s="5">
        <v>1.0</v>
      </c>
      <c r="H17" s="5">
        <v>10.0</v>
      </c>
    </row>
    <row r="18" ht="15.75" customHeight="1">
      <c r="A18" s="22" t="str">
        <f t="shared" si="2"/>
        <v>jueves</v>
      </c>
      <c r="B18" s="24" t="str">
        <f t="shared" si="3"/>
        <v>octubre</v>
      </c>
      <c r="C18" s="37">
        <v>45932.0</v>
      </c>
      <c r="D18" s="28" t="s">
        <v>58</v>
      </c>
      <c r="E18" s="5">
        <v>46.0</v>
      </c>
      <c r="F18" s="5">
        <v>26.0</v>
      </c>
      <c r="G18" s="5">
        <v>4.0</v>
      </c>
      <c r="H18" s="5">
        <v>5.0</v>
      </c>
    </row>
    <row r="19" ht="15.75" customHeight="1">
      <c r="A19" s="22" t="str">
        <f t="shared" si="2"/>
        <v>jueves</v>
      </c>
      <c r="B19" s="24" t="str">
        <f t="shared" si="3"/>
        <v>octubre</v>
      </c>
      <c r="C19" s="37">
        <v>45932.0</v>
      </c>
      <c r="D19" s="28" t="s">
        <v>42</v>
      </c>
      <c r="E19" s="5">
        <v>63.0</v>
      </c>
      <c r="F19" s="5">
        <v>39.0</v>
      </c>
      <c r="G19" s="5">
        <v>2.0</v>
      </c>
      <c r="H19" s="5">
        <v>10.0</v>
      </c>
    </row>
    <row r="20" ht="15.75" customHeight="1">
      <c r="A20" s="22" t="str">
        <f t="shared" si="2"/>
        <v>jueves</v>
      </c>
      <c r="B20" s="24" t="str">
        <f t="shared" si="3"/>
        <v>octubre</v>
      </c>
      <c r="C20" s="37">
        <v>45932.0</v>
      </c>
      <c r="D20" s="28" t="s">
        <v>41</v>
      </c>
      <c r="E20" s="5">
        <v>76.0</v>
      </c>
      <c r="F20" s="5">
        <v>56.0</v>
      </c>
      <c r="G20" s="5">
        <v>1.0</v>
      </c>
      <c r="H20" s="5">
        <v>5.0</v>
      </c>
      <c r="J20" s="39" t="s">
        <v>69</v>
      </c>
      <c r="K20" s="40">
        <f t="shared" ref="K20:R20" si="23">AVERAGE(K4:K15)</f>
        <v>77.41064742</v>
      </c>
      <c r="L20" s="40">
        <f t="shared" si="23"/>
        <v>56.7097464</v>
      </c>
      <c r="M20" s="40">
        <f t="shared" si="23"/>
        <v>2.456820165</v>
      </c>
      <c r="N20" s="40">
        <f t="shared" si="23"/>
        <v>6.056580646</v>
      </c>
      <c r="O20" s="39">
        <f t="shared" si="23"/>
        <v>8.348971316</v>
      </c>
      <c r="P20" s="39">
        <f t="shared" si="23"/>
        <v>6.126028228</v>
      </c>
      <c r="Q20" s="39">
        <f t="shared" si="23"/>
        <v>343.7813857</v>
      </c>
      <c r="R20" s="39">
        <f t="shared" si="23"/>
        <v>252.1213156</v>
      </c>
    </row>
    <row r="21" ht="15.75" customHeight="1">
      <c r="A21" s="22" t="str">
        <f t="shared" si="2"/>
        <v>jueves</v>
      </c>
      <c r="B21" s="24" t="str">
        <f t="shared" si="3"/>
        <v>octubre</v>
      </c>
      <c r="C21" s="37">
        <v>45932.0</v>
      </c>
      <c r="D21" s="28" t="s">
        <v>51</v>
      </c>
      <c r="E21" s="5">
        <v>33.0</v>
      </c>
      <c r="F21" s="5">
        <v>23.0</v>
      </c>
      <c r="G21" s="5">
        <v>4.0</v>
      </c>
      <c r="H21" s="5">
        <v>16.0</v>
      </c>
      <c r="J21" s="5" t="s">
        <v>156</v>
      </c>
    </row>
    <row r="22" ht="15.75" customHeight="1">
      <c r="A22" s="22" t="str">
        <f t="shared" si="2"/>
        <v>jueves</v>
      </c>
      <c r="B22" s="24" t="str">
        <f t="shared" si="3"/>
        <v>octubre</v>
      </c>
      <c r="C22" s="37">
        <v>45932.0</v>
      </c>
      <c r="D22" s="28" t="s">
        <v>52</v>
      </c>
      <c r="E22" s="5">
        <v>30.0</v>
      </c>
      <c r="F22" s="5">
        <v>26.0</v>
      </c>
      <c r="G22" s="5">
        <v>1.0</v>
      </c>
      <c r="H22" s="5">
        <v>0.0</v>
      </c>
      <c r="J22" s="42" t="s">
        <v>73</v>
      </c>
    </row>
    <row r="23" ht="15.75" customHeight="1">
      <c r="A23" s="22" t="str">
        <f t="shared" si="2"/>
        <v>jueves</v>
      </c>
      <c r="B23" s="24" t="str">
        <f t="shared" si="3"/>
        <v>octubre</v>
      </c>
      <c r="C23" s="37">
        <v>45932.0</v>
      </c>
      <c r="D23" s="5" t="s">
        <v>145</v>
      </c>
      <c r="E23" s="5">
        <v>26.0</v>
      </c>
      <c r="F23" s="5">
        <v>11.0</v>
      </c>
      <c r="G23" s="5">
        <v>7.0</v>
      </c>
      <c r="H23" s="5">
        <v>1.0</v>
      </c>
      <c r="K23" s="44" t="s">
        <v>74</v>
      </c>
      <c r="O23" s="45" t="s">
        <v>75</v>
      </c>
      <c r="Q23" s="45" t="s">
        <v>76</v>
      </c>
    </row>
    <row r="24" ht="15.75" customHeight="1">
      <c r="A24" s="22" t="str">
        <f t="shared" si="2"/>
        <v>jueves</v>
      </c>
      <c r="B24" s="24" t="str">
        <f t="shared" si="3"/>
        <v>octubre</v>
      </c>
      <c r="C24" s="37">
        <v>45932.0</v>
      </c>
      <c r="D24" s="5" t="s">
        <v>116</v>
      </c>
      <c r="E24" s="5">
        <v>20.0</v>
      </c>
      <c r="F24" s="5">
        <v>10.0</v>
      </c>
      <c r="G24" s="5">
        <v>3.0</v>
      </c>
      <c r="H24" s="5">
        <v>3.0</v>
      </c>
      <c r="K24" s="47" t="s">
        <v>25</v>
      </c>
      <c r="L24" s="47" t="s">
        <v>26</v>
      </c>
      <c r="M24" s="48" t="s">
        <v>79</v>
      </c>
      <c r="N24" s="47" t="s">
        <v>31</v>
      </c>
      <c r="O24" s="47" t="s">
        <v>25</v>
      </c>
      <c r="P24" s="47" t="s">
        <v>26</v>
      </c>
      <c r="Q24" s="47" t="s">
        <v>25</v>
      </c>
      <c r="R24" s="47" t="s">
        <v>26</v>
      </c>
    </row>
    <row r="25" ht="15.75" customHeight="1">
      <c r="A25" s="22" t="str">
        <f t="shared" si="2"/>
        <v>jueves</v>
      </c>
      <c r="B25" s="24" t="str">
        <f t="shared" si="3"/>
        <v>octubre</v>
      </c>
      <c r="C25" s="37">
        <v>45932.0</v>
      </c>
      <c r="D25" s="28" t="s">
        <v>65</v>
      </c>
      <c r="E25" s="5">
        <v>51.0</v>
      </c>
      <c r="F25" s="5">
        <v>33.0</v>
      </c>
      <c r="G25" s="5">
        <v>2.0</v>
      </c>
      <c r="H25" s="5">
        <v>0.0</v>
      </c>
      <c r="J25" s="16"/>
      <c r="K25" s="49" t="s">
        <v>64</v>
      </c>
      <c r="L25" s="49" t="s">
        <v>66</v>
      </c>
      <c r="M25" s="49" t="s">
        <v>58</v>
      </c>
      <c r="N25" s="49" t="s">
        <v>51</v>
      </c>
      <c r="O25" s="49" t="s">
        <v>64</v>
      </c>
      <c r="P25" s="49" t="s">
        <v>66</v>
      </c>
      <c r="Q25" s="49" t="s">
        <v>64</v>
      </c>
      <c r="R25" s="50" t="s">
        <v>66</v>
      </c>
    </row>
    <row r="26" ht="15.75" customHeight="1">
      <c r="A26" s="22" t="str">
        <f t="shared" si="2"/>
        <v>jueves</v>
      </c>
      <c r="B26" s="24" t="str">
        <f t="shared" si="3"/>
        <v>octubre</v>
      </c>
      <c r="C26" s="37">
        <v>45932.0</v>
      </c>
      <c r="D26" s="28" t="s">
        <v>66</v>
      </c>
      <c r="E26" s="5">
        <v>98.0</v>
      </c>
      <c r="F26" s="5">
        <v>95.0</v>
      </c>
      <c r="G26" s="5">
        <v>0.0</v>
      </c>
      <c r="H26" s="5">
        <v>0.0</v>
      </c>
      <c r="J26" s="16"/>
      <c r="K26" s="49" t="s">
        <v>66</v>
      </c>
      <c r="L26" s="49" t="s">
        <v>59</v>
      </c>
      <c r="M26" s="49" t="s">
        <v>64</v>
      </c>
      <c r="N26" s="49" t="s">
        <v>64</v>
      </c>
      <c r="O26" s="49" t="s">
        <v>66</v>
      </c>
      <c r="P26" s="49" t="s">
        <v>64</v>
      </c>
      <c r="Q26" s="49" t="s">
        <v>66</v>
      </c>
      <c r="R26" s="50" t="s">
        <v>64</v>
      </c>
    </row>
    <row r="27" ht="15.75" customHeight="1">
      <c r="A27" s="22" t="str">
        <f t="shared" si="2"/>
        <v>jueves</v>
      </c>
      <c r="B27" s="24" t="str">
        <f t="shared" si="3"/>
        <v>octubre</v>
      </c>
      <c r="C27" s="37">
        <v>45932.0</v>
      </c>
      <c r="D27" s="5" t="s">
        <v>89</v>
      </c>
      <c r="E27" s="5">
        <v>22.0</v>
      </c>
      <c r="F27" s="5">
        <v>16.0</v>
      </c>
      <c r="G27" s="5">
        <v>1.0</v>
      </c>
      <c r="H27" s="5">
        <v>1.0</v>
      </c>
      <c r="J27" s="16"/>
      <c r="K27" s="49" t="s">
        <v>59</v>
      </c>
      <c r="L27" s="49" t="s">
        <v>64</v>
      </c>
      <c r="M27" s="49" t="s">
        <v>42</v>
      </c>
      <c r="N27" s="49" t="s">
        <v>39</v>
      </c>
      <c r="O27" s="49" t="s">
        <v>59</v>
      </c>
      <c r="P27" s="49" t="s">
        <v>59</v>
      </c>
      <c r="Q27" s="49" t="s">
        <v>59</v>
      </c>
      <c r="R27" s="50" t="s">
        <v>59</v>
      </c>
    </row>
    <row r="28" ht="15.75" customHeight="1">
      <c r="A28" s="22" t="str">
        <f t="shared" si="2"/>
        <v>jueves</v>
      </c>
      <c r="B28" s="24" t="str">
        <f t="shared" si="3"/>
        <v>octubre</v>
      </c>
      <c r="C28" s="37">
        <v>45932.0</v>
      </c>
      <c r="D28" s="5" t="s">
        <v>157</v>
      </c>
      <c r="E28" s="5">
        <v>43.0</v>
      </c>
      <c r="F28" s="5">
        <v>34.0</v>
      </c>
      <c r="G28" s="5">
        <v>0.0</v>
      </c>
      <c r="H28" s="5">
        <v>2.0</v>
      </c>
      <c r="J28" s="53"/>
      <c r="K28" s="49" t="s">
        <v>44</v>
      </c>
      <c r="L28" s="49" t="s">
        <v>67</v>
      </c>
      <c r="M28" s="49" t="s">
        <v>39</v>
      </c>
      <c r="N28" s="49" t="s">
        <v>42</v>
      </c>
      <c r="O28" s="49" t="s">
        <v>65</v>
      </c>
      <c r="P28" s="49" t="s">
        <v>65</v>
      </c>
      <c r="Q28" s="49" t="s">
        <v>44</v>
      </c>
      <c r="R28" s="50" t="s">
        <v>65</v>
      </c>
    </row>
    <row r="29" ht="15.75" customHeight="1">
      <c r="A29" s="22" t="str">
        <f t="shared" si="2"/>
        <v>jueves</v>
      </c>
      <c r="B29" s="24" t="str">
        <f t="shared" si="3"/>
        <v>octubre</v>
      </c>
      <c r="C29" s="37">
        <v>45932.0</v>
      </c>
      <c r="D29" s="5" t="s">
        <v>93</v>
      </c>
      <c r="E29" s="5">
        <v>37.0</v>
      </c>
      <c r="F29" s="5">
        <v>33.0</v>
      </c>
      <c r="G29" s="5">
        <v>0.0</v>
      </c>
      <c r="H29" s="5">
        <v>0.0</v>
      </c>
      <c r="J29" s="53"/>
      <c r="K29" s="49" t="s">
        <v>41</v>
      </c>
      <c r="L29" s="49" t="s">
        <v>41</v>
      </c>
      <c r="M29" s="49" t="s">
        <v>51</v>
      </c>
      <c r="N29" s="49" t="s">
        <v>58</v>
      </c>
      <c r="O29" s="49" t="s">
        <v>44</v>
      </c>
      <c r="P29" s="49" t="s">
        <v>67</v>
      </c>
      <c r="Q29" s="49" t="s">
        <v>65</v>
      </c>
      <c r="R29" s="50" t="s">
        <v>67</v>
      </c>
    </row>
    <row r="30" ht="15.75" customHeight="1">
      <c r="A30" s="22" t="str">
        <f t="shared" si="2"/>
        <v>jueves</v>
      </c>
      <c r="B30" s="24" t="str">
        <f t="shared" si="3"/>
        <v>octubre</v>
      </c>
      <c r="C30" s="37">
        <v>45932.0</v>
      </c>
      <c r="D30" s="5" t="s">
        <v>127</v>
      </c>
      <c r="E30" s="5">
        <v>63.0</v>
      </c>
      <c r="F30" s="5">
        <v>17.0</v>
      </c>
      <c r="G30" s="5">
        <v>0.0</v>
      </c>
      <c r="H30" s="5">
        <v>0.0</v>
      </c>
      <c r="J30" s="53"/>
      <c r="K30" s="52" t="s">
        <v>42</v>
      </c>
      <c r="L30" s="52" t="s">
        <v>44</v>
      </c>
      <c r="M30" s="52" t="s">
        <v>65</v>
      </c>
      <c r="N30" s="52" t="s">
        <v>41</v>
      </c>
      <c r="O30" s="52" t="s">
        <v>42</v>
      </c>
      <c r="P30" s="52" t="s">
        <v>41</v>
      </c>
      <c r="Q30" s="52" t="s">
        <v>41</v>
      </c>
      <c r="R30" s="52" t="s">
        <v>41</v>
      </c>
    </row>
    <row r="31" ht="15.75" customHeight="1">
      <c r="A31" s="22" t="str">
        <f t="shared" si="2"/>
        <v>jueves</v>
      </c>
      <c r="B31" s="24" t="str">
        <f t="shared" si="3"/>
        <v>octubre</v>
      </c>
      <c r="C31" s="37">
        <v>45932.0</v>
      </c>
      <c r="D31" s="5" t="s">
        <v>117</v>
      </c>
      <c r="E31" s="5">
        <v>120.0</v>
      </c>
      <c r="F31" s="5">
        <v>49.0</v>
      </c>
      <c r="G31" s="5">
        <v>0.0</v>
      </c>
      <c r="H31" s="5">
        <v>0.0</v>
      </c>
      <c r="J31" s="53"/>
      <c r="K31" s="52" t="s">
        <v>67</v>
      </c>
      <c r="L31" s="52" t="s">
        <v>65</v>
      </c>
      <c r="M31" s="52" t="s">
        <v>52</v>
      </c>
      <c r="N31" s="52" t="s">
        <v>66</v>
      </c>
      <c r="O31" s="52" t="s">
        <v>58</v>
      </c>
      <c r="P31" s="52" t="s">
        <v>58</v>
      </c>
      <c r="Q31" s="52" t="s">
        <v>42</v>
      </c>
      <c r="R31" s="52" t="s">
        <v>44</v>
      </c>
    </row>
    <row r="32" ht="15.75" customHeight="1">
      <c r="A32" s="22" t="str">
        <f t="shared" si="2"/>
        <v>jueves</v>
      </c>
      <c r="B32" s="24" t="str">
        <f t="shared" si="3"/>
        <v>octubre</v>
      </c>
      <c r="C32" s="37">
        <v>45932.0</v>
      </c>
      <c r="D32" s="5" t="s">
        <v>107</v>
      </c>
      <c r="E32" s="5">
        <v>104.0</v>
      </c>
      <c r="F32" s="5">
        <v>45.0</v>
      </c>
      <c r="G32" s="5">
        <v>0.0</v>
      </c>
      <c r="H32" s="5">
        <v>0.0</v>
      </c>
      <c r="J32" s="53"/>
      <c r="K32" s="52" t="s">
        <v>65</v>
      </c>
      <c r="L32" s="52" t="s">
        <v>42</v>
      </c>
      <c r="M32" s="52" t="s">
        <v>41</v>
      </c>
      <c r="N32" s="52" t="s">
        <v>52</v>
      </c>
      <c r="O32" s="52" t="s">
        <v>67</v>
      </c>
      <c r="P32" s="52" t="s">
        <v>44</v>
      </c>
      <c r="Q32" s="52" t="s">
        <v>58</v>
      </c>
      <c r="R32" s="52" t="s">
        <v>58</v>
      </c>
    </row>
    <row r="33" ht="15.75" customHeight="1">
      <c r="A33" s="22" t="str">
        <f t="shared" si="2"/>
        <v>viernes</v>
      </c>
      <c r="B33" s="24" t="str">
        <f t="shared" si="3"/>
        <v>octubre</v>
      </c>
      <c r="C33" s="37">
        <v>45933.0</v>
      </c>
      <c r="D33" s="5" t="s">
        <v>116</v>
      </c>
      <c r="E33" s="5">
        <v>29.0</v>
      </c>
      <c r="F33" s="5">
        <v>21.0</v>
      </c>
      <c r="G33" s="5">
        <v>8.0</v>
      </c>
      <c r="H33" s="5">
        <v>0.0</v>
      </c>
      <c r="J33" s="53"/>
      <c r="K33" s="52" t="s">
        <v>58</v>
      </c>
      <c r="L33" s="52" t="s">
        <v>58</v>
      </c>
      <c r="M33" s="52" t="s">
        <v>67</v>
      </c>
      <c r="N33" s="52" t="s">
        <v>67</v>
      </c>
      <c r="O33" s="52" t="s">
        <v>41</v>
      </c>
      <c r="P33" s="52" t="s">
        <v>42</v>
      </c>
      <c r="Q33" s="52" t="s">
        <v>67</v>
      </c>
      <c r="R33" s="52" t="s">
        <v>42</v>
      </c>
    </row>
    <row r="34" ht="15.75" customHeight="1">
      <c r="A34" s="22" t="str">
        <f t="shared" si="2"/>
        <v>viernes</v>
      </c>
      <c r="B34" s="24" t="str">
        <f t="shared" si="3"/>
        <v>octubre</v>
      </c>
      <c r="C34" s="37">
        <v>45933.0</v>
      </c>
      <c r="D34" s="28" t="s">
        <v>51</v>
      </c>
      <c r="E34" s="5">
        <v>68.0</v>
      </c>
      <c r="F34" s="5">
        <v>51.0</v>
      </c>
      <c r="G34" s="5">
        <v>3.0</v>
      </c>
      <c r="H34" s="5">
        <v>27.0</v>
      </c>
      <c r="K34" s="52" t="s">
        <v>39</v>
      </c>
      <c r="L34" s="52" t="s">
        <v>51</v>
      </c>
      <c r="M34" s="52" t="s">
        <v>59</v>
      </c>
      <c r="N34" s="52" t="s">
        <v>65</v>
      </c>
      <c r="O34" s="52" t="s">
        <v>39</v>
      </c>
      <c r="P34" s="52" t="s">
        <v>39</v>
      </c>
      <c r="Q34" s="52" t="s">
        <v>39</v>
      </c>
      <c r="R34" s="52" t="s">
        <v>39</v>
      </c>
    </row>
    <row r="35" ht="15.75" customHeight="1">
      <c r="A35" s="22" t="str">
        <f t="shared" si="2"/>
        <v>viernes</v>
      </c>
      <c r="B35" s="24" t="str">
        <f t="shared" si="3"/>
        <v>octubre</v>
      </c>
      <c r="C35" s="37">
        <v>45933.0</v>
      </c>
      <c r="D35" s="5" t="s">
        <v>145</v>
      </c>
      <c r="E35" s="5">
        <v>20.0</v>
      </c>
      <c r="F35" s="5">
        <v>13.0</v>
      </c>
      <c r="G35" s="5">
        <v>5.0</v>
      </c>
      <c r="H35" s="5">
        <v>6.0</v>
      </c>
      <c r="K35" s="54" t="s">
        <v>51</v>
      </c>
      <c r="L35" s="54" t="s">
        <v>39</v>
      </c>
      <c r="M35" s="54" t="s">
        <v>66</v>
      </c>
      <c r="N35" s="54" t="s">
        <v>59</v>
      </c>
      <c r="O35" s="54" t="s">
        <v>51</v>
      </c>
      <c r="P35" s="54" t="s">
        <v>51</v>
      </c>
      <c r="Q35" s="54" t="s">
        <v>51</v>
      </c>
      <c r="R35" s="54" t="s">
        <v>51</v>
      </c>
    </row>
    <row r="36" ht="15.75" customHeight="1">
      <c r="A36" s="22" t="str">
        <f t="shared" si="2"/>
        <v>viernes</v>
      </c>
      <c r="B36" s="24" t="str">
        <f t="shared" si="3"/>
        <v>octubre</v>
      </c>
      <c r="C36" s="37">
        <v>45933.0</v>
      </c>
      <c r="D36" s="28" t="s">
        <v>52</v>
      </c>
      <c r="E36" s="5">
        <v>56.0</v>
      </c>
      <c r="F36" s="5">
        <v>47.0</v>
      </c>
      <c r="G36" s="5">
        <v>4.0</v>
      </c>
      <c r="H36" s="5">
        <v>1.0</v>
      </c>
      <c r="K36" s="54" t="s">
        <v>52</v>
      </c>
      <c r="L36" s="54" t="s">
        <v>52</v>
      </c>
      <c r="M36" s="54" t="s">
        <v>44</v>
      </c>
      <c r="N36" s="54" t="s">
        <v>44</v>
      </c>
      <c r="O36" s="54" t="s">
        <v>52</v>
      </c>
      <c r="P36" s="54" t="s">
        <v>52</v>
      </c>
      <c r="Q36" s="54" t="s">
        <v>52</v>
      </c>
      <c r="R36" s="54" t="s">
        <v>52</v>
      </c>
    </row>
    <row r="37" ht="15.75" customHeight="1">
      <c r="A37" s="22" t="str">
        <f t="shared" si="2"/>
        <v>viernes</v>
      </c>
      <c r="B37" s="24" t="str">
        <f t="shared" si="3"/>
        <v>octubre</v>
      </c>
      <c r="C37" s="37">
        <v>45933.0</v>
      </c>
      <c r="D37" s="28" t="s">
        <v>58</v>
      </c>
      <c r="E37" s="5">
        <v>43.0</v>
      </c>
      <c r="F37" s="5">
        <v>40.0</v>
      </c>
      <c r="G37" s="5">
        <v>7.0</v>
      </c>
      <c r="H37" s="5">
        <v>12.0</v>
      </c>
      <c r="K37" s="55"/>
      <c r="L37" s="55"/>
      <c r="M37" s="55"/>
      <c r="N37" s="55"/>
      <c r="O37" s="55"/>
      <c r="P37" s="55"/>
      <c r="Q37" s="55"/>
      <c r="R37" s="55"/>
    </row>
    <row r="38" ht="15.75" customHeight="1">
      <c r="A38" s="22" t="str">
        <f t="shared" si="2"/>
        <v>viernes</v>
      </c>
      <c r="B38" s="24" t="str">
        <f t="shared" si="3"/>
        <v>octubre</v>
      </c>
      <c r="C38" s="37">
        <v>45933.0</v>
      </c>
      <c r="D38" s="5" t="s">
        <v>146</v>
      </c>
      <c r="E38" s="5">
        <v>63.0</v>
      </c>
      <c r="F38" s="5">
        <v>46.0</v>
      </c>
      <c r="G38" s="5">
        <v>2.0</v>
      </c>
      <c r="H38" s="5">
        <v>5.0</v>
      </c>
    </row>
    <row r="39" ht="15.75" customHeight="1">
      <c r="A39" s="22" t="str">
        <f t="shared" si="2"/>
        <v>viernes</v>
      </c>
      <c r="B39" s="24" t="str">
        <f t="shared" si="3"/>
        <v>octubre</v>
      </c>
      <c r="C39" s="37">
        <v>45933.0</v>
      </c>
      <c r="D39" s="28" t="s">
        <v>64</v>
      </c>
      <c r="E39" s="5">
        <v>95.0</v>
      </c>
      <c r="F39" s="5">
        <v>57.0</v>
      </c>
      <c r="G39" s="5">
        <v>4.0</v>
      </c>
      <c r="H39" s="5">
        <v>13.0</v>
      </c>
    </row>
    <row r="40" ht="15.75" customHeight="1">
      <c r="A40" s="22" t="str">
        <f t="shared" si="2"/>
        <v>viernes</v>
      </c>
      <c r="B40" s="24" t="str">
        <f t="shared" si="3"/>
        <v>octubre</v>
      </c>
      <c r="C40" s="37">
        <v>45933.0</v>
      </c>
      <c r="D40" s="28" t="s">
        <v>65</v>
      </c>
      <c r="E40" s="5">
        <v>51.0</v>
      </c>
      <c r="F40" s="5">
        <v>41.0</v>
      </c>
      <c r="G40" s="5">
        <v>1.0</v>
      </c>
      <c r="H40" s="5">
        <v>0.0</v>
      </c>
      <c r="J40" s="40" t="s">
        <v>69</v>
      </c>
      <c r="K40" s="40">
        <f t="shared" ref="K40:R40" si="24">AVERAGE(K4:K15)</f>
        <v>77.41064742</v>
      </c>
      <c r="L40" s="40">
        <f t="shared" si="24"/>
        <v>56.7097464</v>
      </c>
      <c r="M40" s="40">
        <f t="shared" si="24"/>
        <v>2.456820165</v>
      </c>
      <c r="N40" s="40">
        <f t="shared" si="24"/>
        <v>6.056580646</v>
      </c>
      <c r="O40" s="40">
        <f t="shared" si="24"/>
        <v>8.348971316</v>
      </c>
      <c r="P40" s="40">
        <f t="shared" si="24"/>
        <v>6.126028228</v>
      </c>
      <c r="Q40" s="40">
        <f t="shared" si="24"/>
        <v>343.7813857</v>
      </c>
      <c r="R40" s="40">
        <f t="shared" si="24"/>
        <v>252.1213156</v>
      </c>
    </row>
    <row r="41" ht="15.75" customHeight="1">
      <c r="A41" s="22" t="str">
        <f t="shared" si="2"/>
        <v>viernes</v>
      </c>
      <c r="B41" s="24" t="str">
        <f t="shared" si="3"/>
        <v>octubre</v>
      </c>
      <c r="C41" s="37">
        <v>45933.0</v>
      </c>
      <c r="D41" s="28" t="s">
        <v>66</v>
      </c>
      <c r="E41" s="5">
        <v>78.0</v>
      </c>
      <c r="F41" s="5">
        <v>66.0</v>
      </c>
      <c r="G41" s="5">
        <v>0.0</v>
      </c>
      <c r="H41" s="5">
        <v>5.0</v>
      </c>
    </row>
    <row r="42" ht="15.75" customHeight="1">
      <c r="A42" s="22" t="str">
        <f t="shared" si="2"/>
        <v>sábado</v>
      </c>
      <c r="B42" s="24" t="str">
        <f t="shared" si="3"/>
        <v>octubre</v>
      </c>
      <c r="C42" s="37">
        <v>45934.0</v>
      </c>
      <c r="D42" s="5" t="s">
        <v>116</v>
      </c>
      <c r="E42" s="5">
        <v>30.0</v>
      </c>
      <c r="F42" s="5">
        <v>21.0</v>
      </c>
      <c r="G42" s="5">
        <v>7.0</v>
      </c>
      <c r="H42" s="5">
        <v>1.0</v>
      </c>
    </row>
    <row r="43" ht="15.75" customHeight="1">
      <c r="A43" s="22" t="str">
        <f t="shared" si="2"/>
        <v>sábado</v>
      </c>
      <c r="B43" s="24" t="str">
        <f t="shared" si="3"/>
        <v>octubre</v>
      </c>
      <c r="C43" s="37">
        <v>45934.0</v>
      </c>
      <c r="D43" s="28" t="s">
        <v>39</v>
      </c>
      <c r="E43" s="5">
        <v>30.0</v>
      </c>
      <c r="F43" s="5">
        <v>20.0</v>
      </c>
      <c r="G43" s="5">
        <v>0.0</v>
      </c>
      <c r="H43" s="5">
        <v>0.0</v>
      </c>
    </row>
    <row r="44" ht="15.75" customHeight="1">
      <c r="A44" s="22" t="str">
        <f t="shared" si="2"/>
        <v>sábado</v>
      </c>
      <c r="B44" s="24" t="str">
        <f t="shared" si="3"/>
        <v>octubre</v>
      </c>
      <c r="C44" s="37">
        <v>45934.0</v>
      </c>
      <c r="D44" s="5" t="s">
        <v>43</v>
      </c>
      <c r="E44" s="5">
        <v>32.0</v>
      </c>
      <c r="F44" s="5">
        <v>6.0</v>
      </c>
      <c r="G44" s="5">
        <v>5.0</v>
      </c>
      <c r="H44" s="5">
        <v>15.0</v>
      </c>
      <c r="J44" s="12" t="s">
        <v>161</v>
      </c>
      <c r="O44" s="13" t="s">
        <v>18</v>
      </c>
      <c r="Q44" s="13" t="s">
        <v>19</v>
      </c>
    </row>
    <row r="45" ht="15.75" customHeight="1">
      <c r="A45" s="22" t="str">
        <f t="shared" si="2"/>
        <v>sábado</v>
      </c>
      <c r="B45" s="24" t="str">
        <f t="shared" si="3"/>
        <v>octubre</v>
      </c>
      <c r="C45" s="37">
        <v>45934.0</v>
      </c>
      <c r="D45" s="28" t="s">
        <v>51</v>
      </c>
      <c r="E45" s="5">
        <v>46.0</v>
      </c>
      <c r="F45" s="5">
        <v>29.0</v>
      </c>
      <c r="G45" s="5">
        <v>0.0</v>
      </c>
      <c r="H45" s="5">
        <v>6.0</v>
      </c>
      <c r="J45" s="17" t="s">
        <v>29</v>
      </c>
      <c r="K45" s="17" t="s">
        <v>25</v>
      </c>
      <c r="L45" s="17" t="s">
        <v>26</v>
      </c>
      <c r="M45" s="17" t="s">
        <v>30</v>
      </c>
      <c r="N45" s="17" t="s">
        <v>31</v>
      </c>
      <c r="O45" s="18" t="s">
        <v>25</v>
      </c>
      <c r="P45" s="18" t="s">
        <v>26</v>
      </c>
      <c r="Q45" s="17" t="s">
        <v>25</v>
      </c>
      <c r="R45" s="17" t="s">
        <v>26</v>
      </c>
    </row>
    <row r="46" ht="15.75" customHeight="1">
      <c r="A46" s="22" t="str">
        <f t="shared" si="2"/>
        <v>sábado</v>
      </c>
      <c r="B46" s="24" t="str">
        <f t="shared" si="3"/>
        <v>octubre</v>
      </c>
      <c r="C46" s="37">
        <v>45934.0</v>
      </c>
      <c r="D46" s="28" t="s">
        <v>59</v>
      </c>
      <c r="E46" s="5">
        <v>109.0</v>
      </c>
      <c r="F46" s="5">
        <v>107.0</v>
      </c>
      <c r="G46" s="5">
        <v>2.0</v>
      </c>
      <c r="H46" s="5">
        <v>1.0</v>
      </c>
      <c r="J46" s="28" t="s">
        <v>39</v>
      </c>
      <c r="K46" s="23">
        <v>57.23076923076923</v>
      </c>
      <c r="L46" s="23">
        <v>36.69230769230769</v>
      </c>
      <c r="M46" s="23">
        <v>3.230769230769231</v>
      </c>
      <c r="N46" s="23">
        <v>11.384615384615385</v>
      </c>
      <c r="O46" s="23">
        <v>7.153846153846154</v>
      </c>
      <c r="P46" s="23">
        <v>4.586538461538462</v>
      </c>
      <c r="Q46" s="23">
        <v>286.1538461538462</v>
      </c>
      <c r="R46" s="23">
        <v>183.46153846153845</v>
      </c>
    </row>
    <row r="47" ht="15.75" customHeight="1">
      <c r="A47" s="22" t="str">
        <f t="shared" si="2"/>
        <v>sábado</v>
      </c>
      <c r="B47" s="24" t="str">
        <f t="shared" si="3"/>
        <v>octubre</v>
      </c>
      <c r="C47" s="37">
        <v>45934.0</v>
      </c>
      <c r="D47" s="28" t="s">
        <v>52</v>
      </c>
      <c r="E47" s="5">
        <v>37.0</v>
      </c>
      <c r="F47" s="5">
        <v>22.0</v>
      </c>
      <c r="G47" s="5">
        <v>4.0</v>
      </c>
      <c r="H47" s="5">
        <v>4.0</v>
      </c>
      <c r="J47" s="28" t="s">
        <v>44</v>
      </c>
      <c r="K47" s="23">
        <v>90.66666666666667</v>
      </c>
      <c r="L47" s="23">
        <v>55.333333333333336</v>
      </c>
      <c r="M47" s="23">
        <v>0.0</v>
      </c>
      <c r="N47" s="23">
        <v>0.0</v>
      </c>
      <c r="O47" s="23">
        <v>8.242424242424242</v>
      </c>
      <c r="P47" s="23">
        <v>5.03030303030303</v>
      </c>
      <c r="Q47" s="23">
        <v>362.6666666666667</v>
      </c>
      <c r="R47" s="23">
        <v>221.33333333333334</v>
      </c>
    </row>
    <row r="48" ht="15.75" customHeight="1">
      <c r="A48" s="22" t="str">
        <f t="shared" si="2"/>
        <v>sábado</v>
      </c>
      <c r="B48" s="24" t="str">
        <f t="shared" si="3"/>
        <v>octubre</v>
      </c>
      <c r="C48" s="37">
        <v>45934.0</v>
      </c>
      <c r="D48" s="5" t="s">
        <v>146</v>
      </c>
      <c r="E48" s="5">
        <v>65.0</v>
      </c>
      <c r="F48" s="5">
        <v>55.0</v>
      </c>
      <c r="G48" s="5">
        <v>0.0</v>
      </c>
      <c r="H48" s="5">
        <v>2.0</v>
      </c>
      <c r="J48" s="28" t="s">
        <v>59</v>
      </c>
      <c r="K48" s="23">
        <v>101.06666666666666</v>
      </c>
      <c r="L48" s="23">
        <v>81.13333333333334</v>
      </c>
      <c r="M48" s="23">
        <v>1.0</v>
      </c>
      <c r="N48" s="23">
        <v>0.5333333333333333</v>
      </c>
      <c r="O48" s="23">
        <v>9.187878787878788</v>
      </c>
      <c r="P48" s="23">
        <v>7.375757575757576</v>
      </c>
      <c r="Q48" s="23">
        <v>404.26666666666665</v>
      </c>
      <c r="R48" s="23">
        <v>324.53333333333336</v>
      </c>
    </row>
    <row r="49" ht="15.75" customHeight="1">
      <c r="A49" s="22" t="str">
        <f t="shared" si="2"/>
        <v>domingo</v>
      </c>
      <c r="B49" s="24" t="str">
        <f t="shared" si="3"/>
        <v>octubre</v>
      </c>
      <c r="C49" s="37">
        <v>45935.0</v>
      </c>
      <c r="D49" s="5" t="s">
        <v>116</v>
      </c>
      <c r="E49" s="5">
        <v>56.0</v>
      </c>
      <c r="F49" s="5">
        <v>45.0</v>
      </c>
      <c r="G49" s="5">
        <v>5.0</v>
      </c>
      <c r="H49" s="5">
        <v>3.0</v>
      </c>
      <c r="J49" s="28" t="s">
        <v>52</v>
      </c>
      <c r="K49" s="23">
        <v>41.75</v>
      </c>
      <c r="L49" s="23">
        <v>28.875</v>
      </c>
      <c r="M49" s="23">
        <v>2.375</v>
      </c>
      <c r="N49" s="23">
        <v>2.8125</v>
      </c>
      <c r="O49" s="23">
        <v>4.175</v>
      </c>
      <c r="P49" s="23">
        <v>2.8875</v>
      </c>
      <c r="Q49" s="23">
        <v>167.0</v>
      </c>
      <c r="R49" s="23">
        <v>115.5</v>
      </c>
    </row>
    <row r="50" ht="15.75" customHeight="1">
      <c r="A50" s="22" t="str">
        <f t="shared" si="2"/>
        <v>domingo</v>
      </c>
      <c r="B50" s="24" t="str">
        <f t="shared" si="3"/>
        <v>octubre</v>
      </c>
      <c r="C50" s="37">
        <v>45935.0</v>
      </c>
      <c r="D50" s="5" t="s">
        <v>43</v>
      </c>
      <c r="E50" s="5">
        <v>57.0</v>
      </c>
      <c r="F50" s="5">
        <v>28.0</v>
      </c>
      <c r="G50" s="5">
        <v>1.0</v>
      </c>
      <c r="H50" s="5">
        <v>9.0</v>
      </c>
      <c r="J50" s="28" t="s">
        <v>41</v>
      </c>
      <c r="K50" s="23">
        <v>79.07692307692308</v>
      </c>
      <c r="L50" s="23">
        <v>58.84615384615385</v>
      </c>
      <c r="M50" s="23">
        <v>2.0</v>
      </c>
      <c r="N50" s="23">
        <v>5.615384615384615</v>
      </c>
      <c r="O50" s="23">
        <v>7.188811188811189</v>
      </c>
      <c r="P50" s="23">
        <v>5.34965034965035</v>
      </c>
      <c r="Q50" s="23">
        <v>316.3076923076923</v>
      </c>
      <c r="R50" s="23">
        <v>235.3846153846154</v>
      </c>
    </row>
    <row r="51" ht="15.75" customHeight="1">
      <c r="A51" s="22" t="str">
        <f t="shared" si="2"/>
        <v>domingo</v>
      </c>
      <c r="B51" s="24" t="str">
        <f t="shared" si="3"/>
        <v>octubre</v>
      </c>
      <c r="C51" s="37">
        <v>45935.0</v>
      </c>
      <c r="D51" s="28" t="s">
        <v>59</v>
      </c>
      <c r="E51" s="5">
        <v>122.0</v>
      </c>
      <c r="F51" s="5">
        <v>111.0</v>
      </c>
      <c r="G51" s="5">
        <v>1.0</v>
      </c>
      <c r="H51" s="5">
        <v>0.0</v>
      </c>
      <c r="J51" s="28" t="s">
        <v>42</v>
      </c>
      <c r="K51" s="23">
        <v>77.13333333333334</v>
      </c>
      <c r="L51" s="23">
        <v>49.666666666666664</v>
      </c>
      <c r="M51" s="23">
        <v>3.6</v>
      </c>
      <c r="N51" s="23">
        <v>10.2</v>
      </c>
      <c r="O51" s="23">
        <v>7.713333333333334</v>
      </c>
      <c r="P51" s="23">
        <v>4.966666666666667</v>
      </c>
      <c r="Q51" s="23">
        <v>308.53333333333336</v>
      </c>
      <c r="R51" s="23">
        <v>198.66666666666666</v>
      </c>
    </row>
    <row r="52" ht="15.75" customHeight="1">
      <c r="A52" s="22" t="str">
        <f t="shared" si="2"/>
        <v>domingo</v>
      </c>
      <c r="B52" s="24" t="str">
        <f t="shared" si="3"/>
        <v>octubre</v>
      </c>
      <c r="C52" s="37">
        <v>45935.0</v>
      </c>
      <c r="D52" s="5" t="s">
        <v>145</v>
      </c>
      <c r="E52" s="5">
        <v>40.0</v>
      </c>
      <c r="F52" s="5">
        <v>34.0</v>
      </c>
      <c r="G52" s="5">
        <v>9.0</v>
      </c>
      <c r="H52" s="5">
        <v>3.0</v>
      </c>
      <c r="J52" s="28" t="s">
        <v>67</v>
      </c>
      <c r="K52" s="23">
        <v>76.23529411764706</v>
      </c>
      <c r="L52" s="23">
        <v>64.94117647058823</v>
      </c>
      <c r="M52" s="23">
        <v>1.8823529411764706</v>
      </c>
      <c r="N52" s="23">
        <v>2.3529411764705883</v>
      </c>
      <c r="O52" s="23">
        <v>7.623529411764705</v>
      </c>
      <c r="P52" s="23">
        <v>6.4941176470588236</v>
      </c>
      <c r="Q52" s="23">
        <v>304.94117647058823</v>
      </c>
      <c r="R52" s="23">
        <v>259.7647058823529</v>
      </c>
    </row>
    <row r="53" ht="15.75" customHeight="1">
      <c r="A53" s="22" t="str">
        <f t="shared" si="2"/>
        <v>domingo</v>
      </c>
      <c r="B53" s="24" t="str">
        <f t="shared" si="3"/>
        <v>octubre</v>
      </c>
      <c r="C53" s="37">
        <v>45935.0</v>
      </c>
      <c r="D53" s="28" t="s">
        <v>52</v>
      </c>
      <c r="E53" s="5">
        <v>47.0</v>
      </c>
      <c r="F53" s="5">
        <v>16.0</v>
      </c>
      <c r="G53" s="5">
        <v>3.0</v>
      </c>
      <c r="H53" s="5">
        <v>6.0</v>
      </c>
      <c r="J53" s="28" t="s">
        <v>58</v>
      </c>
      <c r="K53" s="23">
        <v>61.30434782608695</v>
      </c>
      <c r="L53" s="23">
        <v>42.30434782608695</v>
      </c>
      <c r="M53" s="23">
        <v>5.739130434782608</v>
      </c>
      <c r="N53" s="23">
        <v>7.173913043478261</v>
      </c>
      <c r="O53" s="23">
        <v>7.663043478260869</v>
      </c>
      <c r="P53" s="23">
        <v>5.288043478260869</v>
      </c>
      <c r="Q53" s="23">
        <v>306.52173913043475</v>
      </c>
      <c r="R53" s="23">
        <v>211.52173913043475</v>
      </c>
    </row>
    <row r="54" ht="15.75" customHeight="1">
      <c r="A54" s="22" t="str">
        <f t="shared" si="2"/>
        <v>domingo</v>
      </c>
      <c r="B54" s="24" t="str">
        <f t="shared" si="3"/>
        <v>octubre</v>
      </c>
      <c r="C54" s="37">
        <v>45935.0</v>
      </c>
      <c r="D54" s="5" t="s">
        <v>146</v>
      </c>
      <c r="E54" s="5">
        <v>58.0</v>
      </c>
      <c r="F54" s="5">
        <v>34.0</v>
      </c>
      <c r="G54" s="5">
        <v>0.0</v>
      </c>
      <c r="H54" s="5">
        <v>3.0</v>
      </c>
      <c r="J54" s="28" t="s">
        <v>64</v>
      </c>
      <c r="K54" s="23">
        <v>113.04347826086956</v>
      </c>
      <c r="L54" s="23">
        <v>71.82608695652173</v>
      </c>
      <c r="M54" s="23">
        <v>4.3478260869565215</v>
      </c>
      <c r="N54" s="23">
        <v>12.478260869565217</v>
      </c>
      <c r="O54" s="23">
        <v>14.130434782608695</v>
      </c>
      <c r="P54" s="23">
        <v>8.978260869565217</v>
      </c>
      <c r="Q54" s="23">
        <v>565.2173913043478</v>
      </c>
      <c r="R54" s="23">
        <v>359.1304347826087</v>
      </c>
    </row>
    <row r="55" ht="15.75" customHeight="1">
      <c r="A55" s="22" t="str">
        <f t="shared" si="2"/>
        <v>lunes</v>
      </c>
      <c r="B55" s="24" t="str">
        <f t="shared" si="3"/>
        <v>octubre</v>
      </c>
      <c r="C55" s="37">
        <v>45936.0</v>
      </c>
      <c r="D55" s="28" t="s">
        <v>64</v>
      </c>
      <c r="E55" s="5">
        <v>103.0</v>
      </c>
      <c r="F55" s="5">
        <v>75.0</v>
      </c>
      <c r="G55" s="5">
        <v>4.0</v>
      </c>
      <c r="H55" s="5">
        <v>5.0</v>
      </c>
      <c r="J55" s="28" t="s">
        <v>65</v>
      </c>
      <c r="K55" s="23">
        <v>69.52173913043478</v>
      </c>
      <c r="L55" s="23">
        <v>55.26086956521739</v>
      </c>
      <c r="M55" s="23">
        <v>2.4782608695652173</v>
      </c>
      <c r="N55" s="23">
        <v>2.0869565217391304</v>
      </c>
      <c r="O55" s="23">
        <v>8.690217391304348</v>
      </c>
      <c r="P55" s="23">
        <v>6.907608695652174</v>
      </c>
      <c r="Q55" s="23">
        <v>347.6086956521739</v>
      </c>
      <c r="R55" s="23">
        <v>276.30434782608694</v>
      </c>
    </row>
    <row r="56" ht="15.75" customHeight="1">
      <c r="A56" s="22" t="str">
        <f t="shared" si="2"/>
        <v>lunes</v>
      </c>
      <c r="B56" s="24" t="str">
        <f t="shared" si="3"/>
        <v>octubre</v>
      </c>
      <c r="C56" s="37">
        <v>45936.0</v>
      </c>
      <c r="D56" s="28" t="s">
        <v>58</v>
      </c>
      <c r="E56" s="5">
        <v>69.0</v>
      </c>
      <c r="F56" s="5">
        <v>46.0</v>
      </c>
      <c r="G56" s="5">
        <v>5.0</v>
      </c>
      <c r="H56" s="5">
        <v>6.0</v>
      </c>
      <c r="J56" s="28" t="s">
        <v>51</v>
      </c>
      <c r="K56" s="23">
        <v>53.333333333333336</v>
      </c>
      <c r="L56" s="23">
        <v>38.333333333333336</v>
      </c>
      <c r="M56" s="23">
        <v>2.611111111111111</v>
      </c>
      <c r="N56" s="23">
        <v>14.38888888888889</v>
      </c>
      <c r="O56" s="23">
        <v>4.848484848484849</v>
      </c>
      <c r="P56" s="23">
        <v>3.484848484848485</v>
      </c>
      <c r="Q56" s="23">
        <v>213.33333333333334</v>
      </c>
      <c r="R56" s="23">
        <v>153.33333333333334</v>
      </c>
    </row>
    <row r="57" ht="15.75" customHeight="1">
      <c r="A57" s="22" t="str">
        <f t="shared" si="2"/>
        <v>lunes</v>
      </c>
      <c r="B57" s="24" t="str">
        <f t="shared" si="3"/>
        <v>octubre</v>
      </c>
      <c r="C57" s="37">
        <v>45936.0</v>
      </c>
      <c r="D57" s="28" t="s">
        <v>42</v>
      </c>
      <c r="E57" s="5">
        <v>99.0</v>
      </c>
      <c r="F57" s="5">
        <v>65.0</v>
      </c>
      <c r="G57" s="5">
        <v>4.0</v>
      </c>
      <c r="H57" s="5">
        <v>16.0</v>
      </c>
      <c r="J57" s="28" t="s">
        <v>66</v>
      </c>
      <c r="K57" s="23">
        <v>108.56521739130434</v>
      </c>
      <c r="L57" s="23">
        <v>97.30434782608695</v>
      </c>
      <c r="M57" s="23">
        <v>0.21739130434782608</v>
      </c>
      <c r="N57" s="23">
        <v>3.652173913043478</v>
      </c>
      <c r="O57" s="23">
        <v>13.570652173913043</v>
      </c>
      <c r="P57" s="23">
        <v>12.16304347826087</v>
      </c>
      <c r="Q57" s="23">
        <v>542.8260869565217</v>
      </c>
      <c r="R57" s="23">
        <v>486.52173913043475</v>
      </c>
    </row>
    <row r="58" ht="15.75" customHeight="1">
      <c r="A58" s="22" t="str">
        <f t="shared" si="2"/>
        <v>lunes</v>
      </c>
      <c r="B58" s="24" t="str">
        <f t="shared" si="3"/>
        <v>octubre</v>
      </c>
      <c r="C58" s="37">
        <v>45936.0</v>
      </c>
      <c r="D58" s="28" t="s">
        <v>41</v>
      </c>
      <c r="E58" s="5">
        <v>81.0</v>
      </c>
      <c r="F58" s="5">
        <v>42.0</v>
      </c>
      <c r="G58" s="5">
        <v>1.0</v>
      </c>
      <c r="H58" s="5">
        <v>1.0</v>
      </c>
      <c r="K58" s="23"/>
      <c r="L58" s="23"/>
      <c r="M58" s="23"/>
      <c r="N58" s="23"/>
      <c r="O58" s="23"/>
      <c r="P58" s="23"/>
      <c r="Q58" s="23"/>
      <c r="R58" s="23"/>
    </row>
    <row r="59" ht="15.75" customHeight="1">
      <c r="A59" s="22" t="str">
        <f t="shared" si="2"/>
        <v>lunes</v>
      </c>
      <c r="B59" s="24" t="str">
        <f t="shared" si="3"/>
        <v>octubre</v>
      </c>
      <c r="C59" s="37">
        <v>45936.0</v>
      </c>
      <c r="D59" s="28" t="s">
        <v>65</v>
      </c>
      <c r="E59" s="5">
        <v>64.0</v>
      </c>
      <c r="F59" s="5">
        <v>50.0</v>
      </c>
      <c r="G59" s="5">
        <v>3.0</v>
      </c>
      <c r="H59" s="5">
        <v>0.0</v>
      </c>
      <c r="K59" s="23"/>
      <c r="L59" s="23"/>
      <c r="M59" s="23"/>
      <c r="N59" s="23"/>
      <c r="O59" s="23"/>
      <c r="P59" s="23"/>
      <c r="Q59" s="23"/>
      <c r="R59" s="23"/>
    </row>
    <row r="60" ht="15.75" customHeight="1">
      <c r="A60" s="22" t="str">
        <f t="shared" si="2"/>
        <v>lunes</v>
      </c>
      <c r="B60" s="24" t="str">
        <f t="shared" si="3"/>
        <v>octubre</v>
      </c>
      <c r="C60" s="37">
        <v>45936.0</v>
      </c>
      <c r="D60" s="28" t="s">
        <v>66</v>
      </c>
      <c r="E60" s="5">
        <v>115.0</v>
      </c>
      <c r="F60" s="5">
        <v>92.0</v>
      </c>
      <c r="G60" s="5">
        <v>0.0</v>
      </c>
      <c r="H60" s="5">
        <v>11.0</v>
      </c>
      <c r="K60" s="23"/>
      <c r="L60" s="23"/>
      <c r="M60" s="23"/>
      <c r="N60" s="23"/>
      <c r="O60" s="23"/>
      <c r="P60" s="23"/>
      <c r="Q60" s="23"/>
      <c r="R60" s="23"/>
    </row>
    <row r="61" ht="15.75" customHeight="1">
      <c r="A61" s="22" t="str">
        <f t="shared" si="2"/>
        <v>lunes</v>
      </c>
      <c r="B61" s="24" t="str">
        <f t="shared" si="3"/>
        <v>octubre</v>
      </c>
      <c r="C61" s="37">
        <v>45936.0</v>
      </c>
      <c r="D61" s="28" t="s">
        <v>67</v>
      </c>
      <c r="E61" s="5">
        <v>78.0</v>
      </c>
      <c r="F61" s="5">
        <v>61.0</v>
      </c>
      <c r="G61" s="5">
        <v>1.0</v>
      </c>
      <c r="H61" s="5">
        <v>1.0</v>
      </c>
    </row>
    <row r="62" ht="15.75" customHeight="1">
      <c r="A62" s="22" t="str">
        <f t="shared" si="2"/>
        <v>lunes</v>
      </c>
      <c r="B62" s="24" t="str">
        <f t="shared" si="3"/>
        <v>octubre</v>
      </c>
      <c r="C62" s="37">
        <v>45936.0</v>
      </c>
      <c r="D62" s="28" t="s">
        <v>59</v>
      </c>
      <c r="E62" s="5">
        <v>31.0</v>
      </c>
      <c r="F62" s="5">
        <v>10.0</v>
      </c>
      <c r="G62" s="5">
        <v>0.0</v>
      </c>
      <c r="H62" s="5">
        <v>0.0</v>
      </c>
      <c r="J62" s="5" t="s">
        <v>167</v>
      </c>
    </row>
    <row r="63" ht="15.75" customHeight="1">
      <c r="A63" s="22" t="str">
        <f t="shared" si="2"/>
        <v>lunes</v>
      </c>
      <c r="B63" s="24" t="str">
        <f t="shared" si="3"/>
        <v>octubre</v>
      </c>
      <c r="C63" s="37">
        <v>45936.0</v>
      </c>
      <c r="D63" s="5" t="s">
        <v>89</v>
      </c>
      <c r="E63" s="5">
        <v>111.0</v>
      </c>
      <c r="F63" s="5">
        <v>64.0</v>
      </c>
      <c r="G63" s="5">
        <v>0.0</v>
      </c>
      <c r="H63" s="5">
        <v>2.0</v>
      </c>
    </row>
    <row r="64" ht="15.75" customHeight="1">
      <c r="A64" s="22" t="str">
        <f t="shared" si="2"/>
        <v>lunes</v>
      </c>
      <c r="B64" s="24" t="str">
        <f t="shared" si="3"/>
        <v>octubre</v>
      </c>
      <c r="C64" s="37">
        <v>45936.0</v>
      </c>
      <c r="D64" s="5" t="s">
        <v>90</v>
      </c>
      <c r="E64" s="5">
        <v>129.0</v>
      </c>
      <c r="F64" s="5">
        <v>68.0</v>
      </c>
      <c r="G64" s="5">
        <v>0.0</v>
      </c>
      <c r="H64" s="5">
        <v>0.0</v>
      </c>
    </row>
    <row r="65" ht="15.75" customHeight="1">
      <c r="A65" s="22" t="str">
        <f t="shared" si="2"/>
        <v>lunes</v>
      </c>
      <c r="B65" s="24" t="str">
        <f t="shared" si="3"/>
        <v>octubre</v>
      </c>
      <c r="C65" s="37">
        <v>45936.0</v>
      </c>
      <c r="D65" s="28" t="s">
        <v>168</v>
      </c>
      <c r="E65" s="5">
        <v>50.0</v>
      </c>
      <c r="F65" s="5">
        <v>24.0</v>
      </c>
      <c r="G65" s="5">
        <v>0.0</v>
      </c>
      <c r="H65" s="5">
        <v>0.0</v>
      </c>
    </row>
    <row r="66" ht="15.75" customHeight="1">
      <c r="A66" s="22" t="str">
        <f t="shared" si="2"/>
        <v>lunes</v>
      </c>
      <c r="B66" s="24" t="str">
        <f t="shared" si="3"/>
        <v>octubre</v>
      </c>
      <c r="C66" s="37">
        <v>45936.0</v>
      </c>
      <c r="D66" s="5" t="s">
        <v>93</v>
      </c>
      <c r="E66" s="5">
        <v>77.0</v>
      </c>
      <c r="F66" s="5">
        <v>46.0</v>
      </c>
      <c r="G66" s="5">
        <v>0.0</v>
      </c>
      <c r="H66" s="5">
        <v>0.0</v>
      </c>
    </row>
    <row r="67" ht="15.75" customHeight="1">
      <c r="A67" s="22" t="str">
        <f t="shared" si="2"/>
        <v>martes</v>
      </c>
      <c r="B67" s="24" t="str">
        <f t="shared" si="3"/>
        <v>octubre</v>
      </c>
      <c r="C67" s="37">
        <v>45937.0</v>
      </c>
      <c r="D67" s="28" t="s">
        <v>64</v>
      </c>
      <c r="E67" s="5">
        <v>126.0</v>
      </c>
      <c r="F67" s="5">
        <v>74.0</v>
      </c>
      <c r="G67" s="5">
        <v>4.0</v>
      </c>
      <c r="H67" s="5">
        <v>20.0</v>
      </c>
    </row>
    <row r="68" ht="15.75" customHeight="1">
      <c r="A68" s="22" t="str">
        <f t="shared" si="2"/>
        <v>martes</v>
      </c>
      <c r="B68" s="24" t="str">
        <f t="shared" si="3"/>
        <v>octubre</v>
      </c>
      <c r="C68" s="37">
        <v>45937.0</v>
      </c>
      <c r="D68" s="28" t="s">
        <v>58</v>
      </c>
      <c r="E68" s="5">
        <v>87.0</v>
      </c>
      <c r="F68" s="5">
        <v>62.0</v>
      </c>
      <c r="G68" s="5">
        <v>7.0</v>
      </c>
      <c r="H68" s="5">
        <v>4.0</v>
      </c>
    </row>
    <row r="69" ht="15.75" customHeight="1">
      <c r="A69" s="22" t="str">
        <f t="shared" si="2"/>
        <v>martes</v>
      </c>
      <c r="B69" s="24" t="str">
        <f t="shared" si="3"/>
        <v>octubre</v>
      </c>
      <c r="C69" s="37">
        <v>45937.0</v>
      </c>
      <c r="D69" s="28" t="s">
        <v>42</v>
      </c>
      <c r="E69" s="5">
        <v>85.0</v>
      </c>
      <c r="F69" s="5">
        <v>52.0</v>
      </c>
      <c r="G69" s="5">
        <v>4.0</v>
      </c>
      <c r="H69" s="5">
        <v>19.0</v>
      </c>
    </row>
    <row r="70" ht="15.75" customHeight="1">
      <c r="A70" s="22" t="str">
        <f t="shared" si="2"/>
        <v>martes</v>
      </c>
      <c r="B70" s="24" t="str">
        <f t="shared" si="3"/>
        <v>octubre</v>
      </c>
      <c r="C70" s="37">
        <v>45937.0</v>
      </c>
      <c r="D70" s="28" t="s">
        <v>41</v>
      </c>
      <c r="E70" s="5">
        <v>66.0</v>
      </c>
      <c r="F70" s="5">
        <v>47.0</v>
      </c>
      <c r="G70" s="5">
        <v>2.0</v>
      </c>
      <c r="H70" s="5">
        <v>2.0</v>
      </c>
    </row>
    <row r="71" ht="15.75" customHeight="1">
      <c r="A71" s="22" t="str">
        <f t="shared" si="2"/>
        <v>martes</v>
      </c>
      <c r="B71" s="24" t="str">
        <f t="shared" si="3"/>
        <v>octubre</v>
      </c>
      <c r="C71" s="37">
        <v>45937.0</v>
      </c>
      <c r="D71" s="28" t="s">
        <v>65</v>
      </c>
      <c r="E71" s="5">
        <v>80.0</v>
      </c>
      <c r="F71" s="5">
        <v>66.0</v>
      </c>
      <c r="G71" s="5">
        <v>3.0</v>
      </c>
      <c r="H71" s="5">
        <v>2.0</v>
      </c>
    </row>
    <row r="72" ht="15.75" customHeight="1">
      <c r="A72" s="22" t="str">
        <f t="shared" si="2"/>
        <v>martes</v>
      </c>
      <c r="B72" s="24" t="str">
        <f t="shared" si="3"/>
        <v>octubre</v>
      </c>
      <c r="C72" s="37">
        <v>45937.0</v>
      </c>
      <c r="D72" s="28" t="s">
        <v>66</v>
      </c>
      <c r="E72" s="5">
        <v>110.0</v>
      </c>
      <c r="F72" s="5">
        <v>105.0</v>
      </c>
      <c r="G72" s="5">
        <v>0.0</v>
      </c>
      <c r="H72" s="5">
        <v>3.0</v>
      </c>
    </row>
    <row r="73" ht="15.75" customHeight="1">
      <c r="A73" s="22" t="str">
        <f t="shared" si="2"/>
        <v>martes</v>
      </c>
      <c r="B73" s="24" t="str">
        <f t="shared" si="3"/>
        <v>octubre</v>
      </c>
      <c r="C73" s="37">
        <v>45937.0</v>
      </c>
      <c r="D73" s="28" t="s">
        <v>67</v>
      </c>
      <c r="E73" s="5">
        <v>67.0</v>
      </c>
      <c r="F73" s="5">
        <v>59.0</v>
      </c>
      <c r="G73" s="5">
        <v>0.0</v>
      </c>
      <c r="H73" s="5">
        <v>0.0</v>
      </c>
    </row>
    <row r="74" ht="15.75" customHeight="1">
      <c r="A74" s="22" t="str">
        <f t="shared" si="2"/>
        <v>martes</v>
      </c>
      <c r="B74" s="24" t="str">
        <f t="shared" si="3"/>
        <v>octubre</v>
      </c>
      <c r="C74" s="37">
        <v>45937.0</v>
      </c>
      <c r="D74" s="28" t="s">
        <v>59</v>
      </c>
      <c r="E74" s="5">
        <v>75.0</v>
      </c>
      <c r="F74" s="5">
        <v>42.0</v>
      </c>
      <c r="G74" s="5">
        <v>0.0</v>
      </c>
      <c r="H74" s="5">
        <v>0.0</v>
      </c>
    </row>
    <row r="75" ht="15.75" customHeight="1">
      <c r="A75" s="22" t="str">
        <f t="shared" si="2"/>
        <v>martes</v>
      </c>
      <c r="B75" s="24" t="str">
        <f t="shared" si="3"/>
        <v>octubre</v>
      </c>
      <c r="C75" s="37">
        <v>45937.0</v>
      </c>
      <c r="D75" s="5" t="s">
        <v>89</v>
      </c>
      <c r="E75" s="5">
        <v>100.0</v>
      </c>
      <c r="F75" s="5">
        <v>61.0</v>
      </c>
      <c r="G75" s="5">
        <v>0.0</v>
      </c>
      <c r="H75" s="5">
        <v>1.0</v>
      </c>
    </row>
    <row r="76" ht="15.75" customHeight="1">
      <c r="A76" s="22" t="str">
        <f t="shared" si="2"/>
        <v>martes</v>
      </c>
      <c r="B76" s="24" t="str">
        <f t="shared" si="3"/>
        <v>octubre</v>
      </c>
      <c r="C76" s="37">
        <v>45937.0</v>
      </c>
      <c r="D76" s="5" t="s">
        <v>90</v>
      </c>
      <c r="E76" s="5">
        <v>181.0</v>
      </c>
      <c r="F76" s="5">
        <v>74.0</v>
      </c>
      <c r="G76" s="5">
        <v>0.0</v>
      </c>
      <c r="H76" s="5">
        <v>0.0</v>
      </c>
    </row>
    <row r="77" ht="15.75" customHeight="1">
      <c r="A77" s="22" t="str">
        <f t="shared" si="2"/>
        <v>martes</v>
      </c>
      <c r="B77" s="24" t="str">
        <f t="shared" si="3"/>
        <v>octubre</v>
      </c>
      <c r="C77" s="37">
        <v>45937.0</v>
      </c>
      <c r="D77" s="28" t="s">
        <v>168</v>
      </c>
      <c r="E77" s="5">
        <v>58.0</v>
      </c>
      <c r="F77" s="5">
        <v>20.0</v>
      </c>
      <c r="G77" s="5">
        <v>0.0</v>
      </c>
      <c r="H77" s="5">
        <v>0.0</v>
      </c>
    </row>
    <row r="78" ht="15.75" customHeight="1">
      <c r="A78" s="22" t="str">
        <f t="shared" si="2"/>
        <v>martes</v>
      </c>
      <c r="B78" s="24" t="str">
        <f t="shared" si="3"/>
        <v>octubre</v>
      </c>
      <c r="C78" s="37">
        <v>45937.0</v>
      </c>
      <c r="D78" s="5" t="s">
        <v>93</v>
      </c>
      <c r="E78" s="5">
        <v>81.0</v>
      </c>
      <c r="F78" s="5">
        <v>61.0</v>
      </c>
      <c r="G78" s="5">
        <v>0.0</v>
      </c>
      <c r="H78" s="5">
        <v>0.0</v>
      </c>
    </row>
    <row r="79" ht="15.75" customHeight="1">
      <c r="A79" s="22" t="str">
        <f t="shared" si="2"/>
        <v>miércoles</v>
      </c>
      <c r="B79" s="24" t="str">
        <f t="shared" si="3"/>
        <v>octubre</v>
      </c>
      <c r="C79" s="37">
        <v>45938.0</v>
      </c>
      <c r="D79" s="28" t="s">
        <v>64</v>
      </c>
      <c r="E79" s="5">
        <v>143.0</v>
      </c>
      <c r="F79" s="5">
        <v>94.0</v>
      </c>
      <c r="G79" s="5">
        <v>2.0</v>
      </c>
      <c r="H79" s="5">
        <v>10.0</v>
      </c>
    </row>
    <row r="80" ht="15.75" customHeight="1">
      <c r="A80" s="22" t="str">
        <f t="shared" si="2"/>
        <v>miércoles</v>
      </c>
      <c r="B80" s="24" t="str">
        <f t="shared" si="3"/>
        <v>octubre</v>
      </c>
      <c r="C80" s="37">
        <v>45938.0</v>
      </c>
      <c r="D80" s="28" t="s">
        <v>58</v>
      </c>
      <c r="E80" s="5">
        <v>67.0</v>
      </c>
      <c r="F80" s="5">
        <v>53.0</v>
      </c>
      <c r="G80" s="5">
        <v>4.0</v>
      </c>
      <c r="H80" s="5">
        <v>2.0</v>
      </c>
    </row>
    <row r="81" ht="15.75" customHeight="1">
      <c r="A81" s="22" t="str">
        <f t="shared" si="2"/>
        <v>miércoles</v>
      </c>
      <c r="B81" s="24" t="str">
        <f t="shared" si="3"/>
        <v>octubre</v>
      </c>
      <c r="C81" s="37">
        <v>45938.0</v>
      </c>
      <c r="D81" s="28" t="s">
        <v>51</v>
      </c>
      <c r="E81" s="5">
        <v>87.0</v>
      </c>
      <c r="F81" s="5">
        <v>55.0</v>
      </c>
      <c r="G81" s="5">
        <v>3.0</v>
      </c>
      <c r="H81" s="5">
        <v>32.0</v>
      </c>
    </row>
    <row r="82" ht="15.75" customHeight="1">
      <c r="A82" s="22" t="str">
        <f t="shared" si="2"/>
        <v>miércoles</v>
      </c>
      <c r="B82" s="24" t="str">
        <f t="shared" si="3"/>
        <v>octubre</v>
      </c>
      <c r="C82" s="37">
        <v>45938.0</v>
      </c>
      <c r="D82" s="28" t="s">
        <v>65</v>
      </c>
      <c r="E82" s="5">
        <v>83.0</v>
      </c>
      <c r="F82" s="5">
        <v>72.0</v>
      </c>
      <c r="G82" s="5">
        <v>1.0</v>
      </c>
      <c r="H82" s="5">
        <v>0.0</v>
      </c>
    </row>
    <row r="83" ht="15.75" customHeight="1">
      <c r="A83" s="22" t="str">
        <f t="shared" si="2"/>
        <v>miércoles</v>
      </c>
      <c r="B83" s="24" t="str">
        <f t="shared" si="3"/>
        <v>octubre</v>
      </c>
      <c r="C83" s="37">
        <v>45938.0</v>
      </c>
      <c r="D83" s="28" t="s">
        <v>66</v>
      </c>
      <c r="E83" s="5">
        <v>117.0</v>
      </c>
      <c r="F83" s="5">
        <v>105.0</v>
      </c>
      <c r="G83" s="5">
        <v>0.0</v>
      </c>
      <c r="H83" s="5">
        <v>7.0</v>
      </c>
    </row>
    <row r="84" ht="15.75" customHeight="1">
      <c r="A84" s="22" t="str">
        <f t="shared" si="2"/>
        <v>miércoles</v>
      </c>
      <c r="B84" s="24" t="str">
        <f t="shared" si="3"/>
        <v>octubre</v>
      </c>
      <c r="C84" s="37">
        <v>45938.0</v>
      </c>
      <c r="D84" s="28" t="s">
        <v>67</v>
      </c>
      <c r="E84" s="5">
        <v>92.0</v>
      </c>
      <c r="F84" s="5">
        <v>83.0</v>
      </c>
      <c r="G84" s="5">
        <v>2.0</v>
      </c>
      <c r="H84" s="5">
        <v>4.0</v>
      </c>
    </row>
    <row r="85" ht="15.75" customHeight="1">
      <c r="A85" s="22" t="str">
        <f t="shared" si="2"/>
        <v>miércoles</v>
      </c>
      <c r="B85" s="24" t="str">
        <f t="shared" si="3"/>
        <v>octubre</v>
      </c>
      <c r="C85" s="37">
        <v>45938.0</v>
      </c>
      <c r="D85" s="5" t="s">
        <v>93</v>
      </c>
      <c r="E85" s="5">
        <v>66.0</v>
      </c>
      <c r="F85" s="5">
        <v>47.0</v>
      </c>
      <c r="G85" s="5">
        <v>0.0</v>
      </c>
      <c r="H85" s="5">
        <v>0.0</v>
      </c>
    </row>
    <row r="86" ht="15.75" customHeight="1">
      <c r="A86" s="22" t="str">
        <f t="shared" si="2"/>
        <v>miércoles</v>
      </c>
      <c r="B86" s="24" t="str">
        <f t="shared" si="3"/>
        <v>octubre</v>
      </c>
      <c r="C86" s="37">
        <v>45938.0</v>
      </c>
      <c r="D86" s="5" t="s">
        <v>127</v>
      </c>
      <c r="E86" s="5">
        <v>33.0</v>
      </c>
      <c r="F86" s="5">
        <v>9.0</v>
      </c>
      <c r="G86" s="5">
        <v>0.0</v>
      </c>
      <c r="H86" s="5">
        <v>0.0</v>
      </c>
    </row>
    <row r="87" ht="15.75" customHeight="1">
      <c r="A87" s="22" t="str">
        <f t="shared" si="2"/>
        <v>miércoles</v>
      </c>
      <c r="B87" s="24" t="str">
        <f t="shared" si="3"/>
        <v>octubre</v>
      </c>
      <c r="C87" s="37">
        <v>45938.0</v>
      </c>
      <c r="D87" s="5" t="s">
        <v>108</v>
      </c>
      <c r="E87" s="5">
        <v>95.0</v>
      </c>
      <c r="F87" s="5">
        <v>48.0</v>
      </c>
      <c r="G87" s="5">
        <v>0.0</v>
      </c>
      <c r="H87" s="5">
        <v>6.0</v>
      </c>
    </row>
    <row r="88" ht="15.75" customHeight="1">
      <c r="A88" s="22" t="str">
        <f t="shared" si="2"/>
        <v>miércoles</v>
      </c>
      <c r="B88" s="24" t="str">
        <f t="shared" si="3"/>
        <v>octubre</v>
      </c>
      <c r="C88" s="37">
        <v>45938.0</v>
      </c>
      <c r="D88" s="5" t="s">
        <v>89</v>
      </c>
      <c r="E88" s="5">
        <v>95.0</v>
      </c>
      <c r="F88" s="5">
        <v>68.0</v>
      </c>
      <c r="G88" s="5">
        <v>0.0</v>
      </c>
      <c r="H88" s="5">
        <v>0.0</v>
      </c>
    </row>
    <row r="89" ht="15.75" customHeight="1">
      <c r="A89" s="22" t="str">
        <f t="shared" si="2"/>
        <v>jueves</v>
      </c>
      <c r="B89" s="24" t="str">
        <f t="shared" si="3"/>
        <v>octubre</v>
      </c>
      <c r="C89" s="37">
        <v>45939.0</v>
      </c>
      <c r="D89" s="28" t="s">
        <v>64</v>
      </c>
      <c r="E89" s="5">
        <v>139.0</v>
      </c>
      <c r="F89" s="5">
        <v>80.0</v>
      </c>
      <c r="G89" s="5">
        <v>0.0</v>
      </c>
      <c r="H89" s="5">
        <v>25.0</v>
      </c>
    </row>
    <row r="90" ht="15.75" customHeight="1">
      <c r="A90" s="22" t="str">
        <f t="shared" si="2"/>
        <v>jueves</v>
      </c>
      <c r="B90" s="24" t="str">
        <f t="shared" si="3"/>
        <v>octubre</v>
      </c>
      <c r="C90" s="37">
        <v>45939.0</v>
      </c>
      <c r="D90" s="28" t="s">
        <v>58</v>
      </c>
      <c r="E90" s="5">
        <v>69.0</v>
      </c>
      <c r="F90" s="5">
        <v>50.0</v>
      </c>
      <c r="G90" s="5">
        <v>5.0</v>
      </c>
      <c r="H90" s="5">
        <v>7.0</v>
      </c>
    </row>
    <row r="91" ht="15.75" customHeight="1">
      <c r="A91" s="22" t="str">
        <f t="shared" si="2"/>
        <v>jueves</v>
      </c>
      <c r="B91" s="24" t="str">
        <f t="shared" si="3"/>
        <v>octubre</v>
      </c>
      <c r="C91" s="37">
        <v>45939.0</v>
      </c>
      <c r="D91" s="28" t="s">
        <v>42</v>
      </c>
      <c r="E91" s="5">
        <v>92.0</v>
      </c>
      <c r="F91" s="5">
        <v>70.0</v>
      </c>
      <c r="G91" s="5">
        <v>3.0</v>
      </c>
      <c r="H91" s="5">
        <v>6.0</v>
      </c>
    </row>
    <row r="92" ht="15.75" customHeight="1">
      <c r="A92" s="22" t="str">
        <f t="shared" si="2"/>
        <v>jueves</v>
      </c>
      <c r="B92" s="24" t="str">
        <f t="shared" si="3"/>
        <v>octubre</v>
      </c>
      <c r="C92" s="37">
        <v>45939.0</v>
      </c>
      <c r="D92" s="28" t="s">
        <v>41</v>
      </c>
      <c r="E92" s="5">
        <v>96.0</v>
      </c>
      <c r="F92" s="5">
        <v>89.0</v>
      </c>
      <c r="G92" s="5">
        <v>1.0</v>
      </c>
      <c r="H92" s="5">
        <v>12.0</v>
      </c>
    </row>
    <row r="93" ht="15.75" customHeight="1">
      <c r="A93" s="22" t="str">
        <f t="shared" si="2"/>
        <v>jueves</v>
      </c>
      <c r="B93" s="24" t="str">
        <f t="shared" si="3"/>
        <v>octubre</v>
      </c>
      <c r="C93" s="37">
        <v>45939.0</v>
      </c>
      <c r="D93" s="28" t="s">
        <v>51</v>
      </c>
      <c r="E93" s="5">
        <v>43.0</v>
      </c>
      <c r="F93" s="5">
        <v>29.0</v>
      </c>
      <c r="G93" s="5">
        <v>3.0</v>
      </c>
      <c r="H93" s="5">
        <v>12.0</v>
      </c>
    </row>
    <row r="94" ht="15.75" customHeight="1">
      <c r="A94" s="22" t="str">
        <f t="shared" si="2"/>
        <v>jueves</v>
      </c>
      <c r="B94" s="24" t="str">
        <f t="shared" si="3"/>
        <v>octubre</v>
      </c>
      <c r="C94" s="37">
        <v>45939.0</v>
      </c>
      <c r="D94" s="28" t="s">
        <v>52</v>
      </c>
      <c r="E94" s="5">
        <v>26.0</v>
      </c>
      <c r="F94" s="5">
        <v>24.0</v>
      </c>
      <c r="G94" s="5">
        <v>0.0</v>
      </c>
      <c r="H94" s="5">
        <v>0.0</v>
      </c>
    </row>
    <row r="95" ht="15.75" customHeight="1">
      <c r="A95" s="22" t="str">
        <f t="shared" si="2"/>
        <v>jueves</v>
      </c>
      <c r="B95" s="24" t="str">
        <f t="shared" si="3"/>
        <v>octubre</v>
      </c>
      <c r="C95" s="37">
        <v>45939.0</v>
      </c>
      <c r="D95" s="5" t="s">
        <v>145</v>
      </c>
      <c r="E95" s="5">
        <v>39.0</v>
      </c>
      <c r="F95" s="5">
        <v>22.0</v>
      </c>
      <c r="G95" s="5">
        <v>4.0</v>
      </c>
      <c r="H95" s="5">
        <v>0.0</v>
      </c>
    </row>
    <row r="96" ht="15.75" customHeight="1">
      <c r="A96" s="22" t="str">
        <f t="shared" si="2"/>
        <v>jueves</v>
      </c>
      <c r="B96" s="24" t="str">
        <f t="shared" si="3"/>
        <v>octubre</v>
      </c>
      <c r="C96" s="37">
        <v>45939.0</v>
      </c>
      <c r="D96" s="28" t="s">
        <v>65</v>
      </c>
      <c r="E96" s="5">
        <v>72.0</v>
      </c>
      <c r="F96" s="5">
        <v>55.0</v>
      </c>
      <c r="G96" s="5">
        <v>2.0</v>
      </c>
      <c r="H96" s="5">
        <v>3.0</v>
      </c>
    </row>
    <row r="97" ht="15.75" customHeight="1">
      <c r="A97" s="22" t="str">
        <f t="shared" si="2"/>
        <v>jueves</v>
      </c>
      <c r="B97" s="24" t="str">
        <f t="shared" si="3"/>
        <v>octubre</v>
      </c>
      <c r="C97" s="37">
        <v>45939.0</v>
      </c>
      <c r="D97" s="28" t="s">
        <v>66</v>
      </c>
      <c r="E97" s="5">
        <v>101.0</v>
      </c>
      <c r="F97" s="5">
        <v>100.0</v>
      </c>
      <c r="G97" s="5">
        <v>0.0</v>
      </c>
      <c r="H97" s="5">
        <v>2.0</v>
      </c>
    </row>
    <row r="98" ht="15.75" customHeight="1">
      <c r="A98" s="22" t="str">
        <f t="shared" si="2"/>
        <v>jueves</v>
      </c>
      <c r="B98" s="24" t="str">
        <f t="shared" si="3"/>
        <v>octubre</v>
      </c>
      <c r="C98" s="37">
        <v>45939.0</v>
      </c>
      <c r="D98" s="28" t="s">
        <v>67</v>
      </c>
      <c r="E98" s="5">
        <v>77.0</v>
      </c>
      <c r="F98" s="5">
        <v>68.0</v>
      </c>
      <c r="G98" s="5">
        <v>0.0</v>
      </c>
      <c r="H98" s="5">
        <v>2.0</v>
      </c>
    </row>
    <row r="99" ht="15.75" customHeight="1">
      <c r="A99" s="22" t="str">
        <f t="shared" si="2"/>
        <v>jueves</v>
      </c>
      <c r="B99" s="24" t="str">
        <f t="shared" si="3"/>
        <v>octubre</v>
      </c>
      <c r="C99" s="37">
        <v>45939.0</v>
      </c>
      <c r="D99" s="5" t="s">
        <v>89</v>
      </c>
      <c r="E99" s="5">
        <v>45.0</v>
      </c>
      <c r="F99" s="5">
        <v>34.0</v>
      </c>
      <c r="G99" s="5">
        <v>0.0</v>
      </c>
      <c r="H99" s="5">
        <v>0.0</v>
      </c>
    </row>
    <row r="100" ht="15.75" customHeight="1">
      <c r="A100" s="22" t="str">
        <f t="shared" si="2"/>
        <v>jueves</v>
      </c>
      <c r="B100" s="24" t="str">
        <f t="shared" si="3"/>
        <v>octubre</v>
      </c>
      <c r="C100" s="37">
        <v>45939.0</v>
      </c>
      <c r="D100" s="5" t="s">
        <v>157</v>
      </c>
      <c r="E100" s="5">
        <v>20.0</v>
      </c>
      <c r="F100" s="5">
        <v>14.0</v>
      </c>
      <c r="G100" s="5">
        <v>0.0</v>
      </c>
      <c r="H100" s="5">
        <v>0.0</v>
      </c>
    </row>
    <row r="101" ht="15.75" customHeight="1">
      <c r="A101" s="22" t="str">
        <f t="shared" si="2"/>
        <v>jueves</v>
      </c>
      <c r="B101" s="24" t="str">
        <f t="shared" si="3"/>
        <v>octubre</v>
      </c>
      <c r="C101" s="37">
        <v>45939.0</v>
      </c>
      <c r="D101" s="5" t="s">
        <v>127</v>
      </c>
      <c r="E101" s="5">
        <v>43.0</v>
      </c>
      <c r="F101" s="5">
        <v>14.0</v>
      </c>
      <c r="G101" s="5">
        <v>0.0</v>
      </c>
      <c r="H101" s="5">
        <v>0.0</v>
      </c>
    </row>
    <row r="102" ht="15.75" customHeight="1">
      <c r="A102" s="22" t="str">
        <f t="shared" si="2"/>
        <v>jueves</v>
      </c>
      <c r="B102" s="24" t="str">
        <f t="shared" si="3"/>
        <v>octubre</v>
      </c>
      <c r="C102" s="37">
        <v>45939.0</v>
      </c>
      <c r="D102" s="5" t="s">
        <v>117</v>
      </c>
      <c r="E102" s="5">
        <v>130.0</v>
      </c>
      <c r="F102" s="5">
        <v>51.0</v>
      </c>
      <c r="G102" s="5">
        <v>0.0</v>
      </c>
      <c r="H102" s="5">
        <v>0.0</v>
      </c>
    </row>
    <row r="103" ht="15.75" customHeight="1">
      <c r="A103" s="22" t="str">
        <f t="shared" si="2"/>
        <v>jueves</v>
      </c>
      <c r="B103" s="24" t="str">
        <f t="shared" si="3"/>
        <v>octubre</v>
      </c>
      <c r="C103" s="37">
        <v>45939.0</v>
      </c>
      <c r="D103" s="5" t="s">
        <v>107</v>
      </c>
      <c r="E103" s="5">
        <v>121.0</v>
      </c>
      <c r="F103" s="5">
        <v>72.0</v>
      </c>
      <c r="G103" s="5">
        <v>0.0</v>
      </c>
      <c r="H103" s="5">
        <v>0.0</v>
      </c>
    </row>
    <row r="104" ht="15.75" customHeight="1">
      <c r="A104" s="22" t="str">
        <f t="shared" si="2"/>
        <v>viernes</v>
      </c>
      <c r="B104" s="24" t="str">
        <f t="shared" si="3"/>
        <v>octubre</v>
      </c>
      <c r="C104" s="37">
        <v>45940.0</v>
      </c>
      <c r="D104" s="5" t="s">
        <v>116</v>
      </c>
      <c r="E104" s="5">
        <v>30.0</v>
      </c>
      <c r="F104" s="5">
        <v>25.0</v>
      </c>
      <c r="G104" s="5">
        <v>2.0</v>
      </c>
      <c r="H104" s="5">
        <v>3.0</v>
      </c>
    </row>
    <row r="105" ht="15.75" customHeight="1">
      <c r="A105" s="22" t="str">
        <f t="shared" si="2"/>
        <v>viernes</v>
      </c>
      <c r="B105" s="24" t="str">
        <f t="shared" si="3"/>
        <v>octubre</v>
      </c>
      <c r="C105" s="37">
        <v>45940.0</v>
      </c>
      <c r="D105" s="28" t="s">
        <v>39</v>
      </c>
      <c r="E105" s="5">
        <v>47.0</v>
      </c>
      <c r="F105" s="5">
        <v>27.0</v>
      </c>
      <c r="G105" s="5">
        <v>6.0</v>
      </c>
      <c r="H105" s="5">
        <v>13.0</v>
      </c>
    </row>
    <row r="106" ht="15.75" customHeight="1">
      <c r="A106" s="22" t="str">
        <f t="shared" si="2"/>
        <v>viernes</v>
      </c>
      <c r="B106" s="24" t="str">
        <f t="shared" si="3"/>
        <v>octubre</v>
      </c>
      <c r="C106" s="37">
        <v>45940.0</v>
      </c>
      <c r="D106" s="28" t="s">
        <v>51</v>
      </c>
      <c r="E106" s="5">
        <v>48.0</v>
      </c>
      <c r="F106" s="5">
        <v>26.0</v>
      </c>
      <c r="G106" s="5">
        <v>4.0</v>
      </c>
      <c r="H106" s="5">
        <v>12.0</v>
      </c>
    </row>
    <row r="107" ht="15.75" customHeight="1">
      <c r="A107" s="22" t="str">
        <f t="shared" si="2"/>
        <v>viernes</v>
      </c>
      <c r="B107" s="24" t="str">
        <f t="shared" si="3"/>
        <v>octubre</v>
      </c>
      <c r="C107" s="37">
        <v>45940.0</v>
      </c>
      <c r="D107" s="5" t="s">
        <v>145</v>
      </c>
      <c r="E107" s="5">
        <v>26.0</v>
      </c>
      <c r="F107" s="5">
        <v>19.0</v>
      </c>
      <c r="G107" s="5">
        <v>3.0</v>
      </c>
      <c r="H107" s="5">
        <v>0.0</v>
      </c>
    </row>
    <row r="108" ht="15.75" customHeight="1">
      <c r="A108" s="22" t="str">
        <f t="shared" si="2"/>
        <v>viernes</v>
      </c>
      <c r="B108" s="24" t="str">
        <f t="shared" si="3"/>
        <v>octubre</v>
      </c>
      <c r="C108" s="37">
        <v>45940.0</v>
      </c>
      <c r="D108" s="28" t="s">
        <v>52</v>
      </c>
      <c r="E108" s="5">
        <v>40.0</v>
      </c>
      <c r="F108" s="5">
        <v>34.0</v>
      </c>
      <c r="G108" s="5">
        <v>2.0</v>
      </c>
      <c r="H108" s="5">
        <v>2.0</v>
      </c>
    </row>
    <row r="109" ht="15.75" customHeight="1">
      <c r="A109" s="22" t="str">
        <f t="shared" si="2"/>
        <v>viernes</v>
      </c>
      <c r="B109" s="24" t="str">
        <f t="shared" si="3"/>
        <v>octubre</v>
      </c>
      <c r="C109" s="37">
        <v>45940.0</v>
      </c>
      <c r="D109" s="28" t="s">
        <v>58</v>
      </c>
      <c r="E109" s="5">
        <v>34.0</v>
      </c>
      <c r="F109" s="5">
        <v>21.0</v>
      </c>
      <c r="G109" s="5">
        <v>7.0</v>
      </c>
      <c r="H109" s="5">
        <v>5.0</v>
      </c>
    </row>
    <row r="110" ht="15.75" customHeight="1">
      <c r="A110" s="22" t="str">
        <f t="shared" si="2"/>
        <v>viernes</v>
      </c>
      <c r="B110" s="24" t="str">
        <f t="shared" si="3"/>
        <v>octubre</v>
      </c>
      <c r="C110" s="37">
        <v>45940.0</v>
      </c>
      <c r="D110" s="5" t="s">
        <v>146</v>
      </c>
      <c r="E110" s="5">
        <v>29.0</v>
      </c>
      <c r="F110" s="5">
        <v>26.0</v>
      </c>
      <c r="G110" s="5">
        <v>0.0</v>
      </c>
      <c r="H110" s="5">
        <v>1.0</v>
      </c>
    </row>
    <row r="111" ht="15.75" customHeight="1">
      <c r="A111" s="22" t="str">
        <f t="shared" si="2"/>
        <v>viernes</v>
      </c>
      <c r="B111" s="24" t="str">
        <f t="shared" si="3"/>
        <v>octubre</v>
      </c>
      <c r="C111" s="37">
        <v>45940.0</v>
      </c>
      <c r="D111" s="28" t="s">
        <v>64</v>
      </c>
      <c r="E111" s="5">
        <v>111.0</v>
      </c>
      <c r="F111" s="5">
        <v>67.0</v>
      </c>
      <c r="G111" s="5">
        <v>3.0</v>
      </c>
      <c r="H111" s="5">
        <v>16.0</v>
      </c>
    </row>
    <row r="112" ht="15.75" customHeight="1">
      <c r="A112" s="22" t="str">
        <f t="shared" si="2"/>
        <v>viernes</v>
      </c>
      <c r="B112" s="24" t="str">
        <f t="shared" si="3"/>
        <v>octubre</v>
      </c>
      <c r="C112" s="37">
        <v>45940.0</v>
      </c>
      <c r="D112" s="28" t="s">
        <v>65</v>
      </c>
      <c r="E112" s="5">
        <v>53.0</v>
      </c>
      <c r="F112" s="5">
        <v>41.0</v>
      </c>
      <c r="G112" s="5">
        <v>3.0</v>
      </c>
      <c r="H112" s="5">
        <v>0.0</v>
      </c>
    </row>
    <row r="113" ht="15.75" customHeight="1">
      <c r="A113" s="22" t="str">
        <f t="shared" si="2"/>
        <v>viernes</v>
      </c>
      <c r="B113" s="24" t="str">
        <f t="shared" si="3"/>
        <v>octubre</v>
      </c>
      <c r="C113" s="37">
        <v>45940.0</v>
      </c>
      <c r="D113" s="28" t="s">
        <v>66</v>
      </c>
      <c r="E113" s="5">
        <v>103.0</v>
      </c>
      <c r="F113" s="5">
        <v>88.0</v>
      </c>
      <c r="G113" s="5">
        <v>0.0</v>
      </c>
      <c r="H113" s="5">
        <v>3.0</v>
      </c>
    </row>
    <row r="114" ht="15.75" customHeight="1">
      <c r="A114" s="22" t="str">
        <f t="shared" si="2"/>
        <v>sábado</v>
      </c>
      <c r="B114" s="24" t="str">
        <f t="shared" si="3"/>
        <v>octubre</v>
      </c>
      <c r="C114" s="37">
        <v>45941.0</v>
      </c>
      <c r="D114" s="5" t="s">
        <v>169</v>
      </c>
      <c r="E114" s="5">
        <v>30.0</v>
      </c>
      <c r="F114" s="5">
        <v>23.0</v>
      </c>
      <c r="G114" s="5">
        <v>3.0</v>
      </c>
      <c r="H114" s="5">
        <v>4.0</v>
      </c>
    </row>
    <row r="115" ht="15.75" customHeight="1">
      <c r="A115" s="22" t="str">
        <f t="shared" si="2"/>
        <v>sábado</v>
      </c>
      <c r="B115" s="24" t="str">
        <f t="shared" si="3"/>
        <v>octubre</v>
      </c>
      <c r="C115" s="37">
        <v>45941.0</v>
      </c>
      <c r="D115" s="5" t="s">
        <v>43</v>
      </c>
      <c r="E115" s="5">
        <v>54.0</v>
      </c>
      <c r="F115" s="5">
        <v>23.0</v>
      </c>
      <c r="G115" s="5">
        <v>2.0</v>
      </c>
      <c r="H115" s="5">
        <v>16.0</v>
      </c>
    </row>
    <row r="116" ht="15.75" customHeight="1">
      <c r="A116" s="22" t="str">
        <f t="shared" si="2"/>
        <v>sábado</v>
      </c>
      <c r="B116" s="24" t="str">
        <f t="shared" si="3"/>
        <v>octubre</v>
      </c>
      <c r="C116" s="37">
        <v>45941.0</v>
      </c>
      <c r="D116" s="28" t="s">
        <v>51</v>
      </c>
      <c r="E116" s="5">
        <v>82.0</v>
      </c>
      <c r="F116" s="5">
        <v>62.0</v>
      </c>
      <c r="G116" s="5">
        <v>2.0</v>
      </c>
      <c r="H116" s="5">
        <v>24.0</v>
      </c>
    </row>
    <row r="117" ht="15.75" customHeight="1">
      <c r="A117" s="22" t="str">
        <f t="shared" si="2"/>
        <v>sábado</v>
      </c>
      <c r="B117" s="24" t="str">
        <f t="shared" si="3"/>
        <v>octubre</v>
      </c>
      <c r="C117" s="37">
        <v>45941.0</v>
      </c>
      <c r="D117" s="28" t="s">
        <v>59</v>
      </c>
      <c r="E117" s="5">
        <v>167.0</v>
      </c>
      <c r="F117" s="5">
        <v>145.0</v>
      </c>
      <c r="G117" s="5">
        <v>3.0</v>
      </c>
      <c r="H117" s="5">
        <v>0.0</v>
      </c>
    </row>
    <row r="118" ht="15.75" customHeight="1">
      <c r="A118" s="22" t="str">
        <f t="shared" si="2"/>
        <v>sábado</v>
      </c>
      <c r="B118" s="24" t="str">
        <f t="shared" si="3"/>
        <v>octubre</v>
      </c>
      <c r="C118" s="37">
        <v>45941.0</v>
      </c>
      <c r="D118" s="5" t="s">
        <v>145</v>
      </c>
      <c r="E118" s="5">
        <v>42.0</v>
      </c>
      <c r="F118" s="5">
        <v>35.0</v>
      </c>
      <c r="G118" s="5">
        <v>7.0</v>
      </c>
      <c r="H118" s="5">
        <v>2.0</v>
      </c>
    </row>
    <row r="119" ht="15.75" customHeight="1">
      <c r="A119" s="22" t="str">
        <f t="shared" si="2"/>
        <v>sábado</v>
      </c>
      <c r="B119" s="24" t="str">
        <f t="shared" si="3"/>
        <v>octubre</v>
      </c>
      <c r="C119" s="37">
        <v>45941.0</v>
      </c>
      <c r="D119" s="28" t="s">
        <v>52</v>
      </c>
      <c r="E119" s="5">
        <v>28.0</v>
      </c>
      <c r="F119" s="5">
        <v>20.0</v>
      </c>
      <c r="G119" s="5">
        <v>2.0</v>
      </c>
      <c r="H119" s="5">
        <v>7.0</v>
      </c>
    </row>
    <row r="120" ht="15.75" customHeight="1">
      <c r="A120" s="22" t="str">
        <f t="shared" si="2"/>
        <v>sábado</v>
      </c>
      <c r="B120" s="24" t="str">
        <f t="shared" si="3"/>
        <v>octubre</v>
      </c>
      <c r="C120" s="37">
        <v>45941.0</v>
      </c>
      <c r="D120" s="5" t="s">
        <v>146</v>
      </c>
      <c r="E120" s="5">
        <v>47.0</v>
      </c>
      <c r="F120" s="5">
        <v>37.0</v>
      </c>
      <c r="G120" s="5">
        <v>0.0</v>
      </c>
      <c r="H120" s="5">
        <v>1.0</v>
      </c>
    </row>
    <row r="121" ht="15.75" customHeight="1">
      <c r="A121" s="22" t="str">
        <f t="shared" si="2"/>
        <v>domingo</v>
      </c>
      <c r="B121" s="24" t="str">
        <f t="shared" si="3"/>
        <v>octubre</v>
      </c>
      <c r="C121" s="37">
        <v>45942.0</v>
      </c>
      <c r="D121" s="5" t="s">
        <v>116</v>
      </c>
      <c r="E121" s="5">
        <v>47.0</v>
      </c>
      <c r="F121" s="5">
        <v>30.0</v>
      </c>
      <c r="G121" s="5">
        <v>13.0</v>
      </c>
      <c r="H121" s="5">
        <v>11.0</v>
      </c>
    </row>
    <row r="122" ht="15.75" customHeight="1">
      <c r="A122" s="22" t="str">
        <f t="shared" si="2"/>
        <v>domingo</v>
      </c>
      <c r="B122" s="24" t="str">
        <f t="shared" si="3"/>
        <v>octubre</v>
      </c>
      <c r="C122" s="37">
        <v>45942.0</v>
      </c>
      <c r="D122" s="5" t="s">
        <v>43</v>
      </c>
      <c r="E122" s="5">
        <v>63.0</v>
      </c>
      <c r="F122" s="5">
        <v>23.0</v>
      </c>
      <c r="G122" s="5">
        <v>6.0</v>
      </c>
      <c r="H122" s="5">
        <v>36.0</v>
      </c>
    </row>
    <row r="123" ht="15.75" customHeight="1">
      <c r="A123" s="22" t="str">
        <f t="shared" si="2"/>
        <v>domingo</v>
      </c>
      <c r="B123" s="24" t="str">
        <f t="shared" si="3"/>
        <v>octubre</v>
      </c>
      <c r="C123" s="37">
        <v>45942.0</v>
      </c>
      <c r="D123" s="28" t="s">
        <v>59</v>
      </c>
      <c r="E123" s="5">
        <v>152.0</v>
      </c>
      <c r="F123" s="5">
        <v>132.0</v>
      </c>
      <c r="G123" s="5">
        <v>3.0</v>
      </c>
      <c r="H123" s="5">
        <v>2.0</v>
      </c>
    </row>
    <row r="124" ht="15.75" customHeight="1">
      <c r="A124" s="22" t="str">
        <f t="shared" si="2"/>
        <v>domingo</v>
      </c>
      <c r="B124" s="24" t="str">
        <f t="shared" si="3"/>
        <v>octubre</v>
      </c>
      <c r="C124" s="37">
        <v>45942.0</v>
      </c>
      <c r="D124" s="5" t="s">
        <v>145</v>
      </c>
      <c r="E124" s="5">
        <v>37.0</v>
      </c>
      <c r="F124" s="5">
        <v>27.0</v>
      </c>
      <c r="G124" s="5">
        <v>7.0</v>
      </c>
      <c r="H124" s="5">
        <v>2.0</v>
      </c>
    </row>
    <row r="125" ht="15.75" customHeight="1">
      <c r="A125" s="22" t="str">
        <f t="shared" si="2"/>
        <v>domingo</v>
      </c>
      <c r="B125" s="24" t="str">
        <f t="shared" si="3"/>
        <v>octubre</v>
      </c>
      <c r="C125" s="37">
        <v>45942.0</v>
      </c>
      <c r="D125" s="28" t="s">
        <v>52</v>
      </c>
      <c r="E125" s="5">
        <v>76.0</v>
      </c>
      <c r="F125" s="5">
        <v>42.0</v>
      </c>
      <c r="G125" s="5">
        <v>9.0</v>
      </c>
      <c r="H125" s="5">
        <v>3.0</v>
      </c>
    </row>
    <row r="126" ht="15.75" customHeight="1">
      <c r="A126" s="22" t="str">
        <f t="shared" si="2"/>
        <v>domingo</v>
      </c>
      <c r="B126" s="24" t="str">
        <f t="shared" si="3"/>
        <v>octubre</v>
      </c>
      <c r="C126" s="37">
        <v>45942.0</v>
      </c>
      <c r="D126" s="5" t="s">
        <v>146</v>
      </c>
      <c r="E126" s="5">
        <v>46.0</v>
      </c>
      <c r="F126" s="5">
        <v>32.0</v>
      </c>
      <c r="G126" s="5">
        <v>0.0</v>
      </c>
      <c r="H126" s="5">
        <v>4.0</v>
      </c>
    </row>
    <row r="127" ht="15.75" customHeight="1">
      <c r="A127" s="22" t="str">
        <f t="shared" si="2"/>
        <v>lunes</v>
      </c>
      <c r="B127" s="24" t="str">
        <f t="shared" si="3"/>
        <v>octubre</v>
      </c>
      <c r="C127" s="37">
        <v>45943.0</v>
      </c>
      <c r="D127" s="28" t="s">
        <v>64</v>
      </c>
      <c r="E127" s="5">
        <v>100.0</v>
      </c>
      <c r="F127" s="5">
        <v>53.0</v>
      </c>
      <c r="G127" s="5">
        <v>7.0</v>
      </c>
      <c r="H127" s="5">
        <v>15.0</v>
      </c>
    </row>
    <row r="128" ht="15.75" customHeight="1">
      <c r="A128" s="22" t="str">
        <f t="shared" si="2"/>
        <v>lunes</v>
      </c>
      <c r="B128" s="24" t="str">
        <f t="shared" si="3"/>
        <v>octubre</v>
      </c>
      <c r="C128" s="37">
        <v>45943.0</v>
      </c>
      <c r="D128" s="28" t="s">
        <v>58</v>
      </c>
      <c r="E128" s="5">
        <v>67.0</v>
      </c>
      <c r="F128" s="5">
        <v>43.0</v>
      </c>
      <c r="G128" s="5">
        <v>9.0</v>
      </c>
      <c r="H128" s="5">
        <v>6.0</v>
      </c>
    </row>
    <row r="129" ht="15.75" customHeight="1">
      <c r="A129" s="22" t="str">
        <f t="shared" si="2"/>
        <v>lunes</v>
      </c>
      <c r="B129" s="24" t="str">
        <f t="shared" si="3"/>
        <v>octubre</v>
      </c>
      <c r="C129" s="37">
        <v>45943.0</v>
      </c>
      <c r="D129" s="28" t="s">
        <v>42</v>
      </c>
      <c r="E129" s="5">
        <v>82.0</v>
      </c>
      <c r="F129" s="5">
        <v>44.0</v>
      </c>
      <c r="G129" s="5">
        <v>6.0</v>
      </c>
      <c r="H129" s="5">
        <v>9.0</v>
      </c>
    </row>
    <row r="130" ht="15.75" customHeight="1">
      <c r="A130" s="22" t="str">
        <f t="shared" si="2"/>
        <v>lunes</v>
      </c>
      <c r="B130" s="24" t="str">
        <f t="shared" si="3"/>
        <v>octubre</v>
      </c>
      <c r="C130" s="37">
        <v>45943.0</v>
      </c>
      <c r="D130" s="28" t="s">
        <v>39</v>
      </c>
      <c r="E130" s="5">
        <v>34.0</v>
      </c>
      <c r="F130" s="5">
        <v>25.0</v>
      </c>
      <c r="G130" s="5">
        <v>5.0</v>
      </c>
      <c r="H130" s="5">
        <v>4.0</v>
      </c>
    </row>
    <row r="131" ht="15.75" customHeight="1">
      <c r="A131" s="22" t="str">
        <f t="shared" si="2"/>
        <v>lunes</v>
      </c>
      <c r="B131" s="24" t="str">
        <f t="shared" si="3"/>
        <v>octubre</v>
      </c>
      <c r="C131" s="37">
        <v>45943.0</v>
      </c>
      <c r="D131" s="28" t="s">
        <v>66</v>
      </c>
      <c r="E131" s="5">
        <v>108.0</v>
      </c>
      <c r="F131" s="5">
        <v>96.0</v>
      </c>
      <c r="G131" s="5">
        <v>0.0</v>
      </c>
      <c r="H131" s="5">
        <v>0.0</v>
      </c>
    </row>
    <row r="132" ht="15.75" customHeight="1">
      <c r="A132" s="22" t="str">
        <f t="shared" si="2"/>
        <v>lunes</v>
      </c>
      <c r="B132" s="24" t="str">
        <f t="shared" si="3"/>
        <v>octubre</v>
      </c>
      <c r="C132" s="37">
        <v>45943.0</v>
      </c>
      <c r="D132" s="28" t="s">
        <v>44</v>
      </c>
      <c r="E132" s="5">
        <v>107.0</v>
      </c>
      <c r="F132" s="5">
        <v>11.0</v>
      </c>
      <c r="G132" s="5">
        <v>0.0</v>
      </c>
      <c r="H132" s="5">
        <v>0.0</v>
      </c>
    </row>
    <row r="133" ht="15.75" customHeight="1">
      <c r="A133" s="22" t="str">
        <f t="shared" si="2"/>
        <v>lunes</v>
      </c>
      <c r="B133" s="24" t="str">
        <f t="shared" si="3"/>
        <v>octubre</v>
      </c>
      <c r="C133" s="37">
        <v>45943.0</v>
      </c>
      <c r="D133" s="28" t="s">
        <v>67</v>
      </c>
      <c r="E133" s="5">
        <v>71.0</v>
      </c>
      <c r="F133" s="5">
        <v>67.0</v>
      </c>
      <c r="G133" s="5">
        <v>1.0</v>
      </c>
      <c r="H133" s="5">
        <v>1.0</v>
      </c>
    </row>
    <row r="134" ht="15.75" customHeight="1">
      <c r="A134" s="22" t="str">
        <f t="shared" si="2"/>
        <v>lunes</v>
      </c>
      <c r="B134" s="24" t="str">
        <f t="shared" si="3"/>
        <v>octubre</v>
      </c>
      <c r="C134" s="37">
        <v>45943.0</v>
      </c>
      <c r="D134" s="28" t="s">
        <v>65</v>
      </c>
      <c r="E134" s="5">
        <v>72.0</v>
      </c>
      <c r="F134" s="5">
        <v>54.0</v>
      </c>
      <c r="G134" s="5">
        <v>3.0</v>
      </c>
      <c r="H134" s="5">
        <v>2.0</v>
      </c>
    </row>
    <row r="135" ht="15.75" customHeight="1">
      <c r="A135" s="22" t="str">
        <f t="shared" si="2"/>
        <v>lunes</v>
      </c>
      <c r="B135" s="24" t="str">
        <f t="shared" si="3"/>
        <v>octubre</v>
      </c>
      <c r="C135" s="37">
        <v>45943.0</v>
      </c>
      <c r="D135" s="28" t="s">
        <v>59</v>
      </c>
      <c r="E135" s="5">
        <v>55.0</v>
      </c>
      <c r="F135" s="5">
        <v>20.0</v>
      </c>
      <c r="G135" s="5">
        <v>0.0</v>
      </c>
      <c r="H135" s="5">
        <v>0.0</v>
      </c>
    </row>
    <row r="136" ht="15.75" customHeight="1">
      <c r="A136" s="22" t="str">
        <f t="shared" si="2"/>
        <v>lunes</v>
      </c>
      <c r="B136" s="24" t="str">
        <f t="shared" si="3"/>
        <v>octubre</v>
      </c>
      <c r="C136" s="37">
        <v>45943.0</v>
      </c>
      <c r="D136" s="5" t="s">
        <v>90</v>
      </c>
      <c r="E136" s="5">
        <v>219.0</v>
      </c>
      <c r="F136" s="5">
        <v>97.0</v>
      </c>
      <c r="G136" s="5">
        <v>0.0</v>
      </c>
      <c r="H136" s="5">
        <v>0.0</v>
      </c>
    </row>
    <row r="137" ht="15.75" customHeight="1">
      <c r="A137" s="22" t="str">
        <f t="shared" si="2"/>
        <v>lunes</v>
      </c>
      <c r="B137" s="24" t="str">
        <f t="shared" si="3"/>
        <v>octubre</v>
      </c>
      <c r="C137" s="37">
        <v>45943.0</v>
      </c>
      <c r="D137" s="28" t="s">
        <v>168</v>
      </c>
      <c r="E137" s="5">
        <v>56.0</v>
      </c>
      <c r="F137" s="5">
        <v>16.0</v>
      </c>
      <c r="G137" s="5">
        <v>0.0</v>
      </c>
      <c r="H137" s="5">
        <v>0.0</v>
      </c>
    </row>
    <row r="138" ht="15.75" customHeight="1">
      <c r="A138" s="22" t="str">
        <f t="shared" si="2"/>
        <v>lunes</v>
      </c>
      <c r="B138" s="24" t="str">
        <f t="shared" si="3"/>
        <v>octubre</v>
      </c>
      <c r="C138" s="37">
        <v>45943.0</v>
      </c>
      <c r="D138" s="5" t="s">
        <v>89</v>
      </c>
      <c r="E138" s="5">
        <v>129.0</v>
      </c>
      <c r="F138" s="5">
        <v>82.0</v>
      </c>
      <c r="G138" s="5">
        <v>0.0</v>
      </c>
      <c r="H138" s="5">
        <v>0.0</v>
      </c>
    </row>
    <row r="139" ht="15.75" customHeight="1">
      <c r="A139" s="22" t="str">
        <f t="shared" si="2"/>
        <v>martes</v>
      </c>
      <c r="B139" s="24" t="str">
        <f t="shared" si="3"/>
        <v>octubre</v>
      </c>
      <c r="C139" s="37">
        <v>45944.0</v>
      </c>
      <c r="D139" s="28" t="s">
        <v>64</v>
      </c>
      <c r="E139" s="5">
        <v>86.0</v>
      </c>
      <c r="F139" s="5">
        <v>54.0</v>
      </c>
      <c r="G139" s="5">
        <v>4.0</v>
      </c>
      <c r="H139" s="5">
        <v>6.0</v>
      </c>
    </row>
    <row r="140" ht="15.75" customHeight="1">
      <c r="A140" s="22" t="str">
        <f t="shared" si="2"/>
        <v>martes</v>
      </c>
      <c r="B140" s="24" t="str">
        <f t="shared" si="3"/>
        <v>octubre</v>
      </c>
      <c r="C140" s="37">
        <v>45944.0</v>
      </c>
      <c r="D140" s="28" t="s">
        <v>58</v>
      </c>
      <c r="E140" s="5">
        <v>92.0</v>
      </c>
      <c r="F140" s="5">
        <v>60.0</v>
      </c>
      <c r="G140" s="5">
        <v>8.0</v>
      </c>
      <c r="H140" s="5">
        <v>11.0</v>
      </c>
    </row>
    <row r="141" ht="15.75" customHeight="1">
      <c r="A141" s="22" t="str">
        <f t="shared" si="2"/>
        <v>martes</v>
      </c>
      <c r="B141" s="24" t="str">
        <f t="shared" si="3"/>
        <v>octubre</v>
      </c>
      <c r="C141" s="37">
        <v>45944.0</v>
      </c>
      <c r="D141" s="28" t="s">
        <v>39</v>
      </c>
      <c r="E141" s="5">
        <v>59.0</v>
      </c>
      <c r="F141" s="5">
        <v>35.0</v>
      </c>
      <c r="G141" s="5">
        <v>6.0</v>
      </c>
      <c r="H141" s="5">
        <v>24.0</v>
      </c>
    </row>
    <row r="142" ht="15.75" customHeight="1">
      <c r="A142" s="22" t="str">
        <f t="shared" si="2"/>
        <v>martes</v>
      </c>
      <c r="B142" s="24" t="str">
        <f t="shared" si="3"/>
        <v>octubre</v>
      </c>
      <c r="C142" s="37">
        <v>45944.0</v>
      </c>
      <c r="D142" s="28" t="s">
        <v>42</v>
      </c>
      <c r="E142" s="5">
        <v>118.0</v>
      </c>
      <c r="F142" s="5">
        <v>88.0</v>
      </c>
      <c r="G142" s="5">
        <v>2.0</v>
      </c>
      <c r="H142" s="5">
        <v>15.0</v>
      </c>
    </row>
    <row r="143" ht="15.75" customHeight="1">
      <c r="A143" s="22" t="str">
        <f t="shared" si="2"/>
        <v>martes</v>
      </c>
      <c r="B143" s="24" t="str">
        <f t="shared" si="3"/>
        <v>octubre</v>
      </c>
      <c r="C143" s="37">
        <v>45944.0</v>
      </c>
      <c r="D143" s="28" t="s">
        <v>65</v>
      </c>
      <c r="E143" s="5">
        <v>69.0</v>
      </c>
      <c r="F143" s="5">
        <v>60.0</v>
      </c>
      <c r="G143" s="5">
        <v>2.0</v>
      </c>
      <c r="H143" s="5">
        <v>3.0</v>
      </c>
    </row>
    <row r="144" ht="15.75" customHeight="1">
      <c r="A144" s="22" t="str">
        <f t="shared" si="2"/>
        <v>martes</v>
      </c>
      <c r="B144" s="24" t="str">
        <f t="shared" si="3"/>
        <v>octubre</v>
      </c>
      <c r="C144" s="37">
        <v>45944.0</v>
      </c>
      <c r="D144" s="28" t="s">
        <v>66</v>
      </c>
      <c r="E144" s="5">
        <v>120.0</v>
      </c>
      <c r="F144" s="5">
        <v>109.0</v>
      </c>
      <c r="G144" s="5">
        <v>1.0</v>
      </c>
      <c r="H144" s="5">
        <v>1.0</v>
      </c>
    </row>
    <row r="145" ht="15.75" customHeight="1">
      <c r="A145" s="22" t="str">
        <f t="shared" si="2"/>
        <v>martes</v>
      </c>
      <c r="B145" s="24" t="str">
        <f t="shared" si="3"/>
        <v>octubre</v>
      </c>
      <c r="C145" s="37">
        <v>45944.0</v>
      </c>
      <c r="D145" s="28" t="s">
        <v>67</v>
      </c>
      <c r="E145" s="5">
        <v>53.0</v>
      </c>
      <c r="F145" s="5">
        <v>38.0</v>
      </c>
      <c r="G145" s="5">
        <v>0.0</v>
      </c>
      <c r="H145" s="5">
        <v>0.0</v>
      </c>
    </row>
    <row r="146" ht="15.75" customHeight="1">
      <c r="A146" s="22" t="str">
        <f t="shared" si="2"/>
        <v>martes</v>
      </c>
      <c r="B146" s="24" t="str">
        <f t="shared" si="3"/>
        <v>octubre</v>
      </c>
      <c r="C146" s="37">
        <v>45944.0</v>
      </c>
      <c r="D146" s="28" t="s">
        <v>59</v>
      </c>
      <c r="E146" s="5">
        <v>70.0</v>
      </c>
      <c r="F146" s="5">
        <v>56.0</v>
      </c>
      <c r="G146" s="5">
        <v>0.0</v>
      </c>
      <c r="H146" s="5">
        <v>0.0</v>
      </c>
    </row>
    <row r="147" ht="15.75" customHeight="1">
      <c r="A147" s="22" t="str">
        <f t="shared" si="2"/>
        <v>martes</v>
      </c>
      <c r="B147" s="24" t="str">
        <f t="shared" si="3"/>
        <v>octubre</v>
      </c>
      <c r="C147" s="37">
        <v>45944.0</v>
      </c>
      <c r="D147" s="5" t="s">
        <v>89</v>
      </c>
      <c r="E147" s="5">
        <v>145.0</v>
      </c>
      <c r="F147" s="5">
        <v>93.0</v>
      </c>
      <c r="G147" s="5">
        <v>1.0</v>
      </c>
      <c r="H147" s="5">
        <v>3.0</v>
      </c>
    </row>
    <row r="148" ht="15.75" customHeight="1">
      <c r="A148" s="22" t="str">
        <f t="shared" si="2"/>
        <v>martes</v>
      </c>
      <c r="B148" s="24" t="str">
        <f t="shared" si="3"/>
        <v>octubre</v>
      </c>
      <c r="C148" s="37">
        <v>45944.0</v>
      </c>
      <c r="D148" s="5" t="s">
        <v>90</v>
      </c>
      <c r="E148" s="5">
        <v>237.0</v>
      </c>
      <c r="F148" s="5">
        <v>133.0</v>
      </c>
      <c r="G148" s="5">
        <v>0.0</v>
      </c>
      <c r="H148" s="5">
        <v>0.0</v>
      </c>
    </row>
    <row r="149" ht="15.75" customHeight="1">
      <c r="A149" s="22" t="str">
        <f t="shared" si="2"/>
        <v>martes</v>
      </c>
      <c r="B149" s="24" t="str">
        <f t="shared" si="3"/>
        <v>octubre</v>
      </c>
      <c r="C149" s="37">
        <v>45944.0</v>
      </c>
      <c r="D149" s="28" t="s">
        <v>168</v>
      </c>
      <c r="E149" s="5">
        <v>94.0</v>
      </c>
      <c r="F149" s="5">
        <v>41.0</v>
      </c>
      <c r="G149" s="5">
        <v>0.0</v>
      </c>
      <c r="H149" s="5">
        <v>0.0</v>
      </c>
    </row>
    <row r="150" ht="15.75" customHeight="1">
      <c r="A150" s="22" t="str">
        <f t="shared" si="2"/>
        <v>martes</v>
      </c>
      <c r="B150" s="24" t="str">
        <f t="shared" si="3"/>
        <v>octubre</v>
      </c>
      <c r="C150" s="37">
        <v>45944.0</v>
      </c>
      <c r="D150" s="5" t="s">
        <v>146</v>
      </c>
      <c r="E150" s="5">
        <v>0.0</v>
      </c>
      <c r="F150" s="5">
        <v>0.0</v>
      </c>
      <c r="G150" s="5">
        <v>0.0</v>
      </c>
      <c r="H150" s="5">
        <v>0.0</v>
      </c>
    </row>
    <row r="151" ht="15.75" customHeight="1">
      <c r="A151" s="22" t="str">
        <f t="shared" si="2"/>
        <v>miércoles</v>
      </c>
      <c r="B151" s="24" t="str">
        <f t="shared" si="3"/>
        <v>octubre</v>
      </c>
      <c r="C151" s="37">
        <v>45945.0</v>
      </c>
      <c r="D151" s="28" t="s">
        <v>64</v>
      </c>
      <c r="E151" s="5">
        <v>129.0</v>
      </c>
      <c r="F151" s="5">
        <v>89.0</v>
      </c>
      <c r="G151" s="5">
        <v>0.0</v>
      </c>
      <c r="H151" s="5">
        <v>7.0</v>
      </c>
    </row>
    <row r="152" ht="15.75" customHeight="1">
      <c r="A152" s="22" t="str">
        <f t="shared" si="2"/>
        <v>miércoles</v>
      </c>
      <c r="B152" s="24" t="str">
        <f t="shared" si="3"/>
        <v>octubre</v>
      </c>
      <c r="C152" s="37">
        <v>45945.0</v>
      </c>
      <c r="D152" s="28" t="s">
        <v>58</v>
      </c>
      <c r="E152" s="5">
        <v>68.0</v>
      </c>
      <c r="F152" s="5">
        <v>48.0</v>
      </c>
      <c r="G152" s="5">
        <v>4.0</v>
      </c>
      <c r="H152" s="5">
        <v>11.0</v>
      </c>
    </row>
    <row r="153" ht="15.75" customHeight="1">
      <c r="A153" s="22" t="str">
        <f t="shared" si="2"/>
        <v>miércoles</v>
      </c>
      <c r="B153" s="24" t="str">
        <f t="shared" si="3"/>
        <v>octubre</v>
      </c>
      <c r="C153" s="37">
        <v>45945.0</v>
      </c>
      <c r="D153" s="28" t="s">
        <v>42</v>
      </c>
      <c r="E153" s="5">
        <v>80.0</v>
      </c>
      <c r="F153" s="5">
        <v>59.0</v>
      </c>
      <c r="G153" s="5">
        <v>2.0</v>
      </c>
      <c r="H153" s="5">
        <v>4.0</v>
      </c>
    </row>
    <row r="154" ht="15.75" customHeight="1">
      <c r="A154" s="22" t="str">
        <f t="shared" si="2"/>
        <v>miércoles</v>
      </c>
      <c r="B154" s="24" t="str">
        <f t="shared" si="3"/>
        <v>octubre</v>
      </c>
      <c r="C154" s="37">
        <v>45945.0</v>
      </c>
      <c r="D154" s="28" t="s">
        <v>51</v>
      </c>
      <c r="E154" s="5">
        <v>74.0</v>
      </c>
      <c r="F154" s="5">
        <v>54.0</v>
      </c>
      <c r="G154" s="5">
        <v>4.0</v>
      </c>
      <c r="H154" s="5">
        <v>18.0</v>
      </c>
    </row>
    <row r="155" ht="15.75" customHeight="1">
      <c r="A155" s="22" t="str">
        <f t="shared" si="2"/>
        <v>miércoles</v>
      </c>
      <c r="B155" s="24" t="str">
        <f t="shared" si="3"/>
        <v>octubre</v>
      </c>
      <c r="C155" s="37">
        <v>45945.0</v>
      </c>
      <c r="D155" s="28" t="s">
        <v>39</v>
      </c>
      <c r="E155" s="5">
        <v>81.0</v>
      </c>
      <c r="F155" s="5">
        <v>48.0</v>
      </c>
      <c r="G155" s="5">
        <v>1.0</v>
      </c>
      <c r="H155" s="5">
        <v>18.0</v>
      </c>
    </row>
    <row r="156" ht="15.75" customHeight="1">
      <c r="A156" s="22" t="str">
        <f t="shared" si="2"/>
        <v>miércoles</v>
      </c>
      <c r="B156" s="24" t="str">
        <f t="shared" si="3"/>
        <v>octubre</v>
      </c>
      <c r="C156" s="37">
        <v>45945.0</v>
      </c>
      <c r="D156" s="28" t="s">
        <v>65</v>
      </c>
      <c r="E156" s="5">
        <v>52.0</v>
      </c>
      <c r="F156" s="5">
        <v>41.0</v>
      </c>
      <c r="G156" s="5">
        <v>0.0</v>
      </c>
      <c r="H156" s="5">
        <v>5.0</v>
      </c>
    </row>
    <row r="157" ht="15.75" customHeight="1">
      <c r="A157" s="22" t="str">
        <f t="shared" si="2"/>
        <v>miércoles</v>
      </c>
      <c r="B157" s="24" t="str">
        <f t="shared" si="3"/>
        <v>octubre</v>
      </c>
      <c r="C157" s="37">
        <v>45945.0</v>
      </c>
      <c r="D157" s="28" t="s">
        <v>66</v>
      </c>
      <c r="E157" s="5">
        <v>127.0</v>
      </c>
      <c r="F157" s="5">
        <v>106.0</v>
      </c>
      <c r="G157" s="5">
        <v>0.0</v>
      </c>
      <c r="H157" s="5">
        <v>4.0</v>
      </c>
    </row>
    <row r="158" ht="15.75" customHeight="1">
      <c r="A158" s="22" t="str">
        <f t="shared" si="2"/>
        <v>miércoles</v>
      </c>
      <c r="B158" s="24" t="str">
        <f t="shared" si="3"/>
        <v>octubre</v>
      </c>
      <c r="C158" s="37">
        <v>45945.0</v>
      </c>
      <c r="D158" s="28" t="s">
        <v>67</v>
      </c>
      <c r="E158" s="5">
        <v>85.0</v>
      </c>
      <c r="F158" s="5">
        <v>74.0</v>
      </c>
      <c r="G158" s="5">
        <v>0.0</v>
      </c>
      <c r="H158" s="5">
        <v>5.0</v>
      </c>
    </row>
    <row r="159" ht="15.75" customHeight="1">
      <c r="A159" s="22" t="str">
        <f t="shared" si="2"/>
        <v>miércoles</v>
      </c>
      <c r="B159" s="24" t="str">
        <f t="shared" si="3"/>
        <v>octubre</v>
      </c>
      <c r="C159" s="37">
        <v>45945.0</v>
      </c>
      <c r="D159" s="5" t="s">
        <v>127</v>
      </c>
      <c r="E159" s="5">
        <v>19.0</v>
      </c>
      <c r="F159" s="5">
        <v>9.0</v>
      </c>
      <c r="G159" s="5">
        <v>0.0</v>
      </c>
      <c r="H159" s="5">
        <v>0.0</v>
      </c>
    </row>
    <row r="160" ht="15.75" customHeight="1">
      <c r="A160" s="22" t="str">
        <f t="shared" si="2"/>
        <v>miércoles</v>
      </c>
      <c r="B160" s="24" t="str">
        <f t="shared" si="3"/>
        <v>octubre</v>
      </c>
      <c r="C160" s="37">
        <v>45945.0</v>
      </c>
      <c r="D160" s="5" t="s">
        <v>107</v>
      </c>
      <c r="E160" s="5">
        <v>97.0</v>
      </c>
      <c r="F160" s="5">
        <v>40.0</v>
      </c>
      <c r="G160" s="5">
        <v>0.0</v>
      </c>
      <c r="H160" s="5">
        <v>0.0</v>
      </c>
    </row>
    <row r="161" ht="15.75" customHeight="1">
      <c r="A161" s="22" t="str">
        <f t="shared" si="2"/>
        <v>miércoles</v>
      </c>
      <c r="B161" s="24" t="str">
        <f t="shared" si="3"/>
        <v>octubre</v>
      </c>
      <c r="C161" s="37">
        <v>45945.0</v>
      </c>
      <c r="D161" s="5" t="s">
        <v>89</v>
      </c>
      <c r="E161" s="5">
        <v>98.0</v>
      </c>
      <c r="F161" s="5">
        <v>67.0</v>
      </c>
      <c r="G161" s="5">
        <v>0.0</v>
      </c>
      <c r="H161" s="5">
        <v>0.0</v>
      </c>
    </row>
    <row r="162" ht="15.75" customHeight="1">
      <c r="A162" s="22" t="str">
        <f t="shared" si="2"/>
        <v>jueves</v>
      </c>
      <c r="B162" s="24" t="str">
        <f t="shared" si="3"/>
        <v>octubre</v>
      </c>
      <c r="C162" s="37">
        <v>45946.0</v>
      </c>
      <c r="D162" s="28" t="s">
        <v>64</v>
      </c>
      <c r="E162" s="5">
        <v>107.0</v>
      </c>
      <c r="F162" s="5">
        <v>78.0</v>
      </c>
      <c r="G162" s="5">
        <v>7.0</v>
      </c>
      <c r="H162" s="5">
        <v>14.0</v>
      </c>
    </row>
    <row r="163" ht="15.75" customHeight="1">
      <c r="A163" s="22" t="str">
        <f t="shared" si="2"/>
        <v>jueves</v>
      </c>
      <c r="B163" s="24" t="str">
        <f t="shared" si="3"/>
        <v>octubre</v>
      </c>
      <c r="C163" s="37">
        <v>45946.0</v>
      </c>
      <c r="D163" s="28" t="s">
        <v>58</v>
      </c>
      <c r="E163" s="5">
        <v>44.0</v>
      </c>
      <c r="F163" s="5">
        <v>32.0</v>
      </c>
      <c r="G163" s="5">
        <v>9.0</v>
      </c>
      <c r="H163" s="5">
        <v>6.0</v>
      </c>
    </row>
    <row r="164" ht="15.75" customHeight="1">
      <c r="A164" s="22" t="str">
        <f t="shared" si="2"/>
        <v>jueves</v>
      </c>
      <c r="B164" s="24" t="str">
        <f t="shared" si="3"/>
        <v>octubre</v>
      </c>
      <c r="C164" s="37">
        <v>45946.0</v>
      </c>
      <c r="D164" s="28" t="s">
        <v>42</v>
      </c>
      <c r="E164" s="5">
        <v>56.0</v>
      </c>
      <c r="F164" s="5">
        <v>36.0</v>
      </c>
      <c r="G164" s="5">
        <v>3.0</v>
      </c>
      <c r="H164" s="5">
        <v>7.0</v>
      </c>
    </row>
    <row r="165" ht="15.75" customHeight="1">
      <c r="A165" s="22" t="str">
        <f t="shared" si="2"/>
        <v>jueves</v>
      </c>
      <c r="B165" s="24" t="str">
        <f t="shared" si="3"/>
        <v>octubre</v>
      </c>
      <c r="C165" s="37">
        <v>45946.0</v>
      </c>
      <c r="D165" s="28" t="s">
        <v>51</v>
      </c>
      <c r="E165" s="5">
        <v>39.0</v>
      </c>
      <c r="F165" s="5">
        <v>36.0</v>
      </c>
      <c r="G165" s="5">
        <v>0.0</v>
      </c>
      <c r="H165" s="5">
        <v>5.0</v>
      </c>
    </row>
    <row r="166" ht="15.75" customHeight="1">
      <c r="A166" s="22" t="str">
        <f t="shared" si="2"/>
        <v>jueves</v>
      </c>
      <c r="B166" s="24" t="str">
        <f t="shared" si="3"/>
        <v>octubre</v>
      </c>
      <c r="C166" s="37">
        <v>45946.0</v>
      </c>
      <c r="D166" s="28" t="s">
        <v>52</v>
      </c>
      <c r="E166" s="5">
        <v>26.0</v>
      </c>
      <c r="F166" s="5">
        <v>23.0</v>
      </c>
      <c r="G166" s="5">
        <v>2.0</v>
      </c>
      <c r="H166" s="5">
        <v>0.0</v>
      </c>
    </row>
    <row r="167" ht="15.75" customHeight="1">
      <c r="A167" s="22" t="str">
        <f t="shared" si="2"/>
        <v>jueves</v>
      </c>
      <c r="B167" s="24" t="str">
        <f t="shared" si="3"/>
        <v>octubre</v>
      </c>
      <c r="C167" s="37">
        <v>45946.0</v>
      </c>
      <c r="D167" s="5" t="s">
        <v>145</v>
      </c>
      <c r="E167" s="5">
        <v>11.0</v>
      </c>
      <c r="F167" s="5">
        <v>10.0</v>
      </c>
      <c r="G167" s="5">
        <v>6.0</v>
      </c>
      <c r="H167" s="5">
        <v>1.0</v>
      </c>
    </row>
    <row r="168" ht="15.75" customHeight="1">
      <c r="A168" s="22" t="str">
        <f t="shared" si="2"/>
        <v>jueves</v>
      </c>
      <c r="B168" s="24" t="str">
        <f t="shared" si="3"/>
        <v>octubre</v>
      </c>
      <c r="C168" s="37">
        <v>45946.0</v>
      </c>
      <c r="D168" s="28" t="s">
        <v>65</v>
      </c>
      <c r="E168" s="5">
        <v>38.0</v>
      </c>
      <c r="F168" s="5">
        <v>35.0</v>
      </c>
      <c r="G168" s="5">
        <v>5.0</v>
      </c>
      <c r="H168" s="5">
        <v>0.0</v>
      </c>
    </row>
    <row r="169" ht="15.75" customHeight="1">
      <c r="A169" s="22" t="str">
        <f t="shared" si="2"/>
        <v>jueves</v>
      </c>
      <c r="B169" s="24" t="str">
        <f t="shared" si="3"/>
        <v>octubre</v>
      </c>
      <c r="C169" s="37">
        <v>45946.0</v>
      </c>
      <c r="D169" s="28" t="s">
        <v>66</v>
      </c>
      <c r="E169" s="5">
        <v>103.0</v>
      </c>
      <c r="F169" s="5">
        <v>95.0</v>
      </c>
      <c r="G169" s="5">
        <v>0.0</v>
      </c>
      <c r="H169" s="5">
        <v>0.0</v>
      </c>
    </row>
    <row r="170" ht="15.75" customHeight="1">
      <c r="A170" s="22" t="str">
        <f t="shared" si="2"/>
        <v>jueves</v>
      </c>
      <c r="B170" s="24" t="str">
        <f t="shared" si="3"/>
        <v>octubre</v>
      </c>
      <c r="C170" s="37">
        <v>45946.0</v>
      </c>
      <c r="D170" s="28" t="s">
        <v>67</v>
      </c>
      <c r="E170" s="5">
        <v>73.0</v>
      </c>
      <c r="F170" s="5">
        <v>65.0</v>
      </c>
      <c r="G170" s="5">
        <v>8.0</v>
      </c>
      <c r="H170" s="5">
        <v>0.0</v>
      </c>
    </row>
    <row r="171" ht="15.75" customHeight="1">
      <c r="A171" s="22" t="str">
        <f t="shared" si="2"/>
        <v>jueves</v>
      </c>
      <c r="B171" s="24" t="str">
        <f t="shared" si="3"/>
        <v>octubre</v>
      </c>
      <c r="C171" s="37">
        <v>45946.0</v>
      </c>
      <c r="D171" s="5" t="s">
        <v>89</v>
      </c>
      <c r="E171" s="5">
        <v>35.0</v>
      </c>
      <c r="F171" s="5">
        <v>28.0</v>
      </c>
      <c r="G171" s="5">
        <v>0.0</v>
      </c>
      <c r="H171" s="5">
        <v>2.0</v>
      </c>
    </row>
    <row r="172" ht="15.75" customHeight="1">
      <c r="A172" s="22" t="str">
        <f t="shared" si="2"/>
        <v>jueves</v>
      </c>
      <c r="B172" s="24" t="str">
        <f t="shared" si="3"/>
        <v>octubre</v>
      </c>
      <c r="C172" s="37">
        <v>45946.0</v>
      </c>
      <c r="D172" s="5" t="s">
        <v>157</v>
      </c>
      <c r="E172" s="5">
        <v>33.0</v>
      </c>
      <c r="F172" s="5">
        <v>21.0</v>
      </c>
      <c r="G172" s="5">
        <v>1.0</v>
      </c>
      <c r="H172" s="5">
        <v>6.0</v>
      </c>
    </row>
    <row r="173" ht="15.75" customHeight="1">
      <c r="A173" s="22" t="str">
        <f t="shared" si="2"/>
        <v>jueves</v>
      </c>
      <c r="B173" s="24" t="str">
        <f t="shared" si="3"/>
        <v>octubre</v>
      </c>
      <c r="C173" s="37">
        <v>45946.0</v>
      </c>
      <c r="D173" s="5" t="s">
        <v>127</v>
      </c>
      <c r="E173" s="5">
        <v>3.0</v>
      </c>
      <c r="F173" s="5">
        <v>0.0</v>
      </c>
      <c r="G173" s="5">
        <v>0.0</v>
      </c>
      <c r="H173" s="5">
        <v>0.0</v>
      </c>
    </row>
    <row r="174" ht="15.75" customHeight="1">
      <c r="A174" s="22" t="str">
        <f t="shared" si="2"/>
        <v>jueves</v>
      </c>
      <c r="B174" s="24" t="str">
        <f t="shared" si="3"/>
        <v>octubre</v>
      </c>
      <c r="C174" s="37">
        <v>45946.0</v>
      </c>
      <c r="D174" s="5" t="s">
        <v>117</v>
      </c>
      <c r="E174" s="5">
        <v>142.0</v>
      </c>
      <c r="F174" s="5">
        <v>47.0</v>
      </c>
      <c r="G174" s="5">
        <v>0.0</v>
      </c>
      <c r="H174" s="5">
        <v>0.0</v>
      </c>
    </row>
    <row r="175" ht="15.75" customHeight="1">
      <c r="A175" s="22" t="str">
        <f t="shared" si="2"/>
        <v>jueves</v>
      </c>
      <c r="B175" s="24" t="str">
        <f t="shared" si="3"/>
        <v>octubre</v>
      </c>
      <c r="C175" s="37">
        <v>45946.0</v>
      </c>
      <c r="D175" s="5" t="s">
        <v>107</v>
      </c>
      <c r="E175" s="5">
        <v>171.0</v>
      </c>
      <c r="F175" s="5">
        <v>54.0</v>
      </c>
      <c r="G175" s="5">
        <v>1.0</v>
      </c>
      <c r="H175" s="5">
        <v>1.0</v>
      </c>
    </row>
    <row r="176" ht="15.75" customHeight="1">
      <c r="A176" s="22" t="str">
        <f t="shared" si="2"/>
        <v>viernes</v>
      </c>
      <c r="B176" s="24" t="str">
        <f t="shared" si="3"/>
        <v>octubre</v>
      </c>
      <c r="C176" s="37">
        <v>45947.0</v>
      </c>
      <c r="D176" s="5" t="s">
        <v>116</v>
      </c>
      <c r="E176" s="5">
        <v>32.0</v>
      </c>
      <c r="F176" s="5">
        <v>29.0</v>
      </c>
      <c r="G176" s="5">
        <v>5.0</v>
      </c>
      <c r="H176" s="5">
        <v>4.0</v>
      </c>
    </row>
    <row r="177" ht="15.75" customHeight="1">
      <c r="A177" s="22" t="str">
        <f t="shared" si="2"/>
        <v>viernes</v>
      </c>
      <c r="B177" s="24" t="str">
        <f t="shared" si="3"/>
        <v>octubre</v>
      </c>
      <c r="C177" s="37">
        <v>45947.0</v>
      </c>
      <c r="D177" s="28" t="s">
        <v>39</v>
      </c>
      <c r="E177" s="5">
        <v>58.0</v>
      </c>
      <c r="F177" s="5">
        <v>40.0</v>
      </c>
      <c r="G177" s="5">
        <v>6.0</v>
      </c>
      <c r="H177" s="5">
        <v>6.0</v>
      </c>
    </row>
    <row r="178" ht="15.75" customHeight="1">
      <c r="A178" s="22" t="str">
        <f t="shared" si="2"/>
        <v>viernes</v>
      </c>
      <c r="B178" s="24" t="str">
        <f t="shared" si="3"/>
        <v>octubre</v>
      </c>
      <c r="C178" s="37">
        <v>45947.0</v>
      </c>
      <c r="D178" s="28" t="s">
        <v>51</v>
      </c>
      <c r="E178" s="5">
        <v>36.0</v>
      </c>
      <c r="F178" s="5">
        <v>30.0</v>
      </c>
      <c r="G178" s="5">
        <v>3.0</v>
      </c>
      <c r="H178" s="5">
        <v>20.0</v>
      </c>
    </row>
    <row r="179" ht="15.75" customHeight="1">
      <c r="A179" s="22" t="str">
        <f t="shared" si="2"/>
        <v>viernes</v>
      </c>
      <c r="B179" s="24" t="str">
        <f t="shared" si="3"/>
        <v>octubre</v>
      </c>
      <c r="C179" s="37">
        <v>45947.0</v>
      </c>
      <c r="D179" s="5" t="s">
        <v>145</v>
      </c>
      <c r="E179" s="5">
        <v>14.0</v>
      </c>
      <c r="F179" s="5">
        <v>6.0</v>
      </c>
      <c r="G179" s="5">
        <v>3.0</v>
      </c>
      <c r="H179" s="5">
        <v>3.0</v>
      </c>
    </row>
    <row r="180" ht="15.75" customHeight="1">
      <c r="A180" s="22" t="str">
        <f t="shared" si="2"/>
        <v>viernes</v>
      </c>
      <c r="B180" s="24" t="str">
        <f t="shared" si="3"/>
        <v>octubre</v>
      </c>
      <c r="C180" s="37">
        <v>45947.0</v>
      </c>
      <c r="D180" s="28" t="s">
        <v>52</v>
      </c>
      <c r="E180" s="5">
        <v>34.0</v>
      </c>
      <c r="F180" s="5">
        <v>32.0</v>
      </c>
      <c r="G180" s="5">
        <v>2.0</v>
      </c>
      <c r="H180" s="5">
        <v>0.0</v>
      </c>
    </row>
    <row r="181" ht="15.75" customHeight="1">
      <c r="A181" s="22" t="str">
        <f t="shared" si="2"/>
        <v>viernes</v>
      </c>
      <c r="B181" s="24" t="str">
        <f t="shared" si="3"/>
        <v>octubre</v>
      </c>
      <c r="C181" s="37">
        <v>45947.0</v>
      </c>
      <c r="D181" s="28" t="s">
        <v>58</v>
      </c>
      <c r="E181" s="5">
        <v>56.0</v>
      </c>
      <c r="F181" s="5">
        <v>45.0</v>
      </c>
      <c r="G181" s="5">
        <v>3.0</v>
      </c>
      <c r="H181" s="5">
        <v>8.0</v>
      </c>
    </row>
    <row r="182" ht="15.75" customHeight="1">
      <c r="A182" s="22" t="str">
        <f t="shared" si="2"/>
        <v>viernes</v>
      </c>
      <c r="B182" s="24" t="str">
        <f t="shared" si="3"/>
        <v>octubre</v>
      </c>
      <c r="C182" s="37">
        <v>45947.0</v>
      </c>
      <c r="D182" s="5" t="s">
        <v>146</v>
      </c>
      <c r="E182" s="5">
        <v>82.0</v>
      </c>
      <c r="F182" s="5">
        <v>50.0</v>
      </c>
      <c r="G182" s="5">
        <v>2.0</v>
      </c>
      <c r="H182" s="5">
        <v>3.0</v>
      </c>
    </row>
    <row r="183" ht="15.75" customHeight="1">
      <c r="A183" s="22" t="str">
        <f t="shared" si="2"/>
        <v>viernes</v>
      </c>
      <c r="B183" s="24" t="str">
        <f t="shared" si="3"/>
        <v>octubre</v>
      </c>
      <c r="C183" s="37">
        <v>45947.0</v>
      </c>
      <c r="D183" s="28" t="s">
        <v>64</v>
      </c>
      <c r="E183" s="5">
        <v>88.0</v>
      </c>
      <c r="F183" s="5">
        <v>46.0</v>
      </c>
      <c r="G183" s="5">
        <v>2.0</v>
      </c>
      <c r="H183" s="5">
        <v>5.0</v>
      </c>
    </row>
    <row r="184" ht="15.75" customHeight="1">
      <c r="A184" s="22" t="str">
        <f t="shared" si="2"/>
        <v>viernes</v>
      </c>
      <c r="B184" s="24" t="str">
        <f t="shared" si="3"/>
        <v>octubre</v>
      </c>
      <c r="C184" s="37">
        <v>45947.0</v>
      </c>
      <c r="D184" s="28" t="s">
        <v>65</v>
      </c>
      <c r="E184" s="5">
        <v>68.0</v>
      </c>
      <c r="F184" s="5">
        <v>57.0</v>
      </c>
      <c r="G184" s="5">
        <v>3.0</v>
      </c>
      <c r="H184" s="5">
        <v>2.0</v>
      </c>
    </row>
    <row r="185" ht="15.75" customHeight="1">
      <c r="A185" s="22" t="str">
        <f t="shared" si="2"/>
        <v>viernes</v>
      </c>
      <c r="B185" s="24" t="str">
        <f t="shared" si="3"/>
        <v>octubre</v>
      </c>
      <c r="C185" s="37">
        <v>45947.0</v>
      </c>
      <c r="D185" s="28" t="s">
        <v>66</v>
      </c>
      <c r="E185" s="5">
        <v>98.0</v>
      </c>
      <c r="F185" s="5">
        <v>85.0</v>
      </c>
      <c r="G185" s="5">
        <v>0.0</v>
      </c>
      <c r="H185" s="5">
        <v>6.0</v>
      </c>
    </row>
    <row r="186" ht="15.75" customHeight="1">
      <c r="A186" s="22" t="str">
        <f t="shared" si="2"/>
        <v>sábado</v>
      </c>
      <c r="B186" s="24" t="str">
        <f t="shared" si="3"/>
        <v>octubre</v>
      </c>
      <c r="C186" s="37">
        <v>45948.0</v>
      </c>
      <c r="D186" s="5" t="s">
        <v>169</v>
      </c>
      <c r="E186" s="5">
        <v>38.0</v>
      </c>
      <c r="F186" s="5">
        <v>35.0</v>
      </c>
      <c r="G186" s="5">
        <v>3.0</v>
      </c>
      <c r="H186" s="5">
        <v>3.0</v>
      </c>
    </row>
    <row r="187" ht="15.75" customHeight="1">
      <c r="A187" s="22" t="str">
        <f t="shared" si="2"/>
        <v>sábado</v>
      </c>
      <c r="B187" s="24" t="str">
        <f t="shared" si="3"/>
        <v>octubre</v>
      </c>
      <c r="C187" s="37">
        <v>45948.0</v>
      </c>
      <c r="D187" s="5" t="s">
        <v>43</v>
      </c>
      <c r="E187" s="5">
        <v>60.0</v>
      </c>
      <c r="F187" s="5">
        <v>33.0</v>
      </c>
      <c r="G187" s="5">
        <v>4.0</v>
      </c>
      <c r="H187" s="5">
        <v>2.0</v>
      </c>
    </row>
    <row r="188" ht="15.75" customHeight="1">
      <c r="A188" s="22" t="str">
        <f t="shared" si="2"/>
        <v>sábado</v>
      </c>
      <c r="B188" s="24" t="str">
        <f t="shared" si="3"/>
        <v>octubre</v>
      </c>
      <c r="C188" s="37">
        <v>45948.0</v>
      </c>
      <c r="D188" s="28" t="s">
        <v>51</v>
      </c>
      <c r="E188" s="5">
        <v>55.0</v>
      </c>
      <c r="F188" s="5">
        <v>46.0</v>
      </c>
      <c r="G188" s="5">
        <v>1.0</v>
      </c>
      <c r="H188" s="5">
        <v>8.0</v>
      </c>
    </row>
    <row r="189" ht="15.75" customHeight="1">
      <c r="A189" s="22" t="str">
        <f t="shared" si="2"/>
        <v>sábado</v>
      </c>
      <c r="B189" s="24" t="str">
        <f t="shared" si="3"/>
        <v>octubre</v>
      </c>
      <c r="C189" s="37">
        <v>45948.0</v>
      </c>
      <c r="D189" s="28" t="s">
        <v>59</v>
      </c>
      <c r="E189" s="5">
        <v>157.0</v>
      </c>
      <c r="F189" s="5">
        <v>140.0</v>
      </c>
      <c r="G189" s="5">
        <v>3.0</v>
      </c>
      <c r="H189" s="5">
        <v>1.0</v>
      </c>
    </row>
    <row r="190" ht="15.75" customHeight="1">
      <c r="A190" s="22" t="str">
        <f t="shared" si="2"/>
        <v>sábado</v>
      </c>
      <c r="B190" s="24" t="str">
        <f t="shared" si="3"/>
        <v>octubre</v>
      </c>
      <c r="C190" s="37">
        <v>45948.0</v>
      </c>
      <c r="D190" s="5" t="s">
        <v>145</v>
      </c>
      <c r="E190" s="5">
        <v>30.0</v>
      </c>
      <c r="F190" s="5">
        <v>19.0</v>
      </c>
      <c r="G190" s="5">
        <v>3.0</v>
      </c>
      <c r="H190" s="5">
        <v>1.0</v>
      </c>
    </row>
    <row r="191" ht="15.75" customHeight="1">
      <c r="A191" s="22" t="str">
        <f t="shared" si="2"/>
        <v>sábado</v>
      </c>
      <c r="B191" s="24" t="str">
        <f t="shared" si="3"/>
        <v>octubre</v>
      </c>
      <c r="C191" s="37">
        <v>45948.0</v>
      </c>
      <c r="D191" s="28" t="s">
        <v>52</v>
      </c>
      <c r="E191" s="5">
        <v>31.0</v>
      </c>
      <c r="F191" s="5">
        <v>19.0</v>
      </c>
      <c r="G191" s="5">
        <v>1.0</v>
      </c>
      <c r="H191" s="5">
        <v>5.0</v>
      </c>
    </row>
    <row r="192" ht="15.75" customHeight="1">
      <c r="A192" s="22" t="str">
        <f t="shared" si="2"/>
        <v>sábado</v>
      </c>
      <c r="B192" s="24" t="str">
        <f t="shared" si="3"/>
        <v>octubre</v>
      </c>
      <c r="C192" s="37">
        <v>45948.0</v>
      </c>
      <c r="D192" s="5" t="s">
        <v>146</v>
      </c>
      <c r="E192" s="5">
        <v>71.0</v>
      </c>
      <c r="F192" s="5">
        <v>33.0</v>
      </c>
      <c r="G192" s="5">
        <v>0.0</v>
      </c>
      <c r="H192" s="5">
        <v>4.0</v>
      </c>
    </row>
    <row r="193" ht="15.75" customHeight="1">
      <c r="A193" s="22" t="str">
        <f t="shared" si="2"/>
        <v>domingo</v>
      </c>
      <c r="B193" s="24" t="str">
        <f t="shared" si="3"/>
        <v>octubre</v>
      </c>
      <c r="C193" s="37">
        <v>45949.0</v>
      </c>
      <c r="D193" s="5" t="s">
        <v>116</v>
      </c>
      <c r="E193" s="5">
        <v>45.0</v>
      </c>
      <c r="F193" s="5">
        <v>34.0</v>
      </c>
      <c r="G193" s="5">
        <v>6.0</v>
      </c>
      <c r="H193" s="5">
        <v>1.0</v>
      </c>
    </row>
    <row r="194" ht="15.75" customHeight="1">
      <c r="A194" s="22" t="str">
        <f t="shared" si="2"/>
        <v>domingo</v>
      </c>
      <c r="B194" s="24" t="str">
        <f t="shared" si="3"/>
        <v>octubre</v>
      </c>
      <c r="C194" s="37">
        <v>45949.0</v>
      </c>
      <c r="D194" s="5" t="s">
        <v>43</v>
      </c>
      <c r="E194" s="5">
        <v>68.0</v>
      </c>
      <c r="F194" s="5">
        <v>28.0</v>
      </c>
      <c r="G194" s="5">
        <v>3.0</v>
      </c>
      <c r="H194" s="5">
        <v>23.0</v>
      </c>
    </row>
    <row r="195" ht="15.75" customHeight="1">
      <c r="A195" s="22" t="str">
        <f t="shared" si="2"/>
        <v>domingo</v>
      </c>
      <c r="B195" s="24" t="str">
        <f t="shared" si="3"/>
        <v>octubre</v>
      </c>
      <c r="C195" s="37">
        <v>45949.0</v>
      </c>
      <c r="D195" s="28" t="s">
        <v>59</v>
      </c>
      <c r="E195" s="5">
        <v>219.0</v>
      </c>
      <c r="F195" s="5">
        <v>190.0</v>
      </c>
      <c r="G195" s="5">
        <v>2.0</v>
      </c>
      <c r="H195" s="5">
        <v>2.0</v>
      </c>
    </row>
    <row r="196" ht="15.75" customHeight="1">
      <c r="A196" s="22" t="str">
        <f t="shared" si="2"/>
        <v>domingo</v>
      </c>
      <c r="B196" s="24" t="str">
        <f t="shared" si="3"/>
        <v>octubre</v>
      </c>
      <c r="C196" s="37">
        <v>45949.0</v>
      </c>
      <c r="D196" s="5" t="s">
        <v>145</v>
      </c>
      <c r="E196" s="5">
        <v>37.0</v>
      </c>
      <c r="F196" s="5">
        <v>22.0</v>
      </c>
      <c r="G196" s="5">
        <v>7.0</v>
      </c>
      <c r="H196" s="5">
        <v>2.0</v>
      </c>
    </row>
    <row r="197" ht="15.75" customHeight="1">
      <c r="A197" s="22" t="str">
        <f t="shared" si="2"/>
        <v>domingo</v>
      </c>
      <c r="B197" s="24" t="str">
        <f t="shared" si="3"/>
        <v>octubre</v>
      </c>
      <c r="C197" s="37">
        <v>45949.0</v>
      </c>
      <c r="D197" s="28" t="s">
        <v>52</v>
      </c>
      <c r="E197" s="5">
        <v>67.0</v>
      </c>
      <c r="F197" s="5">
        <v>42.0</v>
      </c>
      <c r="G197" s="5">
        <v>3.0</v>
      </c>
      <c r="H197" s="5">
        <v>10.0</v>
      </c>
    </row>
    <row r="198" ht="15.75" customHeight="1">
      <c r="A198" s="22" t="str">
        <f t="shared" si="2"/>
        <v>domingo</v>
      </c>
      <c r="B198" s="24" t="str">
        <f t="shared" si="3"/>
        <v>octubre</v>
      </c>
      <c r="C198" s="37">
        <v>45949.0</v>
      </c>
      <c r="D198" s="5" t="s">
        <v>146</v>
      </c>
      <c r="E198" s="5">
        <v>76.0</v>
      </c>
      <c r="F198" s="5">
        <v>41.0</v>
      </c>
      <c r="G198" s="5">
        <v>0.0</v>
      </c>
      <c r="H198" s="5">
        <v>7.0</v>
      </c>
    </row>
    <row r="199" ht="15.75" customHeight="1">
      <c r="A199" s="22" t="str">
        <f t="shared" si="2"/>
        <v>lunes</v>
      </c>
      <c r="B199" s="24" t="str">
        <f t="shared" si="3"/>
        <v>octubre</v>
      </c>
      <c r="C199" s="37">
        <v>45950.0</v>
      </c>
      <c r="D199" s="28" t="s">
        <v>64</v>
      </c>
      <c r="E199" s="5">
        <v>111.0</v>
      </c>
      <c r="F199" s="5">
        <v>63.0</v>
      </c>
      <c r="G199" s="5">
        <v>7.0</v>
      </c>
      <c r="H199" s="5">
        <v>21.0</v>
      </c>
    </row>
    <row r="200" ht="15.75" customHeight="1">
      <c r="A200" s="22" t="str">
        <f t="shared" si="2"/>
        <v>lunes</v>
      </c>
      <c r="B200" s="24" t="str">
        <f t="shared" si="3"/>
        <v>octubre</v>
      </c>
      <c r="C200" s="37">
        <v>45950.0</v>
      </c>
      <c r="D200" s="28" t="s">
        <v>58</v>
      </c>
      <c r="E200" s="5">
        <v>60.0</v>
      </c>
      <c r="F200" s="5">
        <v>37.0</v>
      </c>
      <c r="G200" s="5">
        <v>9.0</v>
      </c>
      <c r="H200" s="5">
        <v>7.0</v>
      </c>
    </row>
    <row r="201" ht="15.75" customHeight="1">
      <c r="A201" s="22" t="str">
        <f t="shared" si="2"/>
        <v>lunes</v>
      </c>
      <c r="B201" s="24" t="str">
        <f t="shared" si="3"/>
        <v>octubre</v>
      </c>
      <c r="C201" s="37">
        <v>45950.0</v>
      </c>
      <c r="D201" s="28" t="s">
        <v>42</v>
      </c>
      <c r="E201" s="5">
        <v>61.0</v>
      </c>
      <c r="F201" s="5">
        <v>26.0</v>
      </c>
      <c r="G201" s="5">
        <v>4.0</v>
      </c>
      <c r="H201" s="5">
        <v>7.0</v>
      </c>
    </row>
    <row r="202" ht="15.75" customHeight="1">
      <c r="A202" s="22" t="str">
        <f t="shared" si="2"/>
        <v>lunes</v>
      </c>
      <c r="B202" s="24" t="str">
        <f t="shared" si="3"/>
        <v>octubre</v>
      </c>
      <c r="C202" s="37">
        <v>45950.0</v>
      </c>
      <c r="D202" s="28" t="s">
        <v>41</v>
      </c>
      <c r="E202" s="5">
        <v>78.0</v>
      </c>
      <c r="F202" s="5">
        <v>49.0</v>
      </c>
      <c r="G202" s="5">
        <v>2.0</v>
      </c>
      <c r="H202" s="5">
        <v>3.0</v>
      </c>
    </row>
    <row r="203" ht="15.75" customHeight="1">
      <c r="A203" s="22" t="str">
        <f t="shared" si="2"/>
        <v>lunes</v>
      </c>
      <c r="B203" s="24" t="str">
        <f t="shared" si="3"/>
        <v>octubre</v>
      </c>
      <c r="C203" s="37">
        <v>45950.0</v>
      </c>
      <c r="D203" s="28" t="s">
        <v>39</v>
      </c>
      <c r="E203" s="5">
        <v>61.0</v>
      </c>
      <c r="F203" s="5">
        <v>42.0</v>
      </c>
      <c r="G203" s="5">
        <v>5.0</v>
      </c>
      <c r="H203" s="5">
        <v>16.0</v>
      </c>
    </row>
    <row r="204" ht="15.75" customHeight="1">
      <c r="A204" s="22" t="str">
        <f t="shared" si="2"/>
        <v>lunes</v>
      </c>
      <c r="B204" s="24" t="str">
        <f t="shared" si="3"/>
        <v>octubre</v>
      </c>
      <c r="C204" s="37">
        <v>45950.0</v>
      </c>
      <c r="D204" s="28" t="s">
        <v>66</v>
      </c>
      <c r="E204" s="5">
        <v>90.0</v>
      </c>
      <c r="F204" s="5">
        <v>81.0</v>
      </c>
      <c r="G204" s="5">
        <v>0.0</v>
      </c>
      <c r="H204" s="5">
        <v>0.0</v>
      </c>
    </row>
    <row r="205" ht="15.75" customHeight="1">
      <c r="A205" s="22" t="str">
        <f t="shared" si="2"/>
        <v>lunes</v>
      </c>
      <c r="B205" s="24" t="str">
        <f t="shared" si="3"/>
        <v>octubre</v>
      </c>
      <c r="C205" s="37">
        <v>45950.0</v>
      </c>
      <c r="D205" s="28" t="s">
        <v>44</v>
      </c>
      <c r="E205" s="5">
        <v>81.0</v>
      </c>
      <c r="F205" s="5">
        <v>76.0</v>
      </c>
      <c r="G205" s="5">
        <v>0.0</v>
      </c>
      <c r="H205" s="5">
        <v>0.0</v>
      </c>
    </row>
    <row r="206" ht="15.75" customHeight="1">
      <c r="A206" s="22" t="str">
        <f t="shared" si="2"/>
        <v>lunes</v>
      </c>
      <c r="B206" s="24" t="str">
        <f t="shared" si="3"/>
        <v>octubre</v>
      </c>
      <c r="C206" s="37">
        <v>45950.0</v>
      </c>
      <c r="D206" s="28" t="s">
        <v>67</v>
      </c>
      <c r="E206" s="5">
        <v>108.0</v>
      </c>
      <c r="F206" s="5">
        <v>86.0</v>
      </c>
      <c r="G206" s="5">
        <v>8.0</v>
      </c>
      <c r="H206" s="5">
        <v>6.0</v>
      </c>
    </row>
    <row r="207" ht="15.75" customHeight="1">
      <c r="A207" s="22" t="str">
        <f t="shared" si="2"/>
        <v>lunes</v>
      </c>
      <c r="B207" s="24" t="str">
        <f t="shared" si="3"/>
        <v>octubre</v>
      </c>
      <c r="C207" s="37">
        <v>45950.0</v>
      </c>
      <c r="D207" s="28" t="s">
        <v>65</v>
      </c>
      <c r="E207" s="5">
        <v>99.0</v>
      </c>
      <c r="F207" s="5">
        <v>81.0</v>
      </c>
      <c r="G207" s="5">
        <v>4.0</v>
      </c>
      <c r="H207" s="5">
        <v>9.0</v>
      </c>
    </row>
    <row r="208" ht="15.75" customHeight="1">
      <c r="A208" s="22" t="str">
        <f t="shared" si="2"/>
        <v>lunes</v>
      </c>
      <c r="B208" s="24" t="str">
        <f t="shared" si="3"/>
        <v>octubre</v>
      </c>
      <c r="C208" s="37">
        <v>45950.0</v>
      </c>
      <c r="D208" s="28" t="s">
        <v>59</v>
      </c>
      <c r="E208" s="5">
        <v>37.0</v>
      </c>
      <c r="F208" s="5">
        <v>21.0</v>
      </c>
      <c r="G208" s="5">
        <v>0.0</v>
      </c>
      <c r="H208" s="5">
        <v>0.0</v>
      </c>
    </row>
    <row r="209" ht="15.75" customHeight="1">
      <c r="A209" s="22" t="str">
        <f t="shared" si="2"/>
        <v>lunes</v>
      </c>
      <c r="B209" s="24" t="str">
        <f t="shared" si="3"/>
        <v>octubre</v>
      </c>
      <c r="C209" s="37">
        <v>45950.0</v>
      </c>
      <c r="D209" s="5" t="s">
        <v>90</v>
      </c>
      <c r="E209" s="5">
        <v>156.0</v>
      </c>
      <c r="F209" s="5">
        <v>84.0</v>
      </c>
      <c r="G209" s="5">
        <v>0.0</v>
      </c>
      <c r="H209" s="5">
        <v>0.0</v>
      </c>
    </row>
    <row r="210" ht="15.75" customHeight="1">
      <c r="A210" s="22" t="str">
        <f t="shared" si="2"/>
        <v>lunes</v>
      </c>
      <c r="B210" s="24" t="str">
        <f t="shared" si="3"/>
        <v>octubre</v>
      </c>
      <c r="C210" s="37">
        <v>45950.0</v>
      </c>
      <c r="D210" s="5" t="s">
        <v>93</v>
      </c>
      <c r="E210" s="5">
        <v>99.0</v>
      </c>
      <c r="F210" s="5">
        <v>67.0</v>
      </c>
      <c r="G210" s="5">
        <v>0.0</v>
      </c>
      <c r="H210" s="5">
        <v>0.0</v>
      </c>
    </row>
    <row r="211" ht="15.75" customHeight="1">
      <c r="A211" s="22" t="str">
        <f t="shared" si="2"/>
        <v>lunes</v>
      </c>
      <c r="B211" s="24" t="str">
        <f t="shared" si="3"/>
        <v>octubre</v>
      </c>
      <c r="C211" s="37">
        <v>45950.0</v>
      </c>
      <c r="D211" s="5" t="s">
        <v>89</v>
      </c>
      <c r="E211" s="5">
        <v>100.0</v>
      </c>
      <c r="F211" s="5">
        <v>71.0</v>
      </c>
      <c r="G211" s="5">
        <v>0.0</v>
      </c>
      <c r="H211" s="5">
        <v>0.0</v>
      </c>
    </row>
    <row r="212" ht="15.75" customHeight="1">
      <c r="A212" s="22" t="str">
        <f t="shared" si="2"/>
        <v>martes</v>
      </c>
      <c r="B212" s="24" t="str">
        <f t="shared" si="3"/>
        <v>octubre</v>
      </c>
      <c r="C212" s="37">
        <v>45951.0</v>
      </c>
      <c r="D212" s="28" t="s">
        <v>64</v>
      </c>
      <c r="E212" s="5">
        <v>117.0</v>
      </c>
      <c r="F212" s="5">
        <v>67.0</v>
      </c>
      <c r="G212" s="5">
        <v>3.0</v>
      </c>
      <c r="H212" s="5">
        <v>7.0</v>
      </c>
    </row>
    <row r="213" ht="15.75" customHeight="1">
      <c r="A213" s="22" t="str">
        <f t="shared" si="2"/>
        <v>martes</v>
      </c>
      <c r="B213" s="24" t="str">
        <f t="shared" si="3"/>
        <v>octubre</v>
      </c>
      <c r="C213" s="37">
        <v>45951.0</v>
      </c>
      <c r="D213" s="28" t="s">
        <v>58</v>
      </c>
      <c r="E213" s="5">
        <v>50.0</v>
      </c>
      <c r="F213" s="5">
        <v>29.0</v>
      </c>
      <c r="G213" s="5">
        <v>4.0</v>
      </c>
      <c r="H213" s="5">
        <v>3.0</v>
      </c>
    </row>
    <row r="214" ht="15.75" customHeight="1">
      <c r="A214" s="22" t="str">
        <f t="shared" si="2"/>
        <v>martes</v>
      </c>
      <c r="B214" s="24" t="str">
        <f t="shared" si="3"/>
        <v>octubre</v>
      </c>
      <c r="C214" s="37">
        <v>45951.0</v>
      </c>
      <c r="D214" s="28" t="s">
        <v>39</v>
      </c>
      <c r="E214" s="5">
        <v>64.0</v>
      </c>
      <c r="F214" s="5">
        <v>41.0</v>
      </c>
      <c r="G214" s="5">
        <v>2.0</v>
      </c>
      <c r="H214" s="5">
        <v>10.0</v>
      </c>
    </row>
    <row r="215" ht="15.75" customHeight="1">
      <c r="A215" s="22" t="str">
        <f t="shared" si="2"/>
        <v>martes</v>
      </c>
      <c r="B215" s="24" t="str">
        <f t="shared" si="3"/>
        <v>octubre</v>
      </c>
      <c r="C215" s="37">
        <v>45951.0</v>
      </c>
      <c r="D215" s="28" t="s">
        <v>42</v>
      </c>
      <c r="E215" s="5">
        <v>83.0</v>
      </c>
      <c r="F215" s="5">
        <v>52.0</v>
      </c>
      <c r="G215" s="5">
        <v>4.0</v>
      </c>
      <c r="H215" s="5">
        <v>10.0</v>
      </c>
    </row>
    <row r="216" ht="15.75" customHeight="1">
      <c r="A216" s="22" t="str">
        <f t="shared" si="2"/>
        <v>martes</v>
      </c>
      <c r="B216" s="24" t="str">
        <f t="shared" si="3"/>
        <v>octubre</v>
      </c>
      <c r="C216" s="37">
        <v>45951.0</v>
      </c>
      <c r="D216" s="28" t="s">
        <v>41</v>
      </c>
      <c r="E216" s="5">
        <v>66.0</v>
      </c>
      <c r="F216" s="5">
        <v>56.0</v>
      </c>
      <c r="G216" s="5">
        <v>2.0</v>
      </c>
      <c r="H216" s="5">
        <v>1.0</v>
      </c>
    </row>
    <row r="217" ht="15.75" customHeight="1">
      <c r="A217" s="22" t="str">
        <f t="shared" si="2"/>
        <v>martes</v>
      </c>
      <c r="B217" s="24" t="str">
        <f t="shared" si="3"/>
        <v>octubre</v>
      </c>
      <c r="C217" s="37">
        <v>45951.0</v>
      </c>
      <c r="D217" s="28" t="s">
        <v>65</v>
      </c>
      <c r="E217" s="5">
        <v>86.0</v>
      </c>
      <c r="F217" s="5">
        <v>61.0</v>
      </c>
      <c r="G217" s="5">
        <v>3.0</v>
      </c>
      <c r="H217" s="5">
        <v>10.0</v>
      </c>
    </row>
    <row r="218" ht="15.75" customHeight="1">
      <c r="A218" s="22" t="str">
        <f t="shared" si="2"/>
        <v>martes</v>
      </c>
      <c r="B218" s="24" t="str">
        <f t="shared" si="3"/>
        <v>octubre</v>
      </c>
      <c r="C218" s="37">
        <v>45951.0</v>
      </c>
      <c r="D218" s="28" t="s">
        <v>66</v>
      </c>
      <c r="E218" s="5">
        <v>103.0</v>
      </c>
      <c r="F218" s="5">
        <v>91.0</v>
      </c>
      <c r="G218" s="5">
        <v>0.0</v>
      </c>
      <c r="H218" s="5">
        <v>3.0</v>
      </c>
    </row>
    <row r="219" ht="15.75" customHeight="1">
      <c r="A219" s="22" t="str">
        <f t="shared" si="2"/>
        <v>martes</v>
      </c>
      <c r="B219" s="24" t="str">
        <f t="shared" si="3"/>
        <v>octubre</v>
      </c>
      <c r="C219" s="37">
        <v>45951.0</v>
      </c>
      <c r="D219" s="28" t="s">
        <v>67</v>
      </c>
      <c r="E219" s="5">
        <v>105.0</v>
      </c>
      <c r="F219" s="5">
        <v>93.0</v>
      </c>
      <c r="G219" s="5">
        <v>2.0</v>
      </c>
      <c r="H219" s="5">
        <v>7.0</v>
      </c>
    </row>
    <row r="220" ht="15.75" customHeight="1">
      <c r="A220" s="22" t="str">
        <f t="shared" si="2"/>
        <v>martes</v>
      </c>
      <c r="B220" s="24" t="str">
        <f t="shared" si="3"/>
        <v>octubre</v>
      </c>
      <c r="C220" s="37">
        <v>45951.0</v>
      </c>
      <c r="D220" s="28" t="s">
        <v>59</v>
      </c>
      <c r="E220" s="5">
        <v>70.0</v>
      </c>
      <c r="F220" s="5">
        <v>46.0</v>
      </c>
      <c r="G220" s="5">
        <v>0.0</v>
      </c>
      <c r="H220" s="5">
        <v>0.0</v>
      </c>
    </row>
    <row r="221" ht="15.75" customHeight="1">
      <c r="A221" s="22" t="str">
        <f t="shared" si="2"/>
        <v>martes</v>
      </c>
      <c r="B221" s="24" t="str">
        <f t="shared" si="3"/>
        <v>octubre</v>
      </c>
      <c r="C221" s="37">
        <v>45951.0</v>
      </c>
      <c r="D221" s="5" t="s">
        <v>89</v>
      </c>
      <c r="E221" s="5">
        <v>124.0</v>
      </c>
      <c r="F221" s="5">
        <v>88.0</v>
      </c>
      <c r="G221" s="5">
        <v>1.0</v>
      </c>
      <c r="H221" s="5">
        <v>4.0</v>
      </c>
    </row>
    <row r="222" ht="15.75" customHeight="1">
      <c r="A222" s="22" t="str">
        <f t="shared" si="2"/>
        <v>martes</v>
      </c>
      <c r="B222" s="24" t="str">
        <f t="shared" si="3"/>
        <v>octubre</v>
      </c>
      <c r="C222" s="37">
        <v>45951.0</v>
      </c>
      <c r="D222" s="5" t="s">
        <v>90</v>
      </c>
      <c r="E222" s="5">
        <v>128.0</v>
      </c>
      <c r="F222" s="5">
        <v>68.0</v>
      </c>
      <c r="G222" s="5">
        <v>0.0</v>
      </c>
      <c r="H222" s="5">
        <v>0.0</v>
      </c>
    </row>
    <row r="223" ht="15.75" customHeight="1">
      <c r="A223" s="22" t="str">
        <f t="shared" si="2"/>
        <v>martes</v>
      </c>
      <c r="B223" s="24" t="str">
        <f t="shared" si="3"/>
        <v>octubre</v>
      </c>
      <c r="C223" s="37">
        <v>45951.0</v>
      </c>
      <c r="D223" s="5" t="s">
        <v>93</v>
      </c>
      <c r="E223" s="5">
        <v>56.0</v>
      </c>
      <c r="F223" s="5">
        <v>45.0</v>
      </c>
      <c r="G223" s="5">
        <v>0.0</v>
      </c>
      <c r="H223" s="5">
        <v>0.0</v>
      </c>
    </row>
    <row r="224" ht="15.75" customHeight="1">
      <c r="A224" s="22" t="str">
        <f t="shared" si="2"/>
        <v>miércoles</v>
      </c>
      <c r="B224" s="24" t="str">
        <f t="shared" si="3"/>
        <v>octubre</v>
      </c>
      <c r="C224" s="37">
        <v>45952.0</v>
      </c>
      <c r="D224" s="28" t="s">
        <v>64</v>
      </c>
      <c r="E224" s="5">
        <v>164.0</v>
      </c>
      <c r="F224" s="5">
        <v>126.0</v>
      </c>
      <c r="G224" s="5">
        <v>7.0</v>
      </c>
      <c r="H224" s="5">
        <v>11.0</v>
      </c>
    </row>
    <row r="225" ht="15.75" customHeight="1">
      <c r="A225" s="22" t="str">
        <f t="shared" si="2"/>
        <v>miércoles</v>
      </c>
      <c r="B225" s="24" t="str">
        <f t="shared" si="3"/>
        <v>octubre</v>
      </c>
      <c r="C225" s="37">
        <v>45952.0</v>
      </c>
      <c r="D225" s="28" t="s">
        <v>58</v>
      </c>
      <c r="E225" s="5">
        <v>63.0</v>
      </c>
      <c r="F225" s="5">
        <v>40.0</v>
      </c>
      <c r="G225" s="5">
        <v>5.0</v>
      </c>
      <c r="H225" s="5">
        <v>5.0</v>
      </c>
    </row>
    <row r="226" ht="15.75" customHeight="1">
      <c r="A226" s="22" t="str">
        <f t="shared" si="2"/>
        <v>miércoles</v>
      </c>
      <c r="B226" s="24" t="str">
        <f t="shared" si="3"/>
        <v>octubre</v>
      </c>
      <c r="C226" s="37">
        <v>45952.0</v>
      </c>
      <c r="D226" s="28" t="s">
        <v>42</v>
      </c>
      <c r="E226" s="5">
        <v>58.0</v>
      </c>
      <c r="F226" s="5">
        <v>39.0</v>
      </c>
      <c r="G226" s="5">
        <v>3.0</v>
      </c>
      <c r="H226" s="5">
        <v>9.0</v>
      </c>
    </row>
    <row r="227" ht="15.75" customHeight="1">
      <c r="A227" s="22" t="str">
        <f t="shared" si="2"/>
        <v>miércoles</v>
      </c>
      <c r="B227" s="24" t="str">
        <f t="shared" si="3"/>
        <v>octubre</v>
      </c>
      <c r="C227" s="37">
        <v>45952.0</v>
      </c>
      <c r="D227" s="28" t="s">
        <v>41</v>
      </c>
      <c r="E227" s="5">
        <v>87.0</v>
      </c>
      <c r="F227" s="5">
        <v>64.0</v>
      </c>
      <c r="G227" s="5">
        <v>1.0</v>
      </c>
      <c r="H227" s="5">
        <v>1.0</v>
      </c>
    </row>
    <row r="228" ht="15.75" customHeight="1">
      <c r="A228" s="22" t="str">
        <f t="shared" si="2"/>
        <v>miércoles</v>
      </c>
      <c r="B228" s="24" t="str">
        <f t="shared" si="3"/>
        <v>octubre</v>
      </c>
      <c r="C228" s="37">
        <v>45952.0</v>
      </c>
      <c r="D228" s="28" t="s">
        <v>51</v>
      </c>
      <c r="E228" s="5">
        <v>45.0</v>
      </c>
      <c r="F228" s="5">
        <v>33.0</v>
      </c>
      <c r="G228" s="5">
        <v>1.0</v>
      </c>
      <c r="H228" s="5">
        <v>5.0</v>
      </c>
    </row>
    <row r="229" ht="15.75" customHeight="1">
      <c r="A229" s="22" t="str">
        <f t="shared" si="2"/>
        <v>miércoles</v>
      </c>
      <c r="B229" s="24" t="str">
        <f t="shared" si="3"/>
        <v>octubre</v>
      </c>
      <c r="C229" s="37">
        <v>45952.0</v>
      </c>
      <c r="D229" s="28" t="s">
        <v>39</v>
      </c>
      <c r="E229" s="5">
        <v>71.0</v>
      </c>
      <c r="F229" s="5">
        <v>46.0</v>
      </c>
      <c r="G229" s="5">
        <v>1.0</v>
      </c>
      <c r="H229" s="5">
        <v>13.0</v>
      </c>
    </row>
    <row r="230" ht="15.75" customHeight="1">
      <c r="A230" s="22" t="str">
        <f t="shared" si="2"/>
        <v>miércoles</v>
      </c>
      <c r="B230" s="24" t="str">
        <f t="shared" si="3"/>
        <v>octubre</v>
      </c>
      <c r="C230" s="37">
        <v>45952.0</v>
      </c>
      <c r="D230" s="28" t="s">
        <v>65</v>
      </c>
      <c r="E230" s="5">
        <v>91.0</v>
      </c>
      <c r="F230" s="5">
        <v>74.0</v>
      </c>
      <c r="G230" s="5">
        <v>4.0</v>
      </c>
      <c r="H230" s="5">
        <v>0.0</v>
      </c>
    </row>
    <row r="231" ht="15.75" customHeight="1">
      <c r="A231" s="22" t="str">
        <f t="shared" si="2"/>
        <v>miércoles</v>
      </c>
      <c r="B231" s="24" t="str">
        <f t="shared" si="3"/>
        <v>octubre</v>
      </c>
      <c r="C231" s="37">
        <v>45952.0</v>
      </c>
      <c r="D231" s="28" t="s">
        <v>66</v>
      </c>
      <c r="E231" s="5">
        <v>97.0</v>
      </c>
      <c r="F231" s="5">
        <v>93.0</v>
      </c>
      <c r="G231" s="5">
        <v>0.0</v>
      </c>
      <c r="H231" s="5">
        <v>4.0</v>
      </c>
    </row>
    <row r="232" ht="15.75" customHeight="1">
      <c r="A232" s="22" t="str">
        <f t="shared" si="2"/>
        <v>miércoles</v>
      </c>
      <c r="B232" s="24" t="str">
        <f t="shared" si="3"/>
        <v>octubre</v>
      </c>
      <c r="C232" s="37">
        <v>45952.0</v>
      </c>
      <c r="D232" s="28" t="s">
        <v>67</v>
      </c>
      <c r="E232" s="5">
        <v>92.0</v>
      </c>
      <c r="F232" s="5">
        <v>84.0</v>
      </c>
      <c r="G232" s="5">
        <v>4.0</v>
      </c>
      <c r="H232" s="5">
        <v>0.0</v>
      </c>
    </row>
    <row r="233" ht="15.75" customHeight="1">
      <c r="A233" s="22" t="str">
        <f t="shared" si="2"/>
        <v>miércoles</v>
      </c>
      <c r="B233" s="24" t="str">
        <f t="shared" si="3"/>
        <v>octubre</v>
      </c>
      <c r="C233" s="37">
        <v>45952.0</v>
      </c>
      <c r="D233" s="5" t="s">
        <v>93</v>
      </c>
      <c r="E233" s="5">
        <v>72.0</v>
      </c>
      <c r="F233" s="5">
        <v>43.0</v>
      </c>
      <c r="G233" s="5">
        <v>0.0</v>
      </c>
      <c r="H233" s="5">
        <v>0.0</v>
      </c>
    </row>
    <row r="234" ht="15.75" customHeight="1">
      <c r="A234" s="22" t="str">
        <f t="shared" si="2"/>
        <v>miércoles</v>
      </c>
      <c r="B234" s="24" t="str">
        <f t="shared" si="3"/>
        <v>octubre</v>
      </c>
      <c r="C234" s="37">
        <v>45952.0</v>
      </c>
      <c r="D234" s="5" t="s">
        <v>108</v>
      </c>
      <c r="E234" s="5">
        <v>113.0</v>
      </c>
      <c r="F234" s="5">
        <v>63.0</v>
      </c>
      <c r="G234" s="5">
        <v>0.0</v>
      </c>
      <c r="H234" s="5">
        <v>3.0</v>
      </c>
    </row>
    <row r="235" ht="15.75" customHeight="1">
      <c r="A235" s="22" t="str">
        <f t="shared" si="2"/>
        <v>miércoles</v>
      </c>
      <c r="B235" s="24" t="str">
        <f t="shared" si="3"/>
        <v>octubre</v>
      </c>
      <c r="C235" s="37">
        <v>45952.0</v>
      </c>
      <c r="D235" s="5" t="s">
        <v>107</v>
      </c>
      <c r="E235" s="5">
        <v>55.0</v>
      </c>
      <c r="F235" s="5">
        <v>19.0</v>
      </c>
      <c r="G235" s="5">
        <v>0.0</v>
      </c>
      <c r="H235" s="5">
        <v>0.0</v>
      </c>
    </row>
    <row r="236" ht="15.75" customHeight="1">
      <c r="A236" s="22" t="str">
        <f t="shared" si="2"/>
        <v>miércoles</v>
      </c>
      <c r="B236" s="24" t="str">
        <f t="shared" si="3"/>
        <v>octubre</v>
      </c>
      <c r="C236" s="37">
        <v>45952.0</v>
      </c>
      <c r="D236" s="5" t="s">
        <v>89</v>
      </c>
      <c r="E236" s="5">
        <v>88.0</v>
      </c>
      <c r="F236" s="5">
        <v>52.0</v>
      </c>
      <c r="G236" s="5">
        <v>0.0</v>
      </c>
      <c r="H236" s="5">
        <v>0.0</v>
      </c>
    </row>
    <row r="237" ht="15.75" customHeight="1">
      <c r="A237" s="22" t="str">
        <f t="shared" si="2"/>
        <v>jueves</v>
      </c>
      <c r="B237" s="24" t="str">
        <f t="shared" si="3"/>
        <v>octubre</v>
      </c>
      <c r="C237" s="37">
        <v>45953.0</v>
      </c>
      <c r="D237" s="28" t="s">
        <v>64</v>
      </c>
      <c r="E237" s="5">
        <v>111.0</v>
      </c>
      <c r="F237" s="5">
        <v>80.0</v>
      </c>
      <c r="G237" s="5">
        <v>2.0</v>
      </c>
      <c r="H237" s="5">
        <v>21.0</v>
      </c>
    </row>
    <row r="238" ht="15.75" customHeight="1">
      <c r="A238" s="22" t="str">
        <f t="shared" si="2"/>
        <v>jueves</v>
      </c>
      <c r="B238" s="24" t="str">
        <f t="shared" si="3"/>
        <v>octubre</v>
      </c>
      <c r="C238" s="37">
        <v>45953.0</v>
      </c>
      <c r="D238" s="28" t="s">
        <v>58</v>
      </c>
      <c r="E238" s="5">
        <v>68.0</v>
      </c>
      <c r="F238" s="5">
        <v>40.0</v>
      </c>
      <c r="G238" s="5">
        <v>8.0</v>
      </c>
      <c r="H238" s="5">
        <v>16.0</v>
      </c>
    </row>
    <row r="239" ht="15.75" customHeight="1">
      <c r="A239" s="22" t="str">
        <f t="shared" si="2"/>
        <v>jueves</v>
      </c>
      <c r="B239" s="24" t="str">
        <f t="shared" si="3"/>
        <v>octubre</v>
      </c>
      <c r="C239" s="37">
        <v>45953.0</v>
      </c>
      <c r="D239" s="28" t="s">
        <v>42</v>
      </c>
      <c r="E239" s="5">
        <v>61.0</v>
      </c>
      <c r="F239" s="5">
        <v>35.0</v>
      </c>
      <c r="G239" s="5">
        <v>4.0</v>
      </c>
      <c r="H239" s="5">
        <v>7.0</v>
      </c>
    </row>
    <row r="240" ht="15.75" customHeight="1">
      <c r="A240" s="22" t="str">
        <f t="shared" si="2"/>
        <v>jueves</v>
      </c>
      <c r="B240" s="24" t="str">
        <f t="shared" si="3"/>
        <v>octubre</v>
      </c>
      <c r="C240" s="37">
        <v>45953.0</v>
      </c>
      <c r="D240" s="28" t="s">
        <v>41</v>
      </c>
      <c r="E240" s="5">
        <v>79.0</v>
      </c>
      <c r="F240" s="5">
        <v>64.0</v>
      </c>
      <c r="G240" s="5">
        <v>2.0</v>
      </c>
      <c r="H240" s="5">
        <v>9.0</v>
      </c>
    </row>
    <row r="241" ht="15.75" customHeight="1">
      <c r="A241" s="22" t="str">
        <f t="shared" si="2"/>
        <v>jueves</v>
      </c>
      <c r="B241" s="24" t="str">
        <f t="shared" si="3"/>
        <v>octubre</v>
      </c>
      <c r="C241" s="37">
        <v>45953.0</v>
      </c>
      <c r="D241" s="28" t="s">
        <v>51</v>
      </c>
      <c r="E241" s="5">
        <v>45.0</v>
      </c>
      <c r="F241" s="5">
        <v>30.0</v>
      </c>
      <c r="G241" s="5">
        <v>3.0</v>
      </c>
      <c r="H241" s="5">
        <v>9.0</v>
      </c>
    </row>
    <row r="242" ht="15.75" customHeight="1">
      <c r="A242" s="22" t="str">
        <f t="shared" si="2"/>
        <v>jueves</v>
      </c>
      <c r="B242" s="24" t="str">
        <f t="shared" si="3"/>
        <v>octubre</v>
      </c>
      <c r="C242" s="37">
        <v>45953.0</v>
      </c>
      <c r="D242" s="28" t="s">
        <v>52</v>
      </c>
      <c r="E242" s="5">
        <v>29.0</v>
      </c>
      <c r="F242" s="5">
        <v>25.0</v>
      </c>
      <c r="G242" s="5">
        <v>1.0</v>
      </c>
      <c r="H242" s="5">
        <v>0.0</v>
      </c>
    </row>
    <row r="243" ht="15.75" customHeight="1">
      <c r="A243" s="22" t="str">
        <f t="shared" si="2"/>
        <v>jueves</v>
      </c>
      <c r="B243" s="24" t="str">
        <f t="shared" si="3"/>
        <v>octubre</v>
      </c>
      <c r="C243" s="37">
        <v>45953.0</v>
      </c>
      <c r="D243" s="5" t="s">
        <v>145</v>
      </c>
      <c r="E243" s="5">
        <v>35.0</v>
      </c>
      <c r="F243" s="5">
        <v>24.0</v>
      </c>
      <c r="G243" s="5">
        <v>7.0</v>
      </c>
      <c r="H243" s="5">
        <v>16.0</v>
      </c>
    </row>
    <row r="244" ht="15.75" customHeight="1">
      <c r="A244" s="22" t="str">
        <f t="shared" si="2"/>
        <v>jueves</v>
      </c>
      <c r="B244" s="24" t="str">
        <f t="shared" si="3"/>
        <v>octubre</v>
      </c>
      <c r="C244" s="37">
        <v>45953.0</v>
      </c>
      <c r="D244" s="28" t="s">
        <v>65</v>
      </c>
      <c r="E244" s="5">
        <v>117.0</v>
      </c>
      <c r="F244" s="5">
        <v>88.0</v>
      </c>
      <c r="G244" s="5">
        <v>6.0</v>
      </c>
      <c r="H244" s="5">
        <v>2.0</v>
      </c>
    </row>
    <row r="245" ht="15.75" customHeight="1">
      <c r="A245" s="22" t="str">
        <f t="shared" si="2"/>
        <v>jueves</v>
      </c>
      <c r="B245" s="24" t="str">
        <f t="shared" si="3"/>
        <v>octubre</v>
      </c>
      <c r="C245" s="37">
        <v>45953.0</v>
      </c>
      <c r="D245" s="28" t="s">
        <v>66</v>
      </c>
      <c r="E245" s="5">
        <v>103.0</v>
      </c>
      <c r="F245" s="5">
        <v>99.0</v>
      </c>
      <c r="G245" s="5">
        <v>0.0</v>
      </c>
      <c r="H245" s="5">
        <v>0.0</v>
      </c>
    </row>
    <row r="246" ht="15.75" customHeight="1">
      <c r="A246" s="22" t="str">
        <f t="shared" si="2"/>
        <v>jueves</v>
      </c>
      <c r="B246" s="24" t="str">
        <f t="shared" si="3"/>
        <v>octubre</v>
      </c>
      <c r="C246" s="37">
        <v>45953.0</v>
      </c>
      <c r="D246" s="28" t="s">
        <v>67</v>
      </c>
      <c r="E246" s="5">
        <v>68.0</v>
      </c>
      <c r="F246" s="5">
        <v>54.0</v>
      </c>
      <c r="G246" s="5">
        <v>1.0</v>
      </c>
      <c r="H246" s="5">
        <v>3.0</v>
      </c>
    </row>
    <row r="247" ht="15.75" customHeight="1">
      <c r="A247" s="22" t="str">
        <f t="shared" si="2"/>
        <v>jueves</v>
      </c>
      <c r="B247" s="24" t="str">
        <f t="shared" si="3"/>
        <v>octubre</v>
      </c>
      <c r="C247" s="37">
        <v>45953.0</v>
      </c>
      <c r="D247" s="5" t="s">
        <v>89</v>
      </c>
      <c r="E247" s="5">
        <v>76.0</v>
      </c>
      <c r="F247" s="5">
        <v>46.0</v>
      </c>
      <c r="G247" s="5">
        <v>1.0</v>
      </c>
      <c r="H247" s="5">
        <v>14.0</v>
      </c>
    </row>
    <row r="248" ht="15.75" customHeight="1">
      <c r="A248" s="22" t="str">
        <f t="shared" si="2"/>
        <v>jueves</v>
      </c>
      <c r="B248" s="24" t="str">
        <f t="shared" si="3"/>
        <v>octubre</v>
      </c>
      <c r="C248" s="37">
        <v>45953.0</v>
      </c>
      <c r="D248" s="5" t="s">
        <v>127</v>
      </c>
      <c r="E248" s="5">
        <v>14.0</v>
      </c>
      <c r="F248" s="5">
        <v>7.0</v>
      </c>
      <c r="G248" s="5">
        <v>0.0</v>
      </c>
      <c r="H248" s="5">
        <v>0.0</v>
      </c>
    </row>
    <row r="249" ht="15.75" customHeight="1">
      <c r="A249" s="22" t="str">
        <f t="shared" si="2"/>
        <v>jueves</v>
      </c>
      <c r="B249" s="24" t="str">
        <f t="shared" si="3"/>
        <v>octubre</v>
      </c>
      <c r="C249" s="37">
        <v>45953.0</v>
      </c>
      <c r="D249" s="5" t="s">
        <v>117</v>
      </c>
      <c r="E249" s="5">
        <v>86.0</v>
      </c>
      <c r="F249" s="5">
        <v>38.0</v>
      </c>
      <c r="G249" s="5">
        <v>0.0</v>
      </c>
      <c r="H249" s="5">
        <v>0.0</v>
      </c>
    </row>
    <row r="250" ht="15.75" customHeight="1">
      <c r="A250" s="22" t="str">
        <f t="shared" si="2"/>
        <v>jueves</v>
      </c>
      <c r="B250" s="24" t="str">
        <f t="shared" si="3"/>
        <v>octubre</v>
      </c>
      <c r="C250" s="37">
        <v>45953.0</v>
      </c>
      <c r="D250" s="5" t="s">
        <v>107</v>
      </c>
      <c r="E250" s="5">
        <v>103.0</v>
      </c>
      <c r="F250" s="5">
        <v>43.0</v>
      </c>
      <c r="G250" s="5">
        <v>1.0</v>
      </c>
      <c r="H250" s="5">
        <v>0.0</v>
      </c>
    </row>
    <row r="251" ht="15.75" customHeight="1">
      <c r="A251" s="22" t="str">
        <f t="shared" si="2"/>
        <v>viernes</v>
      </c>
      <c r="B251" s="24" t="str">
        <f t="shared" si="3"/>
        <v>octubre</v>
      </c>
      <c r="C251" s="37">
        <v>45954.0</v>
      </c>
      <c r="D251" s="5" t="s">
        <v>116</v>
      </c>
      <c r="E251" s="5">
        <v>40.0</v>
      </c>
      <c r="F251" s="5">
        <v>34.0</v>
      </c>
      <c r="G251" s="5">
        <v>6.0</v>
      </c>
      <c r="H251" s="5">
        <v>2.0</v>
      </c>
    </row>
    <row r="252" ht="15.75" customHeight="1">
      <c r="A252" s="22" t="str">
        <f t="shared" si="2"/>
        <v>viernes</v>
      </c>
      <c r="B252" s="24" t="str">
        <f t="shared" si="3"/>
        <v>octubre</v>
      </c>
      <c r="C252" s="37">
        <v>45954.0</v>
      </c>
      <c r="D252" s="28" t="s">
        <v>51</v>
      </c>
      <c r="E252" s="5">
        <v>46.0</v>
      </c>
      <c r="F252" s="5">
        <v>39.0</v>
      </c>
      <c r="G252" s="5">
        <v>3.0</v>
      </c>
      <c r="H252" s="5">
        <v>14.0</v>
      </c>
    </row>
    <row r="253" ht="15.75" customHeight="1">
      <c r="A253" s="22" t="str">
        <f t="shared" si="2"/>
        <v>viernes</v>
      </c>
      <c r="B253" s="24" t="str">
        <f t="shared" si="3"/>
        <v>octubre</v>
      </c>
      <c r="C253" s="37">
        <v>45954.0</v>
      </c>
      <c r="D253" s="5" t="s">
        <v>145</v>
      </c>
      <c r="E253" s="5">
        <v>17.0</v>
      </c>
      <c r="F253" s="5">
        <v>15.0</v>
      </c>
      <c r="G253" s="5">
        <v>7.0</v>
      </c>
      <c r="H253" s="5">
        <v>4.0</v>
      </c>
    </row>
    <row r="254" ht="15.75" customHeight="1">
      <c r="A254" s="22" t="str">
        <f t="shared" si="2"/>
        <v>viernes</v>
      </c>
      <c r="B254" s="24" t="str">
        <f t="shared" si="3"/>
        <v>octubre</v>
      </c>
      <c r="C254" s="37">
        <v>45954.0</v>
      </c>
      <c r="D254" s="28" t="s">
        <v>52</v>
      </c>
      <c r="E254" s="5">
        <v>29.0</v>
      </c>
      <c r="F254" s="5">
        <v>24.0</v>
      </c>
      <c r="G254" s="5">
        <v>1.0</v>
      </c>
      <c r="H254" s="5">
        <v>0.0</v>
      </c>
    </row>
    <row r="255" ht="15.75" customHeight="1">
      <c r="A255" s="22" t="str">
        <f t="shared" si="2"/>
        <v>viernes</v>
      </c>
      <c r="B255" s="24" t="str">
        <f t="shared" si="3"/>
        <v>octubre</v>
      </c>
      <c r="C255" s="37">
        <v>45954.0</v>
      </c>
      <c r="D255" s="28" t="s">
        <v>58</v>
      </c>
      <c r="E255" s="5">
        <v>49.0</v>
      </c>
      <c r="F255" s="5">
        <v>40.0</v>
      </c>
      <c r="G255" s="5">
        <v>2.0</v>
      </c>
      <c r="H255" s="5">
        <v>4.0</v>
      </c>
    </row>
    <row r="256" ht="15.75" customHeight="1">
      <c r="A256" s="22" t="str">
        <f t="shared" si="2"/>
        <v>viernes</v>
      </c>
      <c r="B256" s="24" t="str">
        <f t="shared" si="3"/>
        <v>octubre</v>
      </c>
      <c r="C256" s="37">
        <v>45954.0</v>
      </c>
      <c r="D256" s="5" t="s">
        <v>146</v>
      </c>
      <c r="E256" s="5">
        <v>82.0</v>
      </c>
      <c r="F256" s="5">
        <v>61.0</v>
      </c>
      <c r="G256" s="5">
        <v>0.0</v>
      </c>
      <c r="H256" s="5">
        <v>13.0</v>
      </c>
    </row>
    <row r="257" ht="15.75" customHeight="1">
      <c r="A257" s="22" t="str">
        <f t="shared" si="2"/>
        <v>viernes</v>
      </c>
      <c r="B257" s="24" t="str">
        <f t="shared" si="3"/>
        <v>octubre</v>
      </c>
      <c r="C257" s="37">
        <v>45954.0</v>
      </c>
      <c r="D257" s="28" t="s">
        <v>64</v>
      </c>
      <c r="E257" s="5">
        <v>117.0</v>
      </c>
      <c r="F257" s="5">
        <v>78.0</v>
      </c>
      <c r="G257" s="5">
        <v>4.0</v>
      </c>
      <c r="H257" s="5">
        <v>3.0</v>
      </c>
    </row>
    <row r="258" ht="15.75" customHeight="1">
      <c r="A258" s="22" t="str">
        <f t="shared" si="2"/>
        <v>viernes</v>
      </c>
      <c r="B258" s="24" t="str">
        <f t="shared" si="3"/>
        <v>octubre</v>
      </c>
      <c r="C258" s="37">
        <v>45954.0</v>
      </c>
      <c r="D258" s="28" t="s">
        <v>65</v>
      </c>
      <c r="E258" s="5">
        <v>62.0</v>
      </c>
      <c r="F258" s="5">
        <v>42.0</v>
      </c>
      <c r="G258" s="5">
        <v>2.0</v>
      </c>
      <c r="H258" s="5">
        <v>0.0</v>
      </c>
    </row>
    <row r="259" ht="15.75" customHeight="1">
      <c r="A259" s="22" t="str">
        <f t="shared" si="2"/>
        <v>viernes</v>
      </c>
      <c r="B259" s="24" t="str">
        <f t="shared" si="3"/>
        <v>octubre</v>
      </c>
      <c r="C259" s="37">
        <v>45954.0</v>
      </c>
      <c r="D259" s="28" t="s">
        <v>66</v>
      </c>
      <c r="E259" s="5">
        <v>99.0</v>
      </c>
      <c r="F259" s="5">
        <v>84.0</v>
      </c>
      <c r="G259" s="5">
        <v>0.0</v>
      </c>
      <c r="H259" s="5">
        <v>4.0</v>
      </c>
    </row>
    <row r="260" ht="15.75" customHeight="1">
      <c r="A260" s="22" t="str">
        <f t="shared" si="2"/>
        <v>sábado</v>
      </c>
      <c r="B260" s="24" t="str">
        <f t="shared" si="3"/>
        <v>octubre</v>
      </c>
      <c r="C260" s="37">
        <v>45955.0</v>
      </c>
      <c r="D260" s="5" t="s">
        <v>169</v>
      </c>
      <c r="E260" s="5">
        <v>87.0</v>
      </c>
      <c r="F260" s="5">
        <v>73.0</v>
      </c>
      <c r="G260" s="5">
        <v>1.0</v>
      </c>
      <c r="H260" s="5">
        <v>12.0</v>
      </c>
    </row>
    <row r="261" ht="15.75" customHeight="1">
      <c r="A261" s="22" t="str">
        <f t="shared" si="2"/>
        <v>sábado</v>
      </c>
      <c r="B261" s="24" t="str">
        <f t="shared" si="3"/>
        <v>octubre</v>
      </c>
      <c r="C261" s="37">
        <v>45955.0</v>
      </c>
      <c r="D261" s="5" t="s">
        <v>43</v>
      </c>
      <c r="E261" s="5">
        <v>54.0</v>
      </c>
      <c r="F261" s="5">
        <v>39.0</v>
      </c>
      <c r="G261" s="5">
        <v>2.0</v>
      </c>
      <c r="H261" s="5">
        <v>5.0</v>
      </c>
    </row>
    <row r="262" ht="15.75" customHeight="1">
      <c r="A262" s="22" t="str">
        <f t="shared" si="2"/>
        <v>sábado</v>
      </c>
      <c r="B262" s="24" t="str">
        <f t="shared" si="3"/>
        <v>octubre</v>
      </c>
      <c r="C262" s="37">
        <v>45955.0</v>
      </c>
      <c r="D262" s="28" t="s">
        <v>51</v>
      </c>
      <c r="E262" s="5">
        <v>58.0</v>
      </c>
      <c r="F262" s="5">
        <v>46.0</v>
      </c>
      <c r="G262" s="5">
        <v>2.0</v>
      </c>
      <c r="H262" s="5">
        <v>8.0</v>
      </c>
    </row>
    <row r="263" ht="15.75" customHeight="1">
      <c r="A263" s="22" t="str">
        <f t="shared" si="2"/>
        <v>sábado</v>
      </c>
      <c r="B263" s="24" t="str">
        <f t="shared" si="3"/>
        <v>octubre</v>
      </c>
      <c r="C263" s="37">
        <v>45955.0</v>
      </c>
      <c r="D263" s="5" t="s">
        <v>145</v>
      </c>
      <c r="E263" s="5">
        <v>144.0</v>
      </c>
      <c r="F263" s="5">
        <v>137.0</v>
      </c>
      <c r="G263" s="5">
        <v>4.0</v>
      </c>
      <c r="H263" s="5">
        <v>5.0</v>
      </c>
    </row>
    <row r="264" ht="15.75" customHeight="1">
      <c r="A264" s="22" t="str">
        <f t="shared" si="2"/>
        <v>sábado</v>
      </c>
      <c r="B264" s="24" t="str">
        <f t="shared" si="3"/>
        <v>octubre</v>
      </c>
      <c r="C264" s="37">
        <v>45955.0</v>
      </c>
      <c r="D264" s="28" t="s">
        <v>52</v>
      </c>
      <c r="E264" s="5">
        <v>50.0</v>
      </c>
      <c r="F264" s="5">
        <v>33.0</v>
      </c>
      <c r="G264" s="5">
        <v>2.0</v>
      </c>
      <c r="H264" s="5">
        <v>3.0</v>
      </c>
    </row>
    <row r="265" ht="15.75" customHeight="1">
      <c r="A265" s="22" t="str">
        <f t="shared" si="2"/>
        <v>sábado</v>
      </c>
      <c r="B265" s="24" t="str">
        <f t="shared" si="3"/>
        <v>octubre</v>
      </c>
      <c r="C265" s="37">
        <v>45955.0</v>
      </c>
      <c r="D265" s="5" t="s">
        <v>146</v>
      </c>
      <c r="E265" s="5">
        <v>57.0</v>
      </c>
      <c r="F265" s="5">
        <v>34.0</v>
      </c>
      <c r="G265" s="5">
        <v>0.0</v>
      </c>
      <c r="H265" s="5">
        <v>3.0</v>
      </c>
    </row>
    <row r="266" ht="15.75" customHeight="1">
      <c r="A266" s="22" t="str">
        <f t="shared" si="2"/>
        <v>domingo</v>
      </c>
      <c r="B266" s="24" t="str">
        <f t="shared" si="3"/>
        <v>octubre</v>
      </c>
      <c r="C266" s="37">
        <v>45956.0</v>
      </c>
      <c r="D266" s="5" t="s">
        <v>116</v>
      </c>
      <c r="E266" s="5">
        <v>82.0</v>
      </c>
      <c r="F266" s="5">
        <v>66.0</v>
      </c>
      <c r="G266" s="5">
        <v>9.0</v>
      </c>
      <c r="H266" s="5">
        <v>5.0</v>
      </c>
    </row>
    <row r="267" ht="15.75" customHeight="1">
      <c r="A267" s="22" t="str">
        <f t="shared" si="2"/>
        <v>domingo</v>
      </c>
      <c r="B267" s="24" t="str">
        <f t="shared" si="3"/>
        <v>octubre</v>
      </c>
      <c r="C267" s="37">
        <v>45956.0</v>
      </c>
      <c r="D267" s="5" t="s">
        <v>43</v>
      </c>
      <c r="E267" s="5">
        <v>74.0</v>
      </c>
      <c r="F267" s="5">
        <v>38.0</v>
      </c>
      <c r="G267" s="5">
        <v>4.0</v>
      </c>
      <c r="H267" s="5">
        <v>14.0</v>
      </c>
    </row>
    <row r="268" ht="15.75" customHeight="1">
      <c r="A268" s="22" t="str">
        <f t="shared" si="2"/>
        <v>domingo</v>
      </c>
      <c r="B268" s="24" t="str">
        <f t="shared" si="3"/>
        <v>octubre</v>
      </c>
      <c r="C268" s="37">
        <v>45956.0</v>
      </c>
      <c r="D268" s="28" t="s">
        <v>59</v>
      </c>
      <c r="E268" s="5">
        <v>130.0</v>
      </c>
      <c r="F268" s="5">
        <v>123.0</v>
      </c>
      <c r="G268" s="5">
        <v>1.0</v>
      </c>
      <c r="H268" s="5">
        <v>2.0</v>
      </c>
    </row>
    <row r="269" ht="15.75" customHeight="1">
      <c r="A269" s="22" t="str">
        <f t="shared" si="2"/>
        <v>domingo</v>
      </c>
      <c r="B269" s="24" t="str">
        <f t="shared" si="3"/>
        <v>octubre</v>
      </c>
      <c r="C269" s="37">
        <v>45956.0</v>
      </c>
      <c r="D269" s="5" t="s">
        <v>145</v>
      </c>
      <c r="E269" s="5">
        <v>54.0</v>
      </c>
      <c r="F269" s="5">
        <v>42.0</v>
      </c>
      <c r="G269" s="5">
        <v>12.0</v>
      </c>
      <c r="H269" s="5">
        <v>0.0</v>
      </c>
    </row>
    <row r="270" ht="15.75" customHeight="1">
      <c r="A270" s="22" t="str">
        <f t="shared" si="2"/>
        <v>domingo</v>
      </c>
      <c r="B270" s="24" t="str">
        <f t="shared" si="3"/>
        <v>octubre</v>
      </c>
      <c r="C270" s="37">
        <v>45956.0</v>
      </c>
      <c r="D270" s="28" t="s">
        <v>52</v>
      </c>
      <c r="E270" s="5">
        <v>62.0</v>
      </c>
      <c r="F270" s="5">
        <v>33.0</v>
      </c>
      <c r="G270" s="5">
        <v>1.0</v>
      </c>
      <c r="H270" s="5">
        <v>4.0</v>
      </c>
    </row>
    <row r="271" ht="15.75" customHeight="1">
      <c r="A271" s="22" t="str">
        <f t="shared" si="2"/>
        <v>domingo</v>
      </c>
      <c r="B271" s="24" t="str">
        <f t="shared" si="3"/>
        <v>octubre</v>
      </c>
      <c r="C271" s="37">
        <v>45956.0</v>
      </c>
      <c r="D271" s="5" t="s">
        <v>146</v>
      </c>
      <c r="E271" s="5">
        <v>72.0</v>
      </c>
      <c r="F271" s="5">
        <v>43.0</v>
      </c>
      <c r="G271" s="5">
        <v>0.0</v>
      </c>
      <c r="H271" s="5">
        <v>5.0</v>
      </c>
    </row>
    <row r="272" ht="15.75" customHeight="1">
      <c r="A272" s="22" t="str">
        <f t="shared" si="2"/>
        <v>lunes</v>
      </c>
      <c r="B272" s="24" t="str">
        <f t="shared" si="3"/>
        <v>octubre</v>
      </c>
      <c r="C272" s="37">
        <v>45957.0</v>
      </c>
      <c r="D272" s="28" t="s">
        <v>64</v>
      </c>
      <c r="E272" s="5">
        <v>106.0</v>
      </c>
      <c r="F272" s="5">
        <v>54.0</v>
      </c>
      <c r="G272" s="5">
        <v>6.0</v>
      </c>
      <c r="H272" s="5">
        <v>17.0</v>
      </c>
    </row>
    <row r="273" ht="15.75" customHeight="1">
      <c r="A273" s="22" t="str">
        <f t="shared" si="2"/>
        <v>lunes</v>
      </c>
      <c r="B273" s="24" t="str">
        <f t="shared" si="3"/>
        <v>octubre</v>
      </c>
      <c r="C273" s="37">
        <v>45957.0</v>
      </c>
      <c r="D273" s="28" t="s">
        <v>58</v>
      </c>
      <c r="E273" s="5">
        <v>62.0</v>
      </c>
      <c r="F273" s="5">
        <v>38.0</v>
      </c>
      <c r="G273" s="5">
        <v>7.0</v>
      </c>
      <c r="H273" s="5">
        <v>9.0</v>
      </c>
    </row>
    <row r="274" ht="15.75" customHeight="1">
      <c r="A274" s="22" t="str">
        <f t="shared" si="2"/>
        <v>lunes</v>
      </c>
      <c r="B274" s="24" t="str">
        <f t="shared" si="3"/>
        <v>octubre</v>
      </c>
      <c r="C274" s="37">
        <v>45957.0</v>
      </c>
      <c r="D274" s="28" t="s">
        <v>41</v>
      </c>
      <c r="E274" s="5">
        <v>69.0</v>
      </c>
      <c r="F274" s="5">
        <v>45.0</v>
      </c>
      <c r="G274" s="5">
        <v>2.0</v>
      </c>
      <c r="H274" s="5">
        <v>7.0</v>
      </c>
    </row>
    <row r="275" ht="15.75" customHeight="1">
      <c r="A275" s="22" t="str">
        <f t="shared" si="2"/>
        <v>lunes</v>
      </c>
      <c r="B275" s="24" t="str">
        <f t="shared" si="3"/>
        <v>octubre</v>
      </c>
      <c r="C275" s="37">
        <v>45957.0</v>
      </c>
      <c r="D275" s="28" t="s">
        <v>39</v>
      </c>
      <c r="E275" s="5">
        <v>48.0</v>
      </c>
      <c r="F275" s="5">
        <v>37.0</v>
      </c>
      <c r="G275" s="5">
        <v>2.0</v>
      </c>
      <c r="H275" s="5">
        <v>11.0</v>
      </c>
    </row>
    <row r="276" ht="15.75" customHeight="1">
      <c r="A276" s="22" t="str">
        <f t="shared" si="2"/>
        <v>lunes</v>
      </c>
      <c r="B276" s="24" t="str">
        <f t="shared" si="3"/>
        <v>octubre</v>
      </c>
      <c r="C276" s="37">
        <v>45957.0</v>
      </c>
      <c r="D276" s="28" t="s">
        <v>66</v>
      </c>
      <c r="E276" s="5">
        <v>103.0</v>
      </c>
      <c r="F276" s="5">
        <v>97.0</v>
      </c>
      <c r="G276" s="5">
        <v>0.0</v>
      </c>
      <c r="H276" s="5">
        <v>0.0</v>
      </c>
    </row>
    <row r="277" ht="15.75" customHeight="1">
      <c r="A277" s="22" t="str">
        <f t="shared" si="2"/>
        <v>lunes</v>
      </c>
      <c r="B277" s="24" t="str">
        <f t="shared" si="3"/>
        <v>octubre</v>
      </c>
      <c r="C277" s="37">
        <v>45957.0</v>
      </c>
      <c r="D277" s="28" t="s">
        <v>44</v>
      </c>
      <c r="E277" s="5">
        <v>84.0</v>
      </c>
      <c r="F277" s="5">
        <v>79.0</v>
      </c>
      <c r="G277" s="5">
        <v>0.0</v>
      </c>
      <c r="H277" s="5">
        <v>0.0</v>
      </c>
    </row>
    <row r="278" ht="15.75" customHeight="1">
      <c r="A278" s="22" t="str">
        <f t="shared" si="2"/>
        <v>lunes</v>
      </c>
      <c r="B278" s="24" t="str">
        <f t="shared" si="3"/>
        <v>octubre</v>
      </c>
      <c r="C278" s="37">
        <v>45957.0</v>
      </c>
      <c r="D278" s="28" t="s">
        <v>67</v>
      </c>
      <c r="E278" s="5">
        <v>70.0</v>
      </c>
      <c r="F278" s="5">
        <v>60.0</v>
      </c>
      <c r="G278" s="5">
        <v>0.0</v>
      </c>
      <c r="H278" s="5">
        <v>3.0</v>
      </c>
    </row>
    <row r="279" ht="15.75" customHeight="1">
      <c r="A279" s="22" t="str">
        <f t="shared" si="2"/>
        <v>lunes</v>
      </c>
      <c r="B279" s="24" t="str">
        <f t="shared" si="3"/>
        <v>octubre</v>
      </c>
      <c r="C279" s="37">
        <v>45957.0</v>
      </c>
      <c r="D279" s="28" t="s">
        <v>65</v>
      </c>
      <c r="E279" s="5">
        <v>46.0</v>
      </c>
      <c r="F279" s="5">
        <v>38.0</v>
      </c>
      <c r="G279" s="5">
        <v>2.0</v>
      </c>
      <c r="H279" s="5">
        <v>2.0</v>
      </c>
    </row>
    <row r="280" ht="15.75" customHeight="1">
      <c r="A280" s="22" t="str">
        <f t="shared" si="2"/>
        <v>lunes</v>
      </c>
      <c r="B280" s="24" t="str">
        <f t="shared" si="3"/>
        <v>octubre</v>
      </c>
      <c r="C280" s="37">
        <v>45957.0</v>
      </c>
      <c r="D280" s="28" t="s">
        <v>59</v>
      </c>
      <c r="E280" s="5">
        <v>54.0</v>
      </c>
      <c r="F280" s="5">
        <v>32.0</v>
      </c>
      <c r="G280" s="5">
        <v>0.0</v>
      </c>
      <c r="H280" s="5">
        <v>0.0</v>
      </c>
    </row>
    <row r="281" ht="15.75" customHeight="1">
      <c r="A281" s="22" t="str">
        <f t="shared" si="2"/>
        <v>lunes</v>
      </c>
      <c r="B281" s="24" t="str">
        <f t="shared" si="3"/>
        <v>octubre</v>
      </c>
      <c r="C281" s="37">
        <v>45957.0</v>
      </c>
      <c r="D281" s="5" t="s">
        <v>90</v>
      </c>
      <c r="E281" s="5">
        <v>162.0</v>
      </c>
      <c r="F281" s="5">
        <v>58.0</v>
      </c>
      <c r="G281" s="5">
        <v>0.0</v>
      </c>
      <c r="H281" s="5">
        <v>0.0</v>
      </c>
    </row>
    <row r="282" ht="15.75" customHeight="1">
      <c r="A282" s="22" t="str">
        <f t="shared" si="2"/>
        <v>lunes</v>
      </c>
      <c r="B282" s="24" t="str">
        <f t="shared" si="3"/>
        <v>octubre</v>
      </c>
      <c r="C282" s="37">
        <v>45957.0</v>
      </c>
      <c r="D282" s="5" t="s">
        <v>93</v>
      </c>
      <c r="E282" s="5">
        <v>82.0</v>
      </c>
      <c r="F282" s="5">
        <v>68.0</v>
      </c>
      <c r="G282" s="5">
        <v>0.0</v>
      </c>
      <c r="H282" s="5">
        <v>0.0</v>
      </c>
    </row>
    <row r="283" ht="15.75" customHeight="1">
      <c r="A283" s="22" t="str">
        <f t="shared" si="2"/>
        <v>lunes</v>
      </c>
      <c r="B283" s="24" t="str">
        <f t="shared" si="3"/>
        <v>octubre</v>
      </c>
      <c r="C283" s="37">
        <v>45957.0</v>
      </c>
      <c r="D283" s="5" t="s">
        <v>89</v>
      </c>
      <c r="E283" s="5">
        <v>102.0</v>
      </c>
      <c r="F283" s="5">
        <v>60.0</v>
      </c>
      <c r="G283" s="5">
        <v>0.0</v>
      </c>
      <c r="H283" s="5">
        <v>0.0</v>
      </c>
    </row>
    <row r="284" ht="15.75" customHeight="1">
      <c r="A284" s="22" t="str">
        <f t="shared" si="2"/>
        <v>martes</v>
      </c>
      <c r="B284" s="24" t="str">
        <f t="shared" si="3"/>
        <v>octubre</v>
      </c>
      <c r="C284" s="37">
        <v>45958.0</v>
      </c>
      <c r="D284" s="28" t="s">
        <v>64</v>
      </c>
      <c r="E284" s="5">
        <v>110.0</v>
      </c>
      <c r="F284" s="5">
        <v>70.0</v>
      </c>
      <c r="G284" s="5">
        <v>10.0</v>
      </c>
      <c r="H284" s="5">
        <v>10.0</v>
      </c>
    </row>
    <row r="285" ht="15.75" customHeight="1">
      <c r="A285" s="22" t="str">
        <f t="shared" si="2"/>
        <v>martes</v>
      </c>
      <c r="B285" s="24" t="str">
        <f t="shared" si="3"/>
        <v>octubre</v>
      </c>
      <c r="C285" s="37">
        <v>45958.0</v>
      </c>
      <c r="D285" s="28" t="s">
        <v>58</v>
      </c>
      <c r="E285" s="5">
        <v>79.0</v>
      </c>
      <c r="F285" s="5">
        <v>57.0</v>
      </c>
      <c r="G285" s="5">
        <v>6.0</v>
      </c>
      <c r="H285" s="5">
        <v>5.0</v>
      </c>
    </row>
    <row r="286" ht="15.75" customHeight="1">
      <c r="A286" s="22" t="str">
        <f t="shared" si="2"/>
        <v>martes</v>
      </c>
      <c r="B286" s="24" t="str">
        <f t="shared" si="3"/>
        <v>octubre</v>
      </c>
      <c r="C286" s="37">
        <v>45958.0</v>
      </c>
      <c r="D286" s="28" t="s">
        <v>39</v>
      </c>
      <c r="E286" s="5">
        <v>62.0</v>
      </c>
      <c r="F286" s="5">
        <v>41.0</v>
      </c>
      <c r="G286" s="5">
        <v>1.0</v>
      </c>
      <c r="H286" s="5">
        <v>7.0</v>
      </c>
    </row>
    <row r="287" ht="15.75" customHeight="1">
      <c r="A287" s="22" t="str">
        <f t="shared" si="2"/>
        <v>martes</v>
      </c>
      <c r="B287" s="24" t="str">
        <f t="shared" si="3"/>
        <v>octubre</v>
      </c>
      <c r="C287" s="37">
        <v>45958.0</v>
      </c>
      <c r="D287" s="28" t="s">
        <v>41</v>
      </c>
      <c r="E287" s="5">
        <v>82.0</v>
      </c>
      <c r="F287" s="5">
        <v>56.0</v>
      </c>
      <c r="G287" s="5">
        <v>2.0</v>
      </c>
      <c r="H287" s="5">
        <v>6.0</v>
      </c>
    </row>
    <row r="288" ht="15.75" customHeight="1">
      <c r="A288" s="22" t="str">
        <f t="shared" si="2"/>
        <v>martes</v>
      </c>
      <c r="B288" s="24" t="str">
        <f t="shared" si="3"/>
        <v>octubre</v>
      </c>
      <c r="C288" s="37">
        <v>45958.0</v>
      </c>
      <c r="D288" s="28" t="s">
        <v>65</v>
      </c>
      <c r="E288" s="5">
        <v>82.0</v>
      </c>
      <c r="F288" s="5">
        <v>60.0</v>
      </c>
      <c r="G288" s="5">
        <v>3.0</v>
      </c>
      <c r="H288" s="5">
        <v>2.0</v>
      </c>
    </row>
    <row r="289" ht="15.75" customHeight="1">
      <c r="A289" s="22" t="str">
        <f t="shared" si="2"/>
        <v>martes</v>
      </c>
      <c r="B289" s="24" t="str">
        <f t="shared" si="3"/>
        <v>octubre</v>
      </c>
      <c r="C289" s="37">
        <v>45958.0</v>
      </c>
      <c r="D289" s="28" t="s">
        <v>66</v>
      </c>
      <c r="E289" s="5">
        <v>107.0</v>
      </c>
      <c r="F289" s="5">
        <v>93.0</v>
      </c>
      <c r="G289" s="5">
        <v>2.0</v>
      </c>
      <c r="H289" s="5">
        <v>2.0</v>
      </c>
    </row>
    <row r="290" ht="15.75" customHeight="1">
      <c r="A290" s="22" t="str">
        <f t="shared" si="2"/>
        <v>martes</v>
      </c>
      <c r="B290" s="24" t="str">
        <f t="shared" si="3"/>
        <v>octubre</v>
      </c>
      <c r="C290" s="37">
        <v>45958.0</v>
      </c>
      <c r="D290" s="28" t="s">
        <v>67</v>
      </c>
      <c r="E290" s="5">
        <v>71.0</v>
      </c>
      <c r="F290" s="5">
        <v>53.0</v>
      </c>
      <c r="G290" s="5">
        <v>3.0</v>
      </c>
      <c r="H290" s="5">
        <v>5.0</v>
      </c>
    </row>
    <row r="291" ht="15.75" customHeight="1">
      <c r="A291" s="22" t="str">
        <f t="shared" si="2"/>
        <v>martes</v>
      </c>
      <c r="B291" s="24" t="str">
        <f t="shared" si="3"/>
        <v>octubre</v>
      </c>
      <c r="C291" s="37">
        <v>45958.0</v>
      </c>
      <c r="D291" s="28" t="s">
        <v>59</v>
      </c>
      <c r="E291" s="5">
        <v>68.0</v>
      </c>
      <c r="F291" s="5">
        <v>42.0</v>
      </c>
      <c r="G291" s="5">
        <v>0.0</v>
      </c>
      <c r="H291" s="5">
        <v>0.0</v>
      </c>
    </row>
    <row r="292" ht="15.75" customHeight="1">
      <c r="A292" s="22" t="str">
        <f t="shared" si="2"/>
        <v>martes</v>
      </c>
      <c r="B292" s="24" t="str">
        <f t="shared" si="3"/>
        <v>octubre</v>
      </c>
      <c r="C292" s="37">
        <v>45958.0</v>
      </c>
      <c r="D292" s="5" t="s">
        <v>89</v>
      </c>
      <c r="E292" s="5">
        <v>126.0</v>
      </c>
      <c r="F292" s="5">
        <v>79.0</v>
      </c>
      <c r="G292" s="5">
        <v>0.0</v>
      </c>
      <c r="H292" s="5">
        <v>3.0</v>
      </c>
    </row>
    <row r="293" ht="15.75" customHeight="1">
      <c r="A293" s="22" t="str">
        <f t="shared" si="2"/>
        <v>martes</v>
      </c>
      <c r="B293" s="24" t="str">
        <f t="shared" si="3"/>
        <v>octubre</v>
      </c>
      <c r="C293" s="37">
        <v>45958.0</v>
      </c>
      <c r="D293" s="5" t="s">
        <v>90</v>
      </c>
      <c r="E293" s="5">
        <v>160.0</v>
      </c>
      <c r="F293" s="5">
        <v>66.0</v>
      </c>
      <c r="G293" s="5">
        <v>0.0</v>
      </c>
      <c r="H293" s="5">
        <v>0.0</v>
      </c>
    </row>
    <row r="294" ht="15.75" customHeight="1">
      <c r="A294" s="22" t="str">
        <f t="shared" si="2"/>
        <v>martes</v>
      </c>
      <c r="B294" s="24" t="str">
        <f t="shared" si="3"/>
        <v>octubre</v>
      </c>
      <c r="C294" s="37">
        <v>45958.0</v>
      </c>
      <c r="D294" s="5" t="s">
        <v>93</v>
      </c>
      <c r="E294" s="5">
        <v>113.0</v>
      </c>
      <c r="F294" s="5">
        <v>73.0</v>
      </c>
      <c r="G294" s="5">
        <v>0.0</v>
      </c>
      <c r="H294" s="5">
        <v>0.0</v>
      </c>
    </row>
    <row r="295" ht="15.75" customHeight="1">
      <c r="A295" s="22" t="str">
        <f t="shared" si="2"/>
        <v>miércoles</v>
      </c>
      <c r="B295" s="24" t="str">
        <f t="shared" si="3"/>
        <v>octubre</v>
      </c>
      <c r="C295" s="37">
        <v>45959.0</v>
      </c>
      <c r="D295" s="28" t="s">
        <v>64</v>
      </c>
      <c r="E295" s="5">
        <v>118.0</v>
      </c>
      <c r="F295" s="5">
        <v>72.0</v>
      </c>
      <c r="G295" s="5">
        <v>8.0</v>
      </c>
      <c r="H295" s="5">
        <v>16.0</v>
      </c>
    </row>
    <row r="296" ht="15.75" customHeight="1">
      <c r="A296" s="22" t="str">
        <f t="shared" si="2"/>
        <v>miércoles</v>
      </c>
      <c r="B296" s="24" t="str">
        <f t="shared" si="3"/>
        <v>octubre</v>
      </c>
      <c r="C296" s="37">
        <v>45959.0</v>
      </c>
      <c r="D296" s="28" t="s">
        <v>58</v>
      </c>
      <c r="E296" s="5">
        <v>65.0</v>
      </c>
      <c r="F296" s="5">
        <v>43.0</v>
      </c>
      <c r="G296" s="5">
        <v>3.0</v>
      </c>
      <c r="H296" s="5">
        <v>8.0</v>
      </c>
    </row>
    <row r="297" ht="15.75" customHeight="1">
      <c r="A297" s="22" t="str">
        <f t="shared" si="2"/>
        <v>miércoles</v>
      </c>
      <c r="B297" s="24" t="str">
        <f t="shared" si="3"/>
        <v>octubre</v>
      </c>
      <c r="C297" s="37">
        <v>45959.0</v>
      </c>
      <c r="D297" s="28" t="s">
        <v>42</v>
      </c>
      <c r="E297" s="5">
        <v>87.0</v>
      </c>
      <c r="F297" s="5">
        <v>54.0</v>
      </c>
      <c r="G297" s="5">
        <v>4.0</v>
      </c>
      <c r="H297" s="5">
        <v>19.0</v>
      </c>
    </row>
    <row r="298" ht="15.75" customHeight="1">
      <c r="A298" s="22" t="str">
        <f t="shared" si="2"/>
        <v>miércoles</v>
      </c>
      <c r="B298" s="24" t="str">
        <f t="shared" si="3"/>
        <v>octubre</v>
      </c>
      <c r="C298" s="37">
        <v>45959.0</v>
      </c>
      <c r="D298" s="28" t="s">
        <v>41</v>
      </c>
      <c r="E298" s="5">
        <v>80.0</v>
      </c>
      <c r="F298" s="5">
        <v>64.0</v>
      </c>
      <c r="G298" s="5">
        <v>5.0</v>
      </c>
      <c r="H298" s="5">
        <v>9.0</v>
      </c>
    </row>
    <row r="299" ht="15.75" customHeight="1">
      <c r="A299" s="22" t="str">
        <f t="shared" si="2"/>
        <v>miércoles</v>
      </c>
      <c r="B299" s="24" t="str">
        <f t="shared" si="3"/>
        <v>octubre</v>
      </c>
      <c r="C299" s="37">
        <v>45959.0</v>
      </c>
      <c r="D299" s="28" t="s">
        <v>51</v>
      </c>
      <c r="E299" s="5">
        <v>62.0</v>
      </c>
      <c r="F299" s="5">
        <v>46.0</v>
      </c>
      <c r="G299" s="5">
        <v>7.0</v>
      </c>
      <c r="H299" s="5">
        <v>16.0</v>
      </c>
    </row>
    <row r="300" ht="15.75" customHeight="1">
      <c r="A300" s="22" t="str">
        <f t="shared" si="2"/>
        <v>miércoles</v>
      </c>
      <c r="B300" s="24" t="str">
        <f t="shared" si="3"/>
        <v>octubre</v>
      </c>
      <c r="C300" s="37">
        <v>45959.0</v>
      </c>
      <c r="D300" s="28" t="s">
        <v>39</v>
      </c>
      <c r="E300" s="5">
        <v>62.0</v>
      </c>
      <c r="F300" s="5">
        <v>33.0</v>
      </c>
      <c r="G300" s="5">
        <v>2.0</v>
      </c>
      <c r="H300" s="5">
        <v>12.0</v>
      </c>
    </row>
    <row r="301" ht="15.75" customHeight="1">
      <c r="A301" s="22" t="str">
        <f t="shared" si="2"/>
        <v>miércoles</v>
      </c>
      <c r="B301" s="24" t="str">
        <f t="shared" si="3"/>
        <v>octubre</v>
      </c>
      <c r="C301" s="37">
        <v>45959.0</v>
      </c>
      <c r="D301" s="28" t="s">
        <v>65</v>
      </c>
      <c r="E301" s="5">
        <v>65.0</v>
      </c>
      <c r="F301" s="5">
        <v>56.0</v>
      </c>
      <c r="G301" s="5">
        <v>0.0</v>
      </c>
      <c r="H301" s="5">
        <v>2.0</v>
      </c>
    </row>
    <row r="302" ht="15.75" customHeight="1">
      <c r="A302" s="22" t="str">
        <f t="shared" si="2"/>
        <v>miércoles</v>
      </c>
      <c r="B302" s="24" t="str">
        <f t="shared" si="3"/>
        <v>octubre</v>
      </c>
      <c r="C302" s="37">
        <v>45959.0</v>
      </c>
      <c r="D302" s="28" t="s">
        <v>66</v>
      </c>
      <c r="E302" s="5">
        <v>139.0</v>
      </c>
      <c r="F302" s="5">
        <v>117.0</v>
      </c>
      <c r="G302" s="5">
        <v>0.0</v>
      </c>
      <c r="H302" s="5">
        <v>11.0</v>
      </c>
    </row>
    <row r="303" ht="15.75" customHeight="1">
      <c r="A303" s="22" t="str">
        <f t="shared" si="2"/>
        <v>miércoles</v>
      </c>
      <c r="B303" s="24" t="str">
        <f t="shared" si="3"/>
        <v>octubre</v>
      </c>
      <c r="C303" s="37">
        <v>45959.0</v>
      </c>
      <c r="D303" s="28" t="s">
        <v>67</v>
      </c>
      <c r="E303" s="5">
        <v>79.0</v>
      </c>
      <c r="F303" s="5">
        <v>71.0</v>
      </c>
      <c r="G303" s="5">
        <v>2.0</v>
      </c>
      <c r="H303" s="5">
        <v>3.0</v>
      </c>
    </row>
    <row r="304" ht="15.75" customHeight="1">
      <c r="A304" s="22" t="str">
        <f t="shared" si="2"/>
        <v>miércoles</v>
      </c>
      <c r="B304" s="24" t="str">
        <f t="shared" si="3"/>
        <v>octubre</v>
      </c>
      <c r="C304" s="37">
        <v>45959.0</v>
      </c>
      <c r="D304" s="5" t="s">
        <v>93</v>
      </c>
      <c r="E304" s="5">
        <v>89.0</v>
      </c>
      <c r="F304" s="5">
        <v>58.0</v>
      </c>
      <c r="G304" s="5">
        <v>0.0</v>
      </c>
      <c r="H304" s="5">
        <v>0.0</v>
      </c>
    </row>
    <row r="305" ht="15.75" customHeight="1">
      <c r="A305" s="22" t="str">
        <f t="shared" si="2"/>
        <v>miércoles</v>
      </c>
      <c r="B305" s="24" t="str">
        <f t="shared" si="3"/>
        <v>octubre</v>
      </c>
      <c r="C305" s="37">
        <v>45959.0</v>
      </c>
      <c r="D305" s="5" t="s">
        <v>107</v>
      </c>
      <c r="E305" s="5">
        <v>45.0</v>
      </c>
      <c r="F305" s="5">
        <v>27.0</v>
      </c>
      <c r="G305" s="5">
        <v>0.0</v>
      </c>
      <c r="H305" s="5">
        <v>0.0</v>
      </c>
    </row>
    <row r="306" ht="15.75" customHeight="1">
      <c r="A306" s="22" t="str">
        <f t="shared" si="2"/>
        <v>miércoles</v>
      </c>
      <c r="B306" s="24" t="str">
        <f t="shared" si="3"/>
        <v>octubre</v>
      </c>
      <c r="C306" s="37">
        <v>45959.0</v>
      </c>
      <c r="D306" s="5" t="s">
        <v>89</v>
      </c>
      <c r="E306" s="5">
        <v>126.0</v>
      </c>
      <c r="F306" s="5">
        <v>81.0</v>
      </c>
      <c r="G306" s="5">
        <v>0.0</v>
      </c>
      <c r="H306" s="5">
        <v>0.0</v>
      </c>
    </row>
    <row r="307" ht="15.75" customHeight="1">
      <c r="A307" s="22" t="str">
        <f t="shared" si="2"/>
        <v>jueves</v>
      </c>
      <c r="B307" s="24" t="str">
        <f t="shared" si="3"/>
        <v>octubre</v>
      </c>
      <c r="C307" s="37">
        <v>45960.0</v>
      </c>
      <c r="D307" s="28" t="s">
        <v>64</v>
      </c>
      <c r="E307" s="5">
        <v>76.0</v>
      </c>
      <c r="F307" s="5">
        <v>42.0</v>
      </c>
      <c r="G307" s="5">
        <v>6.0</v>
      </c>
      <c r="H307" s="5">
        <v>13.0</v>
      </c>
    </row>
    <row r="308" ht="15.75" customHeight="1">
      <c r="A308" s="22" t="str">
        <f t="shared" si="2"/>
        <v>jueves</v>
      </c>
      <c r="B308" s="24" t="str">
        <f t="shared" si="3"/>
        <v>octubre</v>
      </c>
      <c r="C308" s="37">
        <v>45960.0</v>
      </c>
      <c r="D308" s="28" t="s">
        <v>58</v>
      </c>
      <c r="E308" s="5">
        <v>47.0</v>
      </c>
      <c r="F308" s="5">
        <v>26.0</v>
      </c>
      <c r="G308" s="5">
        <v>6.0</v>
      </c>
      <c r="H308" s="5">
        <v>9.0</v>
      </c>
    </row>
    <row r="309" ht="15.75" customHeight="1">
      <c r="A309" s="22" t="str">
        <f t="shared" si="2"/>
        <v>jueves</v>
      </c>
      <c r="B309" s="24" t="str">
        <f t="shared" si="3"/>
        <v>octubre</v>
      </c>
      <c r="C309" s="37">
        <v>45960.0</v>
      </c>
      <c r="D309" s="28" t="s">
        <v>42</v>
      </c>
      <c r="E309" s="5">
        <v>50.0</v>
      </c>
      <c r="F309" s="5">
        <v>29.0</v>
      </c>
      <c r="G309" s="5">
        <v>5.0</v>
      </c>
      <c r="H309" s="5">
        <v>5.0</v>
      </c>
    </row>
    <row r="310" ht="15.75" customHeight="1">
      <c r="A310" s="22" t="str">
        <f t="shared" si="2"/>
        <v>jueves</v>
      </c>
      <c r="B310" s="24" t="str">
        <f t="shared" si="3"/>
        <v>octubre</v>
      </c>
      <c r="C310" s="37">
        <v>45960.0</v>
      </c>
      <c r="D310" s="28" t="s">
        <v>41</v>
      </c>
      <c r="E310" s="5">
        <v>83.0</v>
      </c>
      <c r="F310" s="5">
        <v>61.0</v>
      </c>
      <c r="G310" s="5">
        <v>2.0</v>
      </c>
      <c r="H310" s="5">
        <v>6.0</v>
      </c>
    </row>
    <row r="311" ht="15.75" customHeight="1">
      <c r="A311" s="22" t="str">
        <f t="shared" si="2"/>
        <v>jueves</v>
      </c>
      <c r="B311" s="24" t="str">
        <f t="shared" si="3"/>
        <v>octubre</v>
      </c>
      <c r="C311" s="37">
        <v>45960.0</v>
      </c>
      <c r="D311" s="28" t="s">
        <v>51</v>
      </c>
      <c r="E311" s="5">
        <v>58.0</v>
      </c>
      <c r="F311" s="5">
        <v>34.0</v>
      </c>
      <c r="G311" s="5">
        <v>2.0</v>
      </c>
      <c r="H311" s="5">
        <v>18.0</v>
      </c>
    </row>
    <row r="312" ht="15.75" customHeight="1">
      <c r="A312" s="22" t="str">
        <f t="shared" si="2"/>
        <v>jueves</v>
      </c>
      <c r="B312" s="24" t="str">
        <f t="shared" si="3"/>
        <v>octubre</v>
      </c>
      <c r="C312" s="37">
        <v>45960.0</v>
      </c>
      <c r="D312" s="5" t="s">
        <v>145</v>
      </c>
      <c r="E312" s="5">
        <v>19.0</v>
      </c>
      <c r="F312" s="5">
        <v>15.0</v>
      </c>
      <c r="G312" s="5">
        <v>8.0</v>
      </c>
      <c r="H312" s="5">
        <v>5.0</v>
      </c>
    </row>
    <row r="313" ht="15.75" customHeight="1">
      <c r="A313" s="22" t="str">
        <f t="shared" si="2"/>
        <v>jueves</v>
      </c>
      <c r="B313" s="24" t="str">
        <f t="shared" si="3"/>
        <v>octubre</v>
      </c>
      <c r="C313" s="37">
        <v>45960.0</v>
      </c>
      <c r="D313" s="28" t="s">
        <v>65</v>
      </c>
      <c r="E313" s="5">
        <v>52.0</v>
      </c>
      <c r="F313" s="5">
        <v>46.0</v>
      </c>
      <c r="G313" s="5">
        <v>2.0</v>
      </c>
      <c r="H313" s="5">
        <v>0.0</v>
      </c>
    </row>
    <row r="314" ht="15.75" customHeight="1">
      <c r="A314" s="22" t="str">
        <f t="shared" si="2"/>
        <v>jueves</v>
      </c>
      <c r="B314" s="24" t="str">
        <f t="shared" si="3"/>
        <v>octubre</v>
      </c>
      <c r="C314" s="37">
        <v>45960.0</v>
      </c>
      <c r="D314" s="28" t="s">
        <v>66</v>
      </c>
      <c r="E314" s="5">
        <v>131.0</v>
      </c>
      <c r="F314" s="5">
        <v>124.0</v>
      </c>
      <c r="G314" s="5">
        <v>1.0</v>
      </c>
      <c r="H314" s="5">
        <v>0.0</v>
      </c>
    </row>
    <row r="315" ht="15.75" customHeight="1">
      <c r="A315" s="22" t="str">
        <f t="shared" si="2"/>
        <v>jueves</v>
      </c>
      <c r="B315" s="24" t="str">
        <f t="shared" si="3"/>
        <v>octubre</v>
      </c>
      <c r="C315" s="37">
        <v>45960.0</v>
      </c>
      <c r="D315" s="28" t="s">
        <v>67</v>
      </c>
      <c r="E315" s="5">
        <v>50.0</v>
      </c>
      <c r="F315" s="5">
        <v>41.0</v>
      </c>
      <c r="G315" s="5">
        <v>0.0</v>
      </c>
      <c r="H315" s="5">
        <v>0.0</v>
      </c>
    </row>
    <row r="316" ht="15.75" customHeight="1">
      <c r="A316" s="22" t="str">
        <f t="shared" si="2"/>
        <v>jueves</v>
      </c>
      <c r="B316" s="24" t="str">
        <f t="shared" si="3"/>
        <v>octubre</v>
      </c>
      <c r="C316" s="37">
        <v>45960.0</v>
      </c>
      <c r="D316" s="5" t="s">
        <v>89</v>
      </c>
      <c r="E316" s="5">
        <v>38.0</v>
      </c>
      <c r="F316" s="5">
        <v>27.0</v>
      </c>
      <c r="G316" s="5">
        <v>0.0</v>
      </c>
      <c r="H316" s="5">
        <v>0.0</v>
      </c>
    </row>
    <row r="317" ht="15.75" customHeight="1">
      <c r="A317" s="22" t="str">
        <f t="shared" si="2"/>
        <v>jueves</v>
      </c>
      <c r="B317" s="24" t="str">
        <f t="shared" si="3"/>
        <v>octubre</v>
      </c>
      <c r="C317" s="37">
        <v>45960.0</v>
      </c>
      <c r="D317" s="5" t="s">
        <v>157</v>
      </c>
      <c r="E317" s="5">
        <v>66.0</v>
      </c>
      <c r="F317" s="5">
        <v>48.0</v>
      </c>
      <c r="G317" s="5">
        <v>0.0</v>
      </c>
      <c r="H317" s="5">
        <v>0.0</v>
      </c>
    </row>
    <row r="318" ht="15.75" customHeight="1">
      <c r="A318" s="22" t="str">
        <f t="shared" si="2"/>
        <v>jueves</v>
      </c>
      <c r="B318" s="24" t="str">
        <f t="shared" si="3"/>
        <v>octubre</v>
      </c>
      <c r="C318" s="37">
        <v>45960.0</v>
      </c>
      <c r="D318" s="5" t="s">
        <v>117</v>
      </c>
      <c r="E318" s="5">
        <v>120.0</v>
      </c>
      <c r="F318" s="5">
        <v>60.0</v>
      </c>
      <c r="G318" s="5">
        <v>0.0</v>
      </c>
      <c r="H318" s="5">
        <v>0.0</v>
      </c>
    </row>
    <row r="319" ht="15.75" customHeight="1">
      <c r="A319" s="22" t="str">
        <f t="shared" si="2"/>
        <v>jueves</v>
      </c>
      <c r="B319" s="24" t="str">
        <f t="shared" si="3"/>
        <v>octubre</v>
      </c>
      <c r="C319" s="37">
        <v>45960.0</v>
      </c>
      <c r="D319" s="5" t="s">
        <v>107</v>
      </c>
      <c r="E319" s="5">
        <v>91.0</v>
      </c>
      <c r="F319" s="5">
        <v>41.0</v>
      </c>
      <c r="G319" s="5">
        <v>0.0</v>
      </c>
      <c r="H319" s="5">
        <v>0.0</v>
      </c>
    </row>
    <row r="320" ht="15.75" customHeight="1">
      <c r="A320" s="22" t="str">
        <f t="shared" si="2"/>
        <v>viernes</v>
      </c>
      <c r="B320" s="24" t="str">
        <f t="shared" si="3"/>
        <v>octubre</v>
      </c>
      <c r="C320" s="37">
        <v>45961.0</v>
      </c>
      <c r="D320" s="5" t="s">
        <v>116</v>
      </c>
      <c r="E320" s="5">
        <v>64.0</v>
      </c>
      <c r="F320" s="5">
        <v>45.0</v>
      </c>
      <c r="G320" s="5">
        <v>6.0</v>
      </c>
      <c r="H320" s="5">
        <v>6.0</v>
      </c>
    </row>
    <row r="321" ht="15.75" customHeight="1">
      <c r="A321" s="22" t="str">
        <f t="shared" si="2"/>
        <v>viernes</v>
      </c>
      <c r="B321" s="24" t="str">
        <f t="shared" si="3"/>
        <v>octubre</v>
      </c>
      <c r="C321" s="37">
        <v>45961.0</v>
      </c>
      <c r="D321" s="5" t="s">
        <v>145</v>
      </c>
      <c r="E321" s="5">
        <v>51.0</v>
      </c>
      <c r="F321" s="5">
        <v>53.0</v>
      </c>
      <c r="G321" s="5">
        <v>16.0</v>
      </c>
      <c r="H321" s="5">
        <v>9.0</v>
      </c>
    </row>
    <row r="322" ht="15.75" customHeight="1">
      <c r="A322" s="22" t="str">
        <f t="shared" si="2"/>
        <v>viernes</v>
      </c>
      <c r="B322" s="24" t="str">
        <f t="shared" si="3"/>
        <v>octubre</v>
      </c>
      <c r="C322" s="37">
        <v>45961.0</v>
      </c>
      <c r="D322" s="28" t="s">
        <v>58</v>
      </c>
      <c r="E322" s="5">
        <v>65.0</v>
      </c>
      <c r="F322" s="5">
        <v>51.0</v>
      </c>
      <c r="G322" s="5">
        <v>6.0</v>
      </c>
      <c r="H322" s="5">
        <v>11.0</v>
      </c>
    </row>
    <row r="323" ht="15.75" customHeight="1">
      <c r="A323" s="22" t="str">
        <f t="shared" si="2"/>
        <v>viernes</v>
      </c>
      <c r="B323" s="24" t="str">
        <f t="shared" si="3"/>
        <v>octubre</v>
      </c>
      <c r="C323" s="37">
        <v>45961.0</v>
      </c>
      <c r="D323" s="5" t="s">
        <v>146</v>
      </c>
      <c r="E323" s="5">
        <v>120.0</v>
      </c>
      <c r="F323" s="5">
        <v>78.0</v>
      </c>
      <c r="G323" s="5">
        <v>0.0</v>
      </c>
      <c r="H323" s="5">
        <v>5.0</v>
      </c>
    </row>
    <row r="324" ht="15.75" customHeight="1">
      <c r="A324" s="22" t="str">
        <f t="shared" si="2"/>
        <v>viernes</v>
      </c>
      <c r="B324" s="24" t="str">
        <f t="shared" si="3"/>
        <v>octubre</v>
      </c>
      <c r="C324" s="37">
        <v>45961.0</v>
      </c>
      <c r="D324" s="28" t="s">
        <v>64</v>
      </c>
      <c r="E324" s="5">
        <v>104.0</v>
      </c>
      <c r="F324" s="5">
        <v>74.0</v>
      </c>
      <c r="G324" s="5">
        <v>2.0</v>
      </c>
      <c r="H324" s="5">
        <v>12.0</v>
      </c>
    </row>
    <row r="325" ht="15.75" customHeight="1">
      <c r="A325" s="22" t="str">
        <f t="shared" si="2"/>
        <v>viernes</v>
      </c>
      <c r="B325" s="24" t="str">
        <f t="shared" si="3"/>
        <v>octubre</v>
      </c>
      <c r="C325" s="37">
        <v>45961.0</v>
      </c>
      <c r="D325" s="28" t="s">
        <v>65</v>
      </c>
      <c r="E325" s="5">
        <v>74.0</v>
      </c>
      <c r="F325" s="5">
        <v>59.0</v>
      </c>
      <c r="G325" s="5">
        <v>2.0</v>
      </c>
      <c r="H325" s="5">
        <v>4.0</v>
      </c>
    </row>
    <row r="326" ht="15.75" customHeight="1">
      <c r="A326" s="22" t="str">
        <f t="shared" si="2"/>
        <v>viernes</v>
      </c>
      <c r="B326" s="24" t="str">
        <f t="shared" si="3"/>
        <v>octubre</v>
      </c>
      <c r="C326" s="37">
        <v>45961.0</v>
      </c>
      <c r="D326" s="28" t="s">
        <v>66</v>
      </c>
      <c r="E326" s="5">
        <v>130.0</v>
      </c>
      <c r="F326" s="5">
        <v>106.0</v>
      </c>
      <c r="G326" s="5">
        <v>0.0</v>
      </c>
      <c r="H326" s="5">
        <v>17.0</v>
      </c>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5:$R$57"/>
  <mergeCells count="12">
    <mergeCell ref="O23:P23"/>
    <mergeCell ref="Q23:R23"/>
    <mergeCell ref="J44:N44"/>
    <mergeCell ref="O44:P44"/>
    <mergeCell ref="Q44:R44"/>
    <mergeCell ref="J2:N2"/>
    <mergeCell ref="O2:P2"/>
    <mergeCell ref="Q2:R2"/>
    <mergeCell ref="S2:S3"/>
    <mergeCell ref="Z2:AA2"/>
    <mergeCell ref="J22:R22"/>
    <mergeCell ref="K23:N23"/>
  </mergeCells>
  <conditionalFormatting sqref="M4:M15">
    <cfRule type="colorScale" priority="1">
      <colorScale>
        <cfvo type="min"/>
        <cfvo type="percentile" val="50"/>
        <cfvo type="max"/>
        <color rgb="FFEA9999"/>
        <color rgb="FFFFD666"/>
        <color rgb="FF6AA84F"/>
      </colorScale>
    </cfRule>
  </conditionalFormatting>
  <conditionalFormatting sqref="N4:N15">
    <cfRule type="colorScale" priority="2">
      <colorScale>
        <cfvo type="min"/>
        <cfvo type="percentile" val="50"/>
        <cfvo type="max"/>
        <color rgb="FFEA9999"/>
        <color rgb="FFFFD666"/>
        <color rgb="FF6AA84F"/>
      </colorScale>
    </cfRule>
  </conditionalFormatting>
  <conditionalFormatting sqref="O4:O15">
    <cfRule type="colorScale" priority="3">
      <colorScale>
        <cfvo type="min"/>
        <cfvo type="percentile" val="50"/>
        <cfvo type="max"/>
        <color rgb="FFEA9999"/>
        <color rgb="FFFFD666"/>
        <color rgb="FF6AA84F"/>
      </colorScale>
    </cfRule>
  </conditionalFormatting>
  <conditionalFormatting sqref="P4:P15">
    <cfRule type="colorScale" priority="4">
      <colorScale>
        <cfvo type="min"/>
        <cfvo type="percentile" val="50"/>
        <cfvo type="max"/>
        <color rgb="FFEA9999"/>
        <color rgb="FFFFD666"/>
        <color rgb="FF6AA84F"/>
      </colorScale>
    </cfRule>
  </conditionalFormatting>
  <conditionalFormatting sqref="Q4:Q15">
    <cfRule type="colorScale" priority="5">
      <colorScale>
        <cfvo type="min"/>
        <cfvo type="percentile" val="50"/>
        <cfvo type="max"/>
        <color rgb="FFEA9999"/>
        <color rgb="FFFFD666"/>
        <color rgb="FF6AA84F"/>
      </colorScale>
    </cfRule>
  </conditionalFormatting>
  <conditionalFormatting sqref="R4:R15">
    <cfRule type="colorScale" priority="6">
      <colorScale>
        <cfvo type="min"/>
        <cfvo type="percentile" val="50"/>
        <cfvo type="max"/>
        <color rgb="FFEA9999"/>
        <color rgb="FFFFD666"/>
        <color rgb="FF6AA84F"/>
      </colorScale>
    </cfRule>
  </conditionalFormatting>
  <drawing r:id="rId2"/>
</worksheet>
</file>